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academiafaedupt-my.sharepoint.com/personal/sbclemente_academiafa_edu_pt/Documents/Gigs/WorkingFolder/Finance_Shared/Sectors/"/>
    </mc:Choice>
  </mc:AlternateContent>
  <xr:revisionPtr revIDLastSave="882" documentId="8_{A0476D2B-57B5-4328-A2E9-AB1760A6D45F}" xr6:coauthVersionLast="47" xr6:coauthVersionMax="47" xr10:uidLastSave="{AB720254-9622-414A-B77D-59B30DA0B347}"/>
  <bookViews>
    <workbookView xWindow="-120" yWindow="-120" windowWidth="29040" windowHeight="15720" xr2:uid="{98E4F117-809F-4A8A-A845-A488512E5130}"/>
  </bookViews>
  <sheets>
    <sheet name="main" sheetId="3" r:id="rId1"/>
    <sheet name="Screener" sheetId="2" r:id="rId2"/>
    <sheet name="EU" sheetId="1" r:id="rId3"/>
    <sheet name="Folha1"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1" i="3" l="1"/>
  <c r="B45" i="3"/>
  <c r="I39" i="3"/>
  <c r="B7" i="3"/>
  <c r="B8" i="3" s="1"/>
  <c r="B9" i="3" s="1"/>
  <c r="B10" i="3" s="1"/>
  <c r="B11" i="3" s="1"/>
  <c r="B12" i="3" s="1"/>
  <c r="B13" i="3" s="1"/>
  <c r="B14" i="3" s="1"/>
  <c r="B15" i="3" s="1"/>
  <c r="B16" i="3" s="1"/>
  <c r="B17" i="3" s="1"/>
  <c r="B18" i="3" s="1"/>
  <c r="B19" i="3" s="1"/>
  <c r="B20" i="3" s="1"/>
  <c r="B21" i="3" s="1"/>
  <c r="B22" i="3" s="1"/>
  <c r="B23" i="3" s="1"/>
  <c r="B24" i="3" s="1"/>
  <c r="B25" i="3" s="1"/>
  <c r="B26" i="3" s="1"/>
  <c r="B27" i="3" s="1"/>
  <c r="B28" i="3" s="1"/>
  <c r="B29" i="3" s="1"/>
  <c r="B30" i="3" s="1"/>
  <c r="B31" i="3" s="1"/>
  <c r="B32" i="3" s="1"/>
  <c r="B33" i="3" s="1"/>
  <c r="B34" i="3" s="1"/>
  <c r="B35" i="3" s="1"/>
  <c r="B36" i="3" s="1"/>
  <c r="B37" i="3" s="1"/>
  <c r="B38" i="3" s="1"/>
  <c r="L4" i="1" a="1"/>
  <c r="L4" i="1" s="1"/>
  <c r="M4" i="1" s="1"/>
  <c r="L5" i="1" a="1"/>
  <c r="L5" i="1" s="1"/>
  <c r="M5" i="1" s="1"/>
  <c r="K4" i="1"/>
  <c r="L3" i="1" l="1" a="1"/>
  <c r="L3" i="1" s="1"/>
  <c r="M3" i="1" s="1"/>
  <c r="L22" i="1" a="1"/>
  <c r="L22" i="1" s="1"/>
  <c r="M22" i="1" s="1"/>
  <c r="L21" i="1" a="1"/>
  <c r="L21" i="1" s="1"/>
  <c r="M21" i="1" s="1"/>
  <c r="L20" i="1" a="1"/>
  <c r="L20" i="1" s="1"/>
  <c r="M20" i="1" s="1"/>
  <c r="L19" i="1" a="1"/>
  <c r="L19" i="1" s="1"/>
  <c r="M19" i="1" s="1"/>
  <c r="L18" i="1" a="1"/>
  <c r="L18" i="1" s="1"/>
  <c r="M18" i="1" s="1"/>
  <c r="L17" i="1" a="1"/>
  <c r="L17" i="1" s="1"/>
  <c r="M17" i="1" s="1"/>
  <c r="L16" i="1" a="1"/>
  <c r="L16" i="1" s="1"/>
  <c r="M16" i="1" s="1"/>
  <c r="L15" i="1" a="1"/>
  <c r="L15" i="1" s="1"/>
  <c r="M15" i="1" s="1"/>
  <c r="L14" i="1" a="1"/>
  <c r="L14" i="1" s="1"/>
  <c r="M14" i="1" s="1"/>
  <c r="L13" i="1" a="1"/>
  <c r="L13" i="1" s="1"/>
  <c r="M13" i="1" s="1"/>
  <c r="L12" i="1" a="1"/>
  <c r="L12" i="1" s="1"/>
  <c r="M12" i="1" s="1"/>
  <c r="L11" i="1" a="1"/>
  <c r="L11" i="1" s="1"/>
  <c r="M11" i="1" s="1"/>
  <c r="L10" i="1" a="1"/>
  <c r="L10" i="1" s="1"/>
  <c r="M10" i="1" s="1"/>
  <c r="L9" i="1" a="1"/>
  <c r="L9" i="1" s="1"/>
  <c r="M9" i="1" s="1"/>
  <c r="L8" i="1" a="1"/>
  <c r="L8" i="1" s="1"/>
  <c r="M8" i="1" s="1"/>
  <c r="L7" i="1" a="1"/>
  <c r="L7" i="1" s="1"/>
  <c r="M7" i="1" s="1"/>
  <c r="L6" i="1" a="1"/>
  <c r="L6" i="1" s="1"/>
  <c r="M6" i="1" s="1"/>
  <c r="K22" i="1"/>
  <c r="K21" i="1"/>
  <c r="K20" i="1"/>
  <c r="K19" i="1"/>
  <c r="K18" i="1"/>
  <c r="K17" i="1"/>
  <c r="K16" i="1"/>
  <c r="K15" i="1"/>
  <c r="K14" i="1"/>
  <c r="K13" i="1"/>
  <c r="K12" i="1"/>
  <c r="K11" i="1"/>
  <c r="K10" i="1"/>
  <c r="K9" i="1"/>
  <c r="K8" i="1"/>
  <c r="K7" i="1"/>
  <c r="K6" i="1"/>
  <c r="K5" i="1"/>
  <c r="K3" i="1"/>
  <c r="I40" i="3"/>
  <c r="B5" i="3"/>
  <c r="B6" i="3"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0">
    <bk>
      <extLst>
        <ext uri="{3e2802c4-a4d2-4d8b-9148-e3be6c30e623}">
          <xlrd:rvb i="2"/>
        </ext>
      </extLst>
    </bk>
    <bk>
      <extLst>
        <ext uri="{3e2802c4-a4d2-4d8b-9148-e3be6c30e623}">
          <xlrd:rvb i="9"/>
        </ext>
      </extLst>
    </bk>
    <bk>
      <extLst>
        <ext uri="{3e2802c4-a4d2-4d8b-9148-e3be6c30e623}">
          <xlrd:rvb i="12"/>
        </ext>
      </extLst>
    </bk>
    <bk>
      <extLst>
        <ext uri="{3e2802c4-a4d2-4d8b-9148-e3be6c30e623}">
          <xlrd:rvb i="15"/>
        </ext>
      </extLst>
    </bk>
    <bk>
      <extLst>
        <ext uri="{3e2802c4-a4d2-4d8b-9148-e3be6c30e623}">
          <xlrd:rvb i="18"/>
        </ext>
      </extLst>
    </bk>
    <bk>
      <extLst>
        <ext uri="{3e2802c4-a4d2-4d8b-9148-e3be6c30e623}">
          <xlrd:rvb i="21"/>
        </ext>
      </extLst>
    </bk>
    <bk>
      <extLst>
        <ext uri="{3e2802c4-a4d2-4d8b-9148-e3be6c30e623}">
          <xlrd:rvb i="24"/>
        </ext>
      </extLst>
    </bk>
    <bk>
      <extLst>
        <ext uri="{3e2802c4-a4d2-4d8b-9148-e3be6c30e623}">
          <xlrd:rvb i="27"/>
        </ext>
      </extLst>
    </bk>
    <bk>
      <extLst>
        <ext uri="{3e2802c4-a4d2-4d8b-9148-e3be6c30e623}">
          <xlrd:rvb i="30"/>
        </ext>
      </extLst>
    </bk>
    <bk>
      <extLst>
        <ext uri="{3e2802c4-a4d2-4d8b-9148-e3be6c30e623}">
          <xlrd:rvb i="33"/>
        </ext>
      </extLst>
    </bk>
    <bk>
      <extLst>
        <ext uri="{3e2802c4-a4d2-4d8b-9148-e3be6c30e623}">
          <xlrd:rvb i="36"/>
        </ext>
      </extLst>
    </bk>
    <bk>
      <extLst>
        <ext uri="{3e2802c4-a4d2-4d8b-9148-e3be6c30e623}">
          <xlrd:rvb i="39"/>
        </ext>
      </extLst>
    </bk>
    <bk>
      <extLst>
        <ext uri="{3e2802c4-a4d2-4d8b-9148-e3be6c30e623}">
          <xlrd:rvb i="42"/>
        </ext>
      </extLst>
    </bk>
    <bk>
      <extLst>
        <ext uri="{3e2802c4-a4d2-4d8b-9148-e3be6c30e623}">
          <xlrd:rvb i="45"/>
        </ext>
      </extLst>
    </bk>
    <bk>
      <extLst>
        <ext uri="{3e2802c4-a4d2-4d8b-9148-e3be6c30e623}">
          <xlrd:rvb i="48"/>
        </ext>
      </extLst>
    </bk>
    <bk>
      <extLst>
        <ext uri="{3e2802c4-a4d2-4d8b-9148-e3be6c30e623}">
          <xlrd:rvb i="51"/>
        </ext>
      </extLst>
    </bk>
    <bk>
      <extLst>
        <ext uri="{3e2802c4-a4d2-4d8b-9148-e3be6c30e623}">
          <xlrd:rvb i="54"/>
        </ext>
      </extLst>
    </bk>
    <bk>
      <extLst>
        <ext uri="{3e2802c4-a4d2-4d8b-9148-e3be6c30e623}">
          <xlrd:rvb i="57"/>
        </ext>
      </extLst>
    </bk>
    <bk>
      <extLst>
        <ext uri="{3e2802c4-a4d2-4d8b-9148-e3be6c30e623}">
          <xlrd:rvb i="60"/>
        </ext>
      </extLst>
    </bk>
    <bk>
      <extLst>
        <ext uri="{3e2802c4-a4d2-4d8b-9148-e3be6c30e623}">
          <xlrd:rvb i="62"/>
        </ext>
      </extLst>
    </bk>
  </futureMetadata>
  <cellMetadata count="1">
    <bk>
      <rc t="1" v="0"/>
    </bk>
  </cellMetadata>
  <valueMetadata count="20">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valueMetadata>
</metadata>
</file>

<file path=xl/sharedStrings.xml><?xml version="1.0" encoding="utf-8"?>
<sst xmlns="http://schemas.openxmlformats.org/spreadsheetml/2006/main" count="952" uniqueCount="479">
  <si>
    <t>1m</t>
  </si>
  <si>
    <t>Price</t>
  </si>
  <si>
    <t>Ticker</t>
  </si>
  <si>
    <t>GD</t>
  </si>
  <si>
    <t>LHX</t>
  </si>
  <si>
    <t>NOC</t>
  </si>
  <si>
    <t>BAB</t>
  </si>
  <si>
    <t>KBGGY</t>
  </si>
  <si>
    <t>BA</t>
  </si>
  <si>
    <t>Name</t>
  </si>
  <si>
    <t>Thyssenkrupp</t>
  </si>
  <si>
    <t>Thales</t>
  </si>
  <si>
    <t>Serco Group</t>
  </si>
  <si>
    <t>Safran</t>
  </si>
  <si>
    <t>Leonardo</t>
  </si>
  <si>
    <t>Fincantieri</t>
  </si>
  <si>
    <t>Dassault Aviation</t>
  </si>
  <si>
    <t>BAE Systems</t>
  </si>
  <si>
    <t>Kongsberg Gruppen</t>
  </si>
  <si>
    <t>Babcock International</t>
  </si>
  <si>
    <t>Exchange</t>
  </si>
  <si>
    <t>ETR</t>
  </si>
  <si>
    <t>EPA</t>
  </si>
  <si>
    <t>LON</t>
  </si>
  <si>
    <t>STO</t>
  </si>
  <si>
    <t>BIT</t>
  </si>
  <si>
    <t>OTCMKTS</t>
  </si>
  <si>
    <t>NYSE</t>
  </si>
  <si>
    <t>TKA</t>
  </si>
  <si>
    <t>HO</t>
  </si>
  <si>
    <t>SRP</t>
  </si>
  <si>
    <t>SAF</t>
  </si>
  <si>
    <t>SAAB-B</t>
  </si>
  <si>
    <t>RR</t>
  </si>
  <si>
    <t>RHM</t>
  </si>
  <si>
    <t>MRO</t>
  </si>
  <si>
    <t>LDO</t>
  </si>
  <si>
    <t>HAG</t>
  </si>
  <si>
    <t>FCT</t>
  </si>
  <si>
    <t xml:space="preserve">AM </t>
  </si>
  <si>
    <t>LMT</t>
  </si>
  <si>
    <t>Category</t>
  </si>
  <si>
    <t xml:space="preserve"> </t>
  </si>
  <si>
    <t>ACHR</t>
  </si>
  <si>
    <t>Archer Aviation Inc</t>
  </si>
  <si>
    <t>Industrials</t>
  </si>
  <si>
    <t>Aerospace &amp; Defense</t>
  </si>
  <si>
    <t>USA</t>
  </si>
  <si>
    <t>4.09B</t>
  </si>
  <si>
    <t>8.88</t>
  </si>
  <si>
    <t>12.12%</t>
  </si>
  <si>
    <t>55,109,576</t>
  </si>
  <si>
    <t>AIR</t>
  </si>
  <si>
    <t>AAR Corp</t>
  </si>
  <si>
    <t>2.34B</t>
  </si>
  <si>
    <t>65.02</t>
  </si>
  <si>
    <t>0.28%</t>
  </si>
  <si>
    <t>AIRI</t>
  </si>
  <si>
    <t>Air Industries Group</t>
  </si>
  <si>
    <t>13.80M</t>
  </si>
  <si>
    <t>4.11</t>
  </si>
  <si>
    <t>0.00%</t>
  </si>
  <si>
    <t>ATRO</t>
  </si>
  <si>
    <t>Astronics Corp</t>
  </si>
  <si>
    <t>696.06M</t>
  </si>
  <si>
    <t>20.01</t>
  </si>
  <si>
    <t>0.35%</t>
  </si>
  <si>
    <t>AVAV</t>
  </si>
  <si>
    <t>AeroVironment Inc</t>
  </si>
  <si>
    <t>4.22B</t>
  </si>
  <si>
    <t>149.62</t>
  </si>
  <si>
    <t>-1.48%</t>
  </si>
  <si>
    <t>AXON</t>
  </si>
  <si>
    <t>Axon Enterprise Inc</t>
  </si>
  <si>
    <t>40.30B</t>
  </si>
  <si>
    <t>528.45</t>
  </si>
  <si>
    <t>0.57%</t>
  </si>
  <si>
    <t>1,153,010</t>
  </si>
  <si>
    <t>Boeing Co</t>
  </si>
  <si>
    <t>130.99B</t>
  </si>
  <si>
    <t>174.63</t>
  </si>
  <si>
    <t>0.46%</t>
  </si>
  <si>
    <t>5,761,350</t>
  </si>
  <si>
    <t>BWXT</t>
  </si>
  <si>
    <t>BWX Technologies Inc</t>
  </si>
  <si>
    <t>9.51B</t>
  </si>
  <si>
    <t>103.97</t>
  </si>
  <si>
    <t>1.80%</t>
  </si>
  <si>
    <t>BYRN</t>
  </si>
  <si>
    <t>Byrna Technologies Inc</t>
  </si>
  <si>
    <t>582.71M</t>
  </si>
  <si>
    <t>25.73</t>
  </si>
  <si>
    <t>0.43%</t>
  </si>
  <si>
    <t>CAE</t>
  </si>
  <si>
    <t>Cae Inc</t>
  </si>
  <si>
    <t>Canada</t>
  </si>
  <si>
    <t>7.77B</t>
  </si>
  <si>
    <t>24.30</t>
  </si>
  <si>
    <t>0.12%</t>
  </si>
  <si>
    <t>CDRE</t>
  </si>
  <si>
    <t>Cadre Holdings Inc</t>
  </si>
  <si>
    <t>1.37B</t>
  </si>
  <si>
    <t>33.62</t>
  </si>
  <si>
    <t>1.66%</t>
  </si>
  <si>
    <t>CODA</t>
  </si>
  <si>
    <t>Coda Octopus Group Inc</t>
  </si>
  <si>
    <t>85.94M</t>
  </si>
  <si>
    <t>7.66</t>
  </si>
  <si>
    <t>-0.39%</t>
  </si>
  <si>
    <t>CVU</t>
  </si>
  <si>
    <t>CPI Aerostructures Inc</t>
  </si>
  <si>
    <t>48.88M</t>
  </si>
  <si>
    <t>3.76</t>
  </si>
  <si>
    <t>0.27%</t>
  </si>
  <si>
    <t>CW</t>
  </si>
  <si>
    <t>Curtiss-Wright Corp</t>
  </si>
  <si>
    <t>12.11B</t>
  </si>
  <si>
    <t>321.66</t>
  </si>
  <si>
    <t>1.85%</t>
  </si>
  <si>
    <t>DCO</t>
  </si>
  <si>
    <t>Ducommun Inc</t>
  </si>
  <si>
    <t>868.37M</t>
  </si>
  <si>
    <t>58.62</t>
  </si>
  <si>
    <t>2.09%</t>
  </si>
  <si>
    <t>DPRO</t>
  </si>
  <si>
    <t>Draganfly Inc</t>
  </si>
  <si>
    <t>12.84M</t>
  </si>
  <si>
    <t>2.37</t>
  </si>
  <si>
    <t>-4.64%</t>
  </si>
  <si>
    <t>DRS</t>
  </si>
  <si>
    <t>Leonardo DRS Inc</t>
  </si>
  <si>
    <t>8.05B</t>
  </si>
  <si>
    <t>30.45</t>
  </si>
  <si>
    <t>1.87%</t>
  </si>
  <si>
    <t>EH</t>
  </si>
  <si>
    <t>EHang Holdings Ltd ADR</t>
  </si>
  <si>
    <t>China</t>
  </si>
  <si>
    <t>1.01B</t>
  </si>
  <si>
    <t>22.96</t>
  </si>
  <si>
    <t>-2.92%</t>
  </si>
  <si>
    <t>1,577,913</t>
  </si>
  <si>
    <t>ERJ</t>
  </si>
  <si>
    <t>Embraer S.A. ADR</t>
  </si>
  <si>
    <t>Brazil</t>
  </si>
  <si>
    <t>8.75B</t>
  </si>
  <si>
    <t>47.65</t>
  </si>
  <si>
    <t>0.32%</t>
  </si>
  <si>
    <t>2,681,990</t>
  </si>
  <si>
    <t>ESLT</t>
  </si>
  <si>
    <t>Elbit Systems Ltd</t>
  </si>
  <si>
    <t>Israel</t>
  </si>
  <si>
    <t>13.86B</t>
  </si>
  <si>
    <t>310.99</t>
  </si>
  <si>
    <t>1.72%</t>
  </si>
  <si>
    <t>EVEX</t>
  </si>
  <si>
    <t>Eve Holding Inc</t>
  </si>
  <si>
    <t>1.22B</t>
  </si>
  <si>
    <t>2.24%</t>
  </si>
  <si>
    <t>1,038,428</t>
  </si>
  <si>
    <t>EVTL</t>
  </si>
  <si>
    <t>Vertical Aerospace Ltd</t>
  </si>
  <si>
    <t>United Kingdom</t>
  </si>
  <si>
    <t>356.81M</t>
  </si>
  <si>
    <t>4.22</t>
  </si>
  <si>
    <t>1.93%</t>
  </si>
  <si>
    <t>General Dynamics Corp</t>
  </si>
  <si>
    <t>68.29B</t>
  </si>
  <si>
    <t>252.60</t>
  </si>
  <si>
    <t>0.39%</t>
  </si>
  <si>
    <t>1,755,398</t>
  </si>
  <si>
    <t>GE</t>
  </si>
  <si>
    <t>GE Aerospace</t>
  </si>
  <si>
    <t>222.15B</t>
  </si>
  <si>
    <t>206.98</t>
  </si>
  <si>
    <t>2.76%</t>
  </si>
  <si>
    <t>5,842,995</t>
  </si>
  <si>
    <t>GPUS</t>
  </si>
  <si>
    <t>Hyperscale Data Inc</t>
  </si>
  <si>
    <t>3.92M</t>
  </si>
  <si>
    <t>3.11</t>
  </si>
  <si>
    <t>-1.89%</t>
  </si>
  <si>
    <t>HEI</t>
  </si>
  <si>
    <t>Heico Corp</t>
  </si>
  <si>
    <t>32.44B</t>
  </si>
  <si>
    <t>264.68</t>
  </si>
  <si>
    <t>2.19%</t>
  </si>
  <si>
    <t>1,044,585</t>
  </si>
  <si>
    <t>HEI-A</t>
  </si>
  <si>
    <t>213.16</t>
  </si>
  <si>
    <t>2.70%</t>
  </si>
  <si>
    <t>HII</t>
  </si>
  <si>
    <t>Huntington Ingalls Industries Inc</t>
  </si>
  <si>
    <t>6.87B</t>
  </si>
  <si>
    <t>175.58</t>
  </si>
  <si>
    <t>0.75%</t>
  </si>
  <si>
    <t>2,520,923</t>
  </si>
  <si>
    <t>HOVR</t>
  </si>
  <si>
    <t>New Horizon Aircraft Ltd</t>
  </si>
  <si>
    <t>15.83M</t>
  </si>
  <si>
    <t>0.51</t>
  </si>
  <si>
    <t>1.40%</t>
  </si>
  <si>
    <t>HWM</t>
  </si>
  <si>
    <t>Howmet Aerospace Inc</t>
  </si>
  <si>
    <t>55.33B</t>
  </si>
  <si>
    <t>136.60</t>
  </si>
  <si>
    <t>2.38%</t>
  </si>
  <si>
    <t>4,362,738</t>
  </si>
  <si>
    <t>HXL</t>
  </si>
  <si>
    <t>Hexcel Corp</t>
  </si>
  <si>
    <t>5.14B</t>
  </si>
  <si>
    <t>63.37</t>
  </si>
  <si>
    <t>1.60%</t>
  </si>
  <si>
    <t>1,031,690</t>
  </si>
  <si>
    <t>ISSC</t>
  </si>
  <si>
    <t>Innovative Solutions And Support Inc</t>
  </si>
  <si>
    <t>125.27M</t>
  </si>
  <si>
    <t>7.14</t>
  </si>
  <si>
    <t>0.99%</t>
  </si>
  <si>
    <t>KITT</t>
  </si>
  <si>
    <t>Nauticus Robotics Inc</t>
  </si>
  <si>
    <t>29.07M</t>
  </si>
  <si>
    <t>0.96</t>
  </si>
  <si>
    <t>-6.50%</t>
  </si>
  <si>
    <t>1,680,954</t>
  </si>
  <si>
    <t>KRMN</t>
  </si>
  <si>
    <t>Karman Holdings Inc</t>
  </si>
  <si>
    <t>4.17B</t>
  </si>
  <si>
    <t>31.54</t>
  </si>
  <si>
    <t>4.33%</t>
  </si>
  <si>
    <t>KTOS</t>
  </si>
  <si>
    <t>Kratos Defense &amp; Security Solutions Inc</t>
  </si>
  <si>
    <t>4.03B</t>
  </si>
  <si>
    <t>26.39</t>
  </si>
  <si>
    <t>2,860,050</t>
  </si>
  <si>
    <t>KWE</t>
  </si>
  <si>
    <t>KWESST Micro Systems Inc</t>
  </si>
  <si>
    <t>4.34M</t>
  </si>
  <si>
    <t>0.43</t>
  </si>
  <si>
    <t>-5.56%</t>
  </si>
  <si>
    <t>L3Harris Technologies Inc</t>
  </si>
  <si>
    <t>38.81B</t>
  </si>
  <si>
    <t>206.11</t>
  </si>
  <si>
    <t>0.59%</t>
  </si>
  <si>
    <t>1,244,093</t>
  </si>
  <si>
    <t>Lockheed Martin Corp</t>
  </si>
  <si>
    <t>106.01B</t>
  </si>
  <si>
    <t>450.37</t>
  </si>
  <si>
    <t>0.88%</t>
  </si>
  <si>
    <t>1,431,948</t>
  </si>
  <si>
    <t>LOAR</t>
  </si>
  <si>
    <t>Loar Holdings Inc</t>
  </si>
  <si>
    <t>6.80B</t>
  </si>
  <si>
    <t>72.67</t>
  </si>
  <si>
    <t>6.63%</t>
  </si>
  <si>
    <t>1,146,312</t>
  </si>
  <si>
    <t>LUNR</t>
  </si>
  <si>
    <t>Intuitive Machines Inc</t>
  </si>
  <si>
    <t>2.19B</t>
  </si>
  <si>
    <t>14.58</t>
  </si>
  <si>
    <t>1.29%</t>
  </si>
  <si>
    <t>17,452,707</t>
  </si>
  <si>
    <t>No.</t>
  </si>
  <si>
    <t>Company</t>
  </si>
  <si>
    <t>Sector</t>
  </si>
  <si>
    <t>Industry</t>
  </si>
  <si>
    <t>Country</t>
  </si>
  <si>
    <t>Market Cap</t>
  </si>
  <si>
    <t>Change</t>
  </si>
  <si>
    <t>Volume</t>
  </si>
  <si>
    <t>RTX</t>
  </si>
  <si>
    <t>RTX Corp</t>
  </si>
  <si>
    <t>177.16B</t>
  </si>
  <si>
    <t>132.99</t>
  </si>
  <si>
    <t>1.89%</t>
  </si>
  <si>
    <t>7,431,328</t>
  </si>
  <si>
    <t>TDG</t>
  </si>
  <si>
    <t>Transdigm Group Incorporated</t>
  </si>
  <si>
    <t>76.68B</t>
  </si>
  <si>
    <t>1367.20</t>
  </si>
  <si>
    <t>1.31%</t>
  </si>
  <si>
    <t>Northrop Grumman Corp</t>
  </si>
  <si>
    <t>66.84B</t>
  </si>
  <si>
    <t>461.74</t>
  </si>
  <si>
    <t>0.38%</t>
  </si>
  <si>
    <t>TXT</t>
  </si>
  <si>
    <t>Textron Inc</t>
  </si>
  <si>
    <t>13.64B</t>
  </si>
  <si>
    <t>74.73</t>
  </si>
  <si>
    <t>2.02%</t>
  </si>
  <si>
    <t>1,452,915</t>
  </si>
  <si>
    <t>WWD</t>
  </si>
  <si>
    <t>Woodward Inc</t>
  </si>
  <si>
    <t>11.22B</t>
  </si>
  <si>
    <t>188.99</t>
  </si>
  <si>
    <t>2.39%</t>
  </si>
  <si>
    <t>RKLB</t>
  </si>
  <si>
    <t>Rocket Lab USA Inc</t>
  </si>
  <si>
    <t>10.24B</t>
  </si>
  <si>
    <t>20.49</t>
  </si>
  <si>
    <t>3.33%</t>
  </si>
  <si>
    <t>37,267,999</t>
  </si>
  <si>
    <t>SARO</t>
  </si>
  <si>
    <t>StandardAero Inc</t>
  </si>
  <si>
    <t>9.44B</t>
  </si>
  <si>
    <t>28.23</t>
  </si>
  <si>
    <t>0.71%</t>
  </si>
  <si>
    <t>2,264,831</t>
  </si>
  <si>
    <t>MOG-A</t>
  </si>
  <si>
    <t>Moog, Inc</t>
  </si>
  <si>
    <t>5.39B</t>
  </si>
  <si>
    <t>170.49</t>
  </si>
  <si>
    <t>1.73%</t>
  </si>
  <si>
    <t>SPR</t>
  </si>
  <si>
    <t>Spirit Aerosystems Holdings Inc</t>
  </si>
  <si>
    <t>34.90</t>
  </si>
  <si>
    <t>1.28%</t>
  </si>
  <si>
    <t>1,097,376</t>
  </si>
  <si>
    <t>MRCY</t>
  </si>
  <si>
    <t>Mercury Systems Inc</t>
  </si>
  <si>
    <t>2.65B</t>
  </si>
  <si>
    <t>44.41</t>
  </si>
  <si>
    <t>2.45%</t>
  </si>
  <si>
    <t>VSEC</t>
  </si>
  <si>
    <t>VSE Corp</t>
  </si>
  <si>
    <t>2.42B</t>
  </si>
  <si>
    <t>118.50</t>
  </si>
  <si>
    <t>0.58%</t>
  </si>
  <si>
    <t>TGI</t>
  </si>
  <si>
    <t>Triumph Group Inc</t>
  </si>
  <si>
    <t>1.96B</t>
  </si>
  <si>
    <t>25.38</t>
  </si>
  <si>
    <t>0.36%</t>
  </si>
  <si>
    <t>1,094,485</t>
  </si>
  <si>
    <t>VVX</t>
  </si>
  <si>
    <t>V2X Inc</t>
  </si>
  <si>
    <t>1.48B</t>
  </si>
  <si>
    <t>46.92</t>
  </si>
  <si>
    <t>-0.28%</t>
  </si>
  <si>
    <t>PL</t>
  </si>
  <si>
    <t>Planet Labs PBC</t>
  </si>
  <si>
    <t>1.38B</t>
  </si>
  <si>
    <t>4.62</t>
  </si>
  <si>
    <t>2.90%</t>
  </si>
  <si>
    <t>3,884,684</t>
  </si>
  <si>
    <t>RDW</t>
  </si>
  <si>
    <t>Redwire Corporation</t>
  </si>
  <si>
    <t>936.21M</t>
  </si>
  <si>
    <t>13.97</t>
  </si>
  <si>
    <t>-0.43%</t>
  </si>
  <si>
    <t>2,344,726</t>
  </si>
  <si>
    <t>SKYH</t>
  </si>
  <si>
    <t>Sky Harbour Group Corporation</t>
  </si>
  <si>
    <t>834.00M</t>
  </si>
  <si>
    <t>11.03</t>
  </si>
  <si>
    <t>2.89%</t>
  </si>
  <si>
    <t>NPK</t>
  </si>
  <si>
    <t>National Presto Industries, Inc</t>
  </si>
  <si>
    <t>722.39M</t>
  </si>
  <si>
    <t>101.74</t>
  </si>
  <si>
    <t>0.19%</t>
  </si>
  <si>
    <t>RGR</t>
  </si>
  <si>
    <t>Sturm, Ruger &amp; Co., Inc</t>
  </si>
  <si>
    <t>661.43M</t>
  </si>
  <si>
    <t>39.46</t>
  </si>
  <si>
    <t>-0.33%</t>
  </si>
  <si>
    <t>SWBI</t>
  </si>
  <si>
    <t>Smith &amp; Wesson Brands Inc</t>
  </si>
  <si>
    <t>477.87M</t>
  </si>
  <si>
    <t>10.86</t>
  </si>
  <si>
    <t>0.84%</t>
  </si>
  <si>
    <t>SATL</t>
  </si>
  <si>
    <t>Satellogic Inc</t>
  </si>
  <si>
    <t>293.15M</t>
  </si>
  <si>
    <t>3.06</t>
  </si>
  <si>
    <t>7.75%</t>
  </si>
  <si>
    <t>TATT</t>
  </si>
  <si>
    <t>TAT Technologies Ltd</t>
  </si>
  <si>
    <t>287.29M</t>
  </si>
  <si>
    <t>26.26</t>
  </si>
  <si>
    <t>1.08%</t>
  </si>
  <si>
    <t>PKE</t>
  </si>
  <si>
    <t>Park Aerospace Corp</t>
  </si>
  <si>
    <t>275.57M</t>
  </si>
  <si>
    <t>13.83</t>
  </si>
  <si>
    <t>0.22%</t>
  </si>
  <si>
    <t>POWW</t>
  </si>
  <si>
    <t>AMMO Inc</t>
  </si>
  <si>
    <t>190.01M</t>
  </si>
  <si>
    <t>1.60</t>
  </si>
  <si>
    <t>1,461,727</t>
  </si>
  <si>
    <t>SPCE</t>
  </si>
  <si>
    <t>Virgin Galactic Holdings Inc</t>
  </si>
  <si>
    <t>135.01M</t>
  </si>
  <si>
    <t>3.80</t>
  </si>
  <si>
    <t>-0.78%</t>
  </si>
  <si>
    <t>1,607,077</t>
  </si>
  <si>
    <t>SPAI</t>
  </si>
  <si>
    <t>Safe Pro Group Inc</t>
  </si>
  <si>
    <t>53.39M</t>
  </si>
  <si>
    <t>3.88</t>
  </si>
  <si>
    <t>-0.51%</t>
  </si>
  <si>
    <t>OPXS</t>
  </si>
  <si>
    <t>Optex Systems Holdings Inc</t>
  </si>
  <si>
    <t>39.73M</t>
  </si>
  <si>
    <t>5.76</t>
  </si>
  <si>
    <t>-2.54%</t>
  </si>
  <si>
    <t>SVT</t>
  </si>
  <si>
    <t>Servotronics, Inc</t>
  </si>
  <si>
    <t>27.74M</t>
  </si>
  <si>
    <t>11.00</t>
  </si>
  <si>
    <t>SIF</t>
  </si>
  <si>
    <t>SIFCO Industries Inc</t>
  </si>
  <si>
    <t>19.98M</t>
  </si>
  <si>
    <t>3.25</t>
  </si>
  <si>
    <t>-0.31%</t>
  </si>
  <si>
    <t>SIDU</t>
  </si>
  <si>
    <t>Sidus Space Inc</t>
  </si>
  <si>
    <t>16.45M</t>
  </si>
  <si>
    <t>1.89</t>
  </si>
  <si>
    <t>-4.06%</t>
  </si>
  <si>
    <t>PRZO</t>
  </si>
  <si>
    <t>ParaZero Technologies Ltd</t>
  </si>
  <si>
    <t>13.68M</t>
  </si>
  <si>
    <t>0.83</t>
  </si>
  <si>
    <t>-3.48%</t>
  </si>
  <si>
    <t>MNTS</t>
  </si>
  <si>
    <t>Momentus Inc</t>
  </si>
  <si>
    <t>8.70M</t>
  </si>
  <si>
    <t>2.65</t>
  </si>
  <si>
    <t>-7.02%</t>
  </si>
  <si>
    <t>XTIA</t>
  </si>
  <si>
    <t>XTI Aerospace Inc</t>
  </si>
  <si>
    <t>5.30M</t>
  </si>
  <si>
    <t>2.87</t>
  </si>
  <si>
    <t>-3.69%</t>
  </si>
  <si>
    <t>29fev2025</t>
  </si>
  <si>
    <t>x</t>
  </si>
  <si>
    <t>MC</t>
  </si>
  <si>
    <t>UK</t>
  </si>
  <si>
    <t>NW</t>
  </si>
  <si>
    <t>FR</t>
  </si>
  <si>
    <t>IT</t>
  </si>
  <si>
    <t xml:space="preserve">Naval </t>
  </si>
  <si>
    <t>Air</t>
  </si>
  <si>
    <t>Aerospace</t>
  </si>
  <si>
    <t>Defense</t>
  </si>
  <si>
    <t>Technology</t>
  </si>
  <si>
    <t>Hensolt AG</t>
  </si>
  <si>
    <t>Eletrônics</t>
  </si>
  <si>
    <t>GR</t>
  </si>
  <si>
    <t>Melrose Industries PLC</t>
  </si>
  <si>
    <t>BR</t>
  </si>
  <si>
    <t>GB</t>
  </si>
  <si>
    <t>Rheinmetall AG</t>
  </si>
  <si>
    <t>Saab AB</t>
  </si>
  <si>
    <t>SE</t>
  </si>
  <si>
    <t>Vehicles</t>
  </si>
  <si>
    <t>Cybersecurity</t>
  </si>
  <si>
    <t>Rank (USA)</t>
  </si>
  <si>
    <t>USA SUM</t>
  </si>
  <si>
    <t>NATO SUM</t>
  </si>
  <si>
    <t>% Today</t>
  </si>
  <si>
    <t>Ricardo  e Barbosa</t>
  </si>
  <si>
    <t>OGMA</t>
  </si>
  <si>
    <t>CEIA</t>
  </si>
  <si>
    <t>NL</t>
  </si>
  <si>
    <t>Cluster</t>
  </si>
  <si>
    <t>NSPA</t>
  </si>
  <si>
    <t>Empresa Nato</t>
  </si>
  <si>
    <t>MecraCrom</t>
  </si>
  <si>
    <t>Airbus</t>
  </si>
  <si>
    <t>Rolls-Royce</t>
  </si>
  <si>
    <t>DE</t>
  </si>
  <si>
    <t>AM</t>
  </si>
  <si>
    <t>Capex</t>
  </si>
  <si>
    <t>PoP</t>
  </si>
  <si>
    <t>Pexpense</t>
  </si>
  <si>
    <t>SeenToDate</t>
  </si>
  <si>
    <t xml:space="preserve">Ratio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</si>
</sst>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 [$kr-143B]_-;\-* #,##0.00\ [$kr-143B]_-;_-* &quot;-&quot;??\ [$kr-143B]_-;_-@_-"/>
  </numFmts>
  <fonts count="1" x14ac:knownFonts="1">
    <font>
      <sz val="11"/>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9" fontId="0" fillId="0" borderId="0" xfId="0" applyNumberFormat="1"/>
    <xf numFmtId="3" fontId="0" fillId="0" borderId="0" xfId="0" applyNumberFormat="1"/>
    <xf numFmtId="2" fontId="0" fillId="0" borderId="0" xfId="0" applyNumberFormat="1" applyAlignment="1">
      <alignment horizontal="right"/>
    </xf>
    <xf numFmtId="0" fontId="0" fillId="0" borderId="0" xfId="0" applyAlignment="1">
      <alignment horizontal="right"/>
    </xf>
    <xf numFmtId="0" fontId="0" fillId="0" borderId="0" xfId="0" applyAlignment="1">
      <alignment horizontal="center"/>
    </xf>
    <xf numFmtId="14" fontId="0" fillId="0" borderId="0" xfId="0" applyNumberFormat="1"/>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13" Type="http://schemas.microsoft.com/office/2017/06/relationships/rdSupportingPropertyBag" Target="richData/rdsupportingpropertybag.xml"/><Relationship Id="rId3" Type="http://schemas.openxmlformats.org/officeDocument/2006/relationships/worksheet" Target="worksheets/sheet3.xml"/><Relationship Id="rId7" Type="http://schemas.openxmlformats.org/officeDocument/2006/relationships/sharedStrings" Target="sharedStrings.xml"/><Relationship Id="rId12" Type="http://schemas.microsoft.com/office/2017/06/relationships/rdSupportingPropertyBagStructure" Target="richData/rdsupportingpropertybagstructure.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06/relationships/richStyles" Target="richData/richStyles.xml"/><Relationship Id="rId5" Type="http://schemas.openxmlformats.org/officeDocument/2006/relationships/theme" Target="theme/theme1.xml"/><Relationship Id="rId15" Type="http://schemas.openxmlformats.org/officeDocument/2006/relationships/calcChain" Target="calcChain.xml"/><Relationship Id="rId10" Type="http://schemas.microsoft.com/office/2017/06/relationships/rdRichValueStructure" Target="richData/rdrichvaluestructure.xml"/><Relationship Id="rId4" Type="http://schemas.openxmlformats.org/officeDocument/2006/relationships/worksheet" Target="worksheets/sheet4.xml"/><Relationship Id="rId9" Type="http://schemas.microsoft.com/office/2017/06/relationships/rdRichValue" Target="richData/rdrichvalue.xml"/><Relationship Id="rId14" Type="http://schemas.microsoft.com/office/2017/06/relationships/rdRichValueTypes" Target="richData/rdRichValueTypes.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63">
  <rv s="0">
    <v>https://www.bing.com/financeapi/forcetrigger?t=amx6r7&amp;q=XSTO%3aSAAB+B&amp;form=skydnc</v>
    <v>Learn more on Bing</v>
  </rv>
  <rv s="1">
    <v>pt-BR</v>
    <v>amx6r7</v>
    <v>268435456</v>
    <v>1</v>
    <v>Da plataforma Refinitiv</v>
    <v>0</v>
    <v>1</v>
    <v>Saab (XSTO:SAAB B)</v>
    <v>3</v>
    <v>4</v>
    <v>Finance</v>
    <v>5</v>
    <v>988</v>
    <v>161.44999999999999</v>
    <v>XSTO</v>
    <v>533847800</v>
    <v>0</v>
    <v>0</v>
    <v>585</v>
    <v>1937</v>
    <v>569.29999999999995</v>
    <v>-0.13220000000000001</v>
    <v>NASDAQ Stockholm</v>
    <v>375882200000</v>
    <v>Saab AB is a Sweden-based company offering products and services ranging from military defense to civil security. The Company’s operations are divided into six business areas. The Aeronautics includes the development of civil and military aviation technology, including the Gripen and Unmanned Aerial Systems. The Dynamics comprises a product portfolio of weapon systems, such as support weapons, missiles, Remotely Operated Vehicles and signature management systems. The Electronic Defense Systems provides airbone, land-based and naval systems and radar, signals intelligence and self-protection. The Security and Defense Solutions provides the military and civil security market with, among others, computerized command, control, communications and intelligence systems. The Support and Services offers service and support to the Saab’s clients. Among others, the Company operates through Thyssen Krupp Marine Systems AB and Nordic Defence Industries, a producer of mine disposal charge systems.</v>
    <v>XSTO</v>
    <v>576.20000000000005</v>
    <v>28667</v>
    <v>46171.666666666664</v>
    <v>0</v>
    <v>1399600</v>
    <v>SEK</v>
    <v>Saab</v>
    <v>Saab</v>
    <v>48.4099</v>
    <v>580</v>
    <v>569.29999999999995</v>
    <v>569.29999999999995</v>
    <v>Broderna Ugglas Gata, LINKOPING, OSTERGOTLAND, 582 54 SE</v>
    <v>Aerospace &amp; Defense</v>
    <v>SAAB B</v>
    <v>Ações</v>
    <v>Saab (XSTO:SAAB B)</v>
    <v>-6.9</v>
    <v>-1.1975E-2</v>
    <v>2812074</v>
  </rv>
  <rv s="2">
    <v>1</v>
  </rv>
  <rv s="0">
    <v>http://en.wikipedia.org/wiki/Public_domain</v>
    <v>Public domain</v>
  </rv>
  <rv s="0">
    <v>http://en.wikipedia.org/wiki/Airbus</v>
    <v>Wikipedia</v>
  </rv>
  <rv s="3">
    <v>3</v>
    <v>4</v>
  </rv>
  <rv s="4">
    <v>12</v>
    <v>https://www.bing.com/th?id=AMMS_abaa60abfe41f3cc31a73bc766832b19&amp;qlt=95</v>
    <v>5</v>
    <v>0</v>
    <v>https://www.bing.com/images/search?form=xlimg&amp;q=airbus</v>
    <v>Image of Airbus NL</v>
  </rv>
  <rv s="0">
    <v>https://www.bing.com/financeapi/forcetrigger?t=ae7bur&amp;q=XPAR%3aAIR&amp;form=skydnc</v>
    <v>Learn more on Bing</v>
  </rv>
  <rv s="5">
    <v>pt-BR</v>
    <v>ae7bur</v>
    <v>268435456</v>
    <v>1</v>
    <v>Da plataforma Refinitiv</v>
    <v>6</v>
    <v>7</v>
    <v>Airbus NL (XPAR:AIR)</v>
    <v>9</v>
    <v>10</v>
    <v>Finance</v>
    <v>11</v>
    <v>221.3</v>
    <v>157.41999999999999</v>
    <v>XPAR</v>
    <v>792283700</v>
    <v>183.02</v>
    <v>1998</v>
    <v>179.02</v>
    <v>1.2146999999999999</v>
    <v>Euronext Paris</v>
    <v>174460900000</v>
    <v>Airbus SE is a Netherlands-based Company that is active in the aerospace and defense industry. The Company operates through three segments: Airbus, Airbus Helicopters and Airbus Defense and Space. The Airbus segment focuses on the development, manufacturing, marketing and sale of commercial jet aircraft and aircraft components, as well as on aircraft conversion and related services. The Airbus Helicopters segment specializes in the development, manufacturing, marketing and sale of civil and military helicopters, as well as on the provision of helicopter related services. The Airbus Defense and Space segment produces military combat aircraft and training aircraft, provides defense electronics and global security market solutions, and manufacturers and markets missiles.</v>
    <v>XPAR</v>
    <v>177.7</v>
    <v>166876</v>
    <v>46171.666666666664</v>
    <v>6</v>
    <v>7</v>
    <v>1205870</v>
    <v>EUR</v>
    <v>Airbus NL</v>
    <v>Airbus NL</v>
    <v>28.2485</v>
    <v>180.44</v>
    <v>179.7</v>
    <v>Mendelweg 30, LEIDEN, ZUID-HOLLAND, 2333CS NL</v>
    <v>Aerospace &amp; Defense</v>
    <v>AIR</v>
    <v>Ações</v>
    <v>Airbus NL (XPAR:AIR)</v>
    <v>2</v>
    <v>1.1254999999999999E-2</v>
    <v>3476455</v>
  </rv>
  <rv s="2">
    <v>8</v>
  </rv>
  <rv s="0">
    <v>https://www.bing.com/financeapi/forcetrigger?t=a1wzw7&amp;q=XNYS%3aLMT&amp;form=skydnc</v>
    <v>Learn more on Bing</v>
  </rv>
  <rv s="1">
    <v>pt-BR</v>
    <v>a1wzw7</v>
    <v>268435456</v>
    <v>1</v>
    <v>Da plataforma Refinitiv</v>
    <v>0</v>
    <v>1</v>
    <v>LOCKHEED MARTIN CORPORATION (XNYS:LMT)</v>
    <v>3</v>
    <v>13</v>
    <v>Finance</v>
    <v>14</v>
    <v>692</v>
    <v>410.11</v>
    <v>XNYS</v>
    <v>230563600</v>
    <v>1.3569999999999999E-3</v>
    <v>0.72</v>
    <v>537.25</v>
    <v>1994</v>
    <v>527.95000000000005</v>
    <v>0.1041</v>
    <v>New York Stock Exchange</v>
    <v>122302461620</v>
    <v>A Lockheed Martin Corporation é uma empresa global de aeroespacial e defesa. A empresa está envolvida na pesquisa, design, desenvolvimento, fabricação, integração e sustentabilidade de sistemas de tecnologia avançada, produtos e serviços. Seus segmentos incluem Aeronáutica, Mísseis e Controle de Incêndio (MFC), Rotary and Mission Systems (RMS) e Space. O segmento aeronáutico está envolvido na pesquisa, design, desenvolvimento, fabricação, integração, manutenção, suporte e atualização de aeronaves militares avançadas. O MFC Segment fornece sistemas de defesa aérea e míssil, veículos terrestres tripulados e não tripulados, soluções de gerenciamento de energia e outros. O segmento RMS projeta, fabrica, presta serviços e suporta vários helicópteros militares e comerciais, navios de superfície, sistemas de defesa de mísseis terrestres e marítimos, entre outros. Seu segmento espacial está envolvido na pesquisa e design, desenvolvimento, engenharia e produção de satélites, sistemas de transporte espacial e sistemas estratégicos, avançados de greve e defensivos.</v>
    <v>XNYS</v>
    <v>537.21</v>
    <v>123000</v>
    <v>46171.999405381248</v>
    <v>10</v>
    <v>1495910</v>
    <v>USD</v>
    <v>LOCKHEED MARTIN CORPORATION</v>
    <v>LOCKHEED MARTIN CORPORATION</v>
    <v>26.016200000000001</v>
    <v>536.24</v>
    <v>530.45000000000005</v>
    <v>531.16999999999996</v>
    <v>6801 ROCKLEDGE DR BETHESDA, MD, 20817 US</v>
    <v>Aerospace &amp; Defense</v>
    <v>LMT</v>
    <v>Ações</v>
    <v>LOCKHEED MARTIN CORPORATION (XNYS:LMT)</v>
    <v>-6.76</v>
    <v>-1.2584E-2</v>
    <v>2248598</v>
  </rv>
  <rv s="2">
    <v>11</v>
  </rv>
  <rv s="0">
    <v>https://www.bing.com/financeapi/forcetrigger?t=a1tppr&amp;q=XNYS%3aGD&amp;form=skydnc</v>
    <v>Learn more on Bing</v>
  </rv>
  <rv s="1">
    <v>pt-BR</v>
    <v>a1tppr</v>
    <v>268435456</v>
    <v>1</v>
    <v>Da plataforma Refinitiv</v>
    <v>0</v>
    <v>1</v>
    <v>GENERAL DYNAMICS CORPORATION (XNYS:GD)</v>
    <v>3</v>
    <v>13</v>
    <v>Finance</v>
    <v>14</v>
    <v>369.7</v>
    <v>268.10000000000002</v>
    <v>XNYS</v>
    <v>270430200</v>
    <v>8.0729999999999994E-4</v>
    <v>0.28000000000000003</v>
    <v>349.52</v>
    <v>1952</v>
    <v>345.45</v>
    <v>0.33889999999999998</v>
    <v>New York Stock Exchange</v>
    <v>93790601964</v>
    <v>A General Dynamics Corporation é uma empresa global de aeroespacial e defesa. Oferece um portfólio de produtos e serviços em aviação executiva; construção e reparo de navios; veículos de combate terrestre, sistemas de armas e munições, e produtos e serviços tecnológicos. Seus segmentos incluem Aeroespacial, Sistemas Marinhos, Sistemas de Combate e Tecnologias. O segmento Aeroespacial produz jatos de negócios e é o portador padrão em aeronaves de nova tecnologia, reparo de aeronaves, suporte ao cliente e serviços de conclusão personalizada. O segmento Marine Systems projeta e constrói submarinos de energia nuclear e está envolvido no projeto e construção de navios auxiliares e combatentes de superfície para a Marinha dos EUA. O segmento Combat Systems fabrica soluções de combate terrestre em todo o mundo, incluindo veículos de combate com rodas e rastreados, sistemas de armas e munições. O segmento de Tecnologias fornece um espetro completo de serviços, tecnologias e produtos para uma gama de clientes militares, de inteligência, civis federais e estaduais.</v>
    <v>XNYS</v>
    <v>348.96</v>
    <v>117000</v>
    <v>46171.99500553203</v>
    <v>13</v>
    <v>1356895</v>
    <v>USD</v>
    <v>GENERAL DYNAMICS CORPORATION</v>
    <v>GENERAL DYNAMICS CORPORATION</v>
    <v>21.8127</v>
    <v>348.56</v>
    <v>346.82</v>
    <v>347.1</v>
    <v>11011 Sunset Hills Rd, RESTON, VA, 20190 US</v>
    <v>Aerospace &amp; Defense</v>
    <v>GD</v>
    <v>Ações</v>
    <v>GENERAL DYNAMICS CORPORATION (XNYS:GD)</v>
    <v>-2.14</v>
    <v>-6.1329999999999996E-3</v>
    <v>1245735</v>
  </rv>
  <rv s="2">
    <v>14</v>
  </rv>
  <rv s="0">
    <v>https://www.bing.com/financeapi/forcetrigger?t=a1yngh&amp;q=XNYS%3aNOC&amp;form=skydnc</v>
    <v>Learn more on Bing</v>
  </rv>
  <rv s="1">
    <v>pt-BR</v>
    <v>a1yngh</v>
    <v>268435456</v>
    <v>1</v>
    <v>Da plataforma Refinitiv</v>
    <v>0</v>
    <v>1</v>
    <v>NORTHROP GRUMMAN CORPORATION (XNYS:NOC)</v>
    <v>3</v>
    <v>13</v>
    <v>Finance</v>
    <v>14</v>
    <v>774</v>
    <v>472.02</v>
    <v>XNYS</v>
    <v>142033500</v>
    <v>7.4510000000000006E-4</v>
    <v>0.42</v>
    <v>563.92999999999995</v>
    <v>2010</v>
    <v>551.03</v>
    <v>-0.1225</v>
    <v>New York Stock Exchange</v>
    <v>80061443280</v>
    <v>A Northrop Grumman Corporation é uma empresa global de tecnologia aeroespacial e de defesa. Seus segmentos incluem Sistemas Aeronáuticos, Sistemas de Defesa, Sistemas de Missão e Sistemas Espaciais. A Aeronautics Systems está envolvida no projeto, desenvolvimento, produção, integração, manutenção e modernização de sistemas de aeronaves militares para a Força Aérea dos Estados Unidos, Marinha dos Estados Unidos, outras agências governamentais dos Estados Unidos e clientes internacionais. A Defence Systems está envolvida no projeto, engenharia, desenvolvimento, integração e fabricação de sistemas dissuasivos, armas táticas avançadas e soluções de defesa contra mísseis. A Mission Systems é uma fornecedora de soluções de missão e sistemas multifuncionais. Seus produtos e serviços incluem sistemas de comando, controle, comunicações e computadores e reconhecimento (C4ISR). A Space Systems oferece soluções de missão de ponta a ponta por meio do projeto, desenvolvimento, integração, produção e operação de sistemas espaciais, de defesa antimísseis e de lançamento.</v>
    <v>XNYS</v>
    <v>559.29</v>
    <v>95000</v>
    <v>46171.997175625002</v>
    <v>16</v>
    <v>789310</v>
    <v>USD</v>
    <v>NORTHROP GRUMMAN CORPORATION</v>
    <v>NORTHROP GRUMMAN CORPORATION</v>
    <v>17.530999999999999</v>
    <v>561.30999999999995</v>
    <v>563.67999999999995</v>
    <v>564.1</v>
    <v>2980 Fairview Park Drive, FALLS CHURCH, VA, 22042 US</v>
    <v>Aerospace &amp; Defense</v>
    <v>NOC</v>
    <v>Ações</v>
    <v>NORTHROP GRUMMAN CORPORATION (XNYS:NOC)</v>
    <v>4.3899999999999997</v>
    <v>7.8490000000000001E-3</v>
    <v>1975853</v>
  </rv>
  <rv s="2">
    <v>17</v>
  </rv>
  <rv s="0">
    <v>https://www.bing.com/financeapi/forcetrigger?t=aoczu2&amp;q=XLON%3aRR.&amp;form=skydnc</v>
    <v>Learn more on Bing</v>
  </rv>
  <rv s="6">
    <v>pt-BR</v>
    <v>aoczu2</v>
    <v>268435456</v>
    <v>1</v>
    <v>Da plataforma Refinitiv</v>
    <v>15</v>
    <v>16</v>
    <v>Rolls-Royce Hldg (XLON:RR.)</v>
    <v>3</v>
    <v>17</v>
    <v>Finance</v>
    <v>18</v>
    <v>1420</v>
    <v>841.4</v>
    <v>XLON</v>
    <v>8365140000</v>
    <v>1347.4</v>
    <v>2011</v>
    <v>1315.2</v>
    <v>1.5315000000000001</v>
    <v>London Stock Exchange</v>
    <v>109609200000</v>
    <v>Rolls-Royce Holdings plc is a United Kingdom-based company that develops and delivers power and propulsion solutions for safety-critical applications in the air, at sea and on land. The Company's segments include Civil Aerospace, Defense, Power Systems. The Civil Aerospace segment is engaged in the development, manufacture, marketing and sales of commercial aero engines and aftermarket services. The Defense segment is engaged in the development, manufacture, marketing and sales of military aero engines, naval engines, submarine nuclear power plants and aftermarket services. The Power Systems segment is engaged in the development, manufacture, marketing, and sales of integrated solutions for onsite power and propulsors. Its subsidiaries include Aerospace Transmission Technologies GmbH and PT Rolls-Royce, PT Rolls Royce Solutions Indonesia, Amalgamated Power Engineering Limited, Nightingale Insurance Limited, Rolls-Royce Australia Pty Limited, Rolls-Royce Canada Limited, among others.</v>
    <v>XLON</v>
    <v>1314.6</v>
    <v>42600</v>
    <v>46171.650419316407</v>
    <v>19</v>
    <v>25463830</v>
    <v>GBp</v>
    <v>Rolls-Royce Hldg</v>
    <v>Rolls-Royce Hldg</v>
    <v>18.9588</v>
    <v>1326</v>
    <v>1337.4</v>
    <v>Kings Place, 90 York Way, NaN, LONDON, N1 9FX GB</v>
    <v>Aerospace &amp; Defense</v>
    <v>RR.</v>
    <v>Ações</v>
    <v>Rolls-Royce Hldg (XLON:RR.)</v>
    <v>22.8</v>
    <v>1.7343999999999998E-2</v>
    <v>70571083</v>
  </rv>
  <rv s="2">
    <v>20</v>
  </rv>
  <rv s="0">
    <v>https://www.bing.com/financeapi/forcetrigger?t=afjkkr&amp;q=XFRA%3aRHM&amp;form=skydnc</v>
    <v>Learn more on Bing</v>
  </rv>
  <rv s="7">
    <v>pt-BR</v>
    <v>afjkkr</v>
    <v>268435456</v>
    <v>1</v>
    <v>Da plataforma Refinitiv</v>
    <v>19</v>
    <v>20</v>
    <v>Rheinmetall (XFRA:RHM)</v>
    <v>3</v>
    <v>21</v>
    <v>Finance</v>
    <v>11</v>
    <v>XFRA</v>
    <v>46663520</v>
    <v>1310</v>
    <v>2001</v>
    <v>1283.2</v>
    <v>0.41920000000000002</v>
    <v>Deutsche Boerse AG</v>
    <v>87588830000</v>
    <v>Rheinmetall AG is a Germany-based Company. The Company’s focus is on security technology and mobility solutions. It operates through two segments and five divisions such as defense and automotive segments. The vehicle systems, electronic solutions and weapon and ammunition divisions are operating under security and defense segment and the sensors and actuators and materials and trade divisions supply under automotive segment. The vehicle systems division activity areas are armored tracked vehicles, chemical, biological, radiological and nuclear protection equipment. The weapon and ammunition providing activities in weapons and munitions, propellants, protection systems. The electronic solutions operating areas are air defense systems, soldier systems, command, control and reconnaissance systems, fire control systems. The material and trade operate in engine blocks, structural components and cylinder heads, plain bearings. The sensors and actuators operate in emissions reduction.</v>
    <v>XFRA</v>
    <v>1293.8</v>
    <v>35101</v>
    <v>46171.836805555555</v>
    <v>22</v>
    <v>216040</v>
    <v>EUR</v>
    <v>Rheinmetall</v>
    <v>Rheinmetall</v>
    <v>56.149500000000003</v>
    <v>1301</v>
    <v>1292</v>
    <v>Rheinmetall Platz 1, DUESSELDORF, NORDRHEIN-WESTFALEN, 40476 DE</v>
    <v>Aerospace &amp; Defense</v>
    <v>RHM</v>
    <v>Ações</v>
    <v>Rheinmetall (XFRA:RHM)</v>
    <v>-1.8</v>
    <v>-1.3910000000000001E-3</v>
    <v>471</v>
  </rv>
  <rv s="2">
    <v>23</v>
  </rv>
  <rv s="0">
    <v>https://www.bing.com/financeapi/forcetrigger?t=ao69im&amp;q=XLON%3aBA.&amp;form=skydnc</v>
    <v>Learn more on Bing</v>
  </rv>
  <rv s="6">
    <v>pt-BR</v>
    <v>ao69im</v>
    <v>268435456</v>
    <v>1</v>
    <v>Da plataforma Refinitiv</v>
    <v>15</v>
    <v>16</v>
    <v>BAE Systems (XLON:BA.)</v>
    <v>3</v>
    <v>17</v>
    <v>Finance</v>
    <v>18</v>
    <v>2360</v>
    <v>1588</v>
    <v>XLON</v>
    <v>3008098000</v>
    <v>2045</v>
    <v>1979</v>
    <v>2019</v>
    <v>-0.2059</v>
    <v>London Stock Exchange</v>
    <v>62181050000</v>
    <v>BAE Systems plc provides advanced, technology-led defense, aerospace, and security solutions. The Company is a provider of space, aircraft, weapon systems and munitions, Complex warships, Submarines, Embedding environmental considerations, Intelligence and cyber security, Naval ship repair and support, and Uncrewed and future air system capabilities. Its Electronic Systems segment comprises the United States and United Kingdom-based electronics activities, including electronic warfare systems, navigation systems, and others. Its Platforms &amp; Services segment, with operations in the United States, Sweden and the United Kingdom, manufactures and upgrades combat vehicles, weapons and munitions, and delivers services and sustainment activities Its Air segment comprises air build and support activities. Its Maritime segment comprises maritime and land activities. Its Cyber &amp; Intelligence segment comprises the Intelligence and Security business and the Digital Intelligence business.</v>
    <v>XLON</v>
    <v>2019</v>
    <v>111400</v>
    <v>46171.604815508595</v>
    <v>25</v>
    <v>4464620</v>
    <v>GBp</v>
    <v>BAE Systems</v>
    <v>BAE Systems</v>
    <v>29.4956</v>
    <v>2029</v>
    <v>2023</v>
    <v>6 Carlton Gardens, Stirling Square, LONDON, SW1Y 5AD GB</v>
    <v>Aerospace &amp; Defense</v>
    <v>BA.</v>
    <v>Ações</v>
    <v>BAE Systems (XLON:BA.)</v>
    <v>4</v>
    <v>1.9810000000000001E-3</v>
    <v>11573573</v>
  </rv>
  <rv s="2">
    <v>26</v>
  </rv>
  <rv s="0">
    <v>https://www.bing.com/financeapi/forcetrigger?t=ae8w52&amp;q=XPAR%3aHO&amp;form=skydnc</v>
    <v>Learn more on Bing</v>
  </rv>
  <rv s="6">
    <v>pt-BR</v>
    <v>ae8w52</v>
    <v>268435456</v>
    <v>1</v>
    <v>Da plataforma Refinitiv</v>
    <v>15</v>
    <v>16</v>
    <v>Thales (XPAR:HO)</v>
    <v>3</v>
    <v>22</v>
    <v>Finance</v>
    <v>11</v>
    <v>279.3</v>
    <v>214.5</v>
    <v>XPAR</v>
    <v>205941900</v>
    <v>241.7</v>
    <v>1949</v>
    <v>238.6</v>
    <v>0.1903</v>
    <v>Euronext Paris</v>
    <v>54409850000</v>
    <v>Thales SA is a France-based technology company. The Company provides a range of solutions divided into three segments: Aerospace systems, Defense and security systems, Digital identification and security solutions. The aerospace systems segment provides avionics equipment such as cockpit, cabin multimedia, and simulation equipment and space systems include satellites and payload technologies, among others. Its Defense and security systems segment includes control and monitoring, communication, protection, cybersecurity, and related technologies, radars and optronics. The company’s Cyber and Digital segment offers cybersecurity solutions such as data security, application security as well as digital identity and biometrics solutions to banks, mobile network operators and governments.</v>
    <v>XPAR</v>
    <v>239.6</v>
    <v>84958</v>
    <v>46171.666666666664</v>
    <v>28</v>
    <v>285050</v>
    <v>EUR</v>
    <v>Thales</v>
    <v>Thales</v>
    <v>29.4009</v>
    <v>239.8</v>
    <v>239.5</v>
    <v>4 rue de la Verrerie, MEUDON, ILE-DE-FRANCE, 92190 FR</v>
    <v>Aerospace &amp; Defense</v>
    <v>HO</v>
    <v>Ações</v>
    <v>Thales (XPAR:HO)</v>
    <v>-0.1</v>
    <v>-4.1740000000000001E-4</v>
    <v>509570</v>
  </rv>
  <rv s="2">
    <v>29</v>
  </rv>
  <rv s="0">
    <v>https://www.bing.com/financeapi/forcetrigger?t=a1uvar&amp;q=XNYS%3aLHX&amp;form=skydnc</v>
    <v>Learn more on Bing</v>
  </rv>
  <rv s="1">
    <v>pt-BR</v>
    <v>a1uvar</v>
    <v>268435456</v>
    <v>1</v>
    <v>Da plataforma Refinitiv</v>
    <v>0</v>
    <v>1</v>
    <v>L3HARRIS TECHNOLOGIES, INC. (XNYS:LHX)</v>
    <v>3</v>
    <v>13</v>
    <v>Finance</v>
    <v>14</v>
    <v>379.23</v>
    <v>237.56</v>
    <v>XNYS</v>
    <v>186295000</v>
    <v>-1.2690000000000002E-3</v>
    <v>-0.4</v>
    <v>315.29000000000002</v>
    <v>1926</v>
    <v>308.74</v>
    <v>0.49919999999999998</v>
    <v>New York Stock Exchange</v>
    <v>58716458100</v>
    <v>L3ハリス・テクノロジーズ（L3Harris Technologies Inc）は、国家安全保障のために、宇宙、空、陸、海、サイバー領域をつなぐエンドツーエンドの技術ソリューションを提供す。【事業内容】事業セグメントは、宇宙・航空システム（SAS）、統合ミッションシステム（IMS）、通信システム（CS）、エアロジェット・ロケットダイン（AR）。SASセグメントは、宇宙、航空、サイバー領域において、プライムおよびサブシステムインテグレーターとしてフルミッションソリューションを提供する。IMSセグメントは、差別化されたミッション能力とプライム・システム・インテグレーションを提供し、情報、偵察、監視（ISR）、パッシブ・センシング、ターゲティング、電子攻撃、自律性、電力、通信、ネットワーク、センサーをサポートする。CSセグメントは、紛争環境においてもミッションの成功に不可欠なソリューションを提供することで、全領域の戦闘員を支援します。ARセグメントは、DoD、NASA、様々な航空宇宙・防衛プライムコントラクターを含む米国政府に推進力、動力、武装製品およびシステムを提供する。</v>
    <v>XNYS</v>
    <v>314.77999999999997</v>
    <v>45000</v>
    <v>46171.99032188594</v>
    <v>31</v>
    <v>1470087</v>
    <v>USD</v>
    <v>L3HARRIS TECHNOLOGIES, INC.</v>
    <v>L3HARRIS TECHNOLOGIES, INC.</v>
    <v>34.162100000000002</v>
    <v>314.60000000000002</v>
    <v>315.18</v>
    <v>314.77999999999997</v>
    <v>1025 W. NASA Boulevard, MELBOURNE, FL, 32919 US</v>
    <v>Aerospace &amp; Defense</v>
    <v>LHX</v>
    <v>Ações</v>
    <v>L3HARRIS TECHNOLOGIES, INC. (XNYS:LHX)</v>
    <v>0.4</v>
    <v>1.271E-3</v>
    <v>1759863</v>
  </rv>
  <rv s="2">
    <v>32</v>
  </rv>
  <rv s="0">
    <v>https://www.bing.com/financeapi/forcetrigger?t=a21pjc&amp;q=XNAS%3aRADA&amp;form=skydnc</v>
    <v>Learn more on Bing</v>
  </rv>
  <rv s="1">
    <v>pt-BR</v>
    <v>a21pjc</v>
    <v>268435456</v>
    <v>1</v>
    <v>Da plataforma Refinitiv</v>
    <v>0</v>
    <v>1</v>
    <v>Leonardo DRS (XNAS:DRS)</v>
    <v>3</v>
    <v>13</v>
    <v>Finance</v>
    <v>14</v>
    <v>49.31</v>
    <v>32.43</v>
    <v>XNAS</v>
    <v>266762100</v>
    <v>4.7169999999999998E-3</v>
    <v>0.23</v>
    <v>48.945</v>
    <v>1968</v>
    <v>47.594999999999999</v>
    <v>0.34079999999999999</v>
    <v>Nasdaq Stock Market</v>
    <v>13007319996</v>
    <v>Leonardo DRS, Inc. is a provider of advanced defense technology to the United States national security customers and allies around the world. It specializes in the design, development and manufacture of advanced sensing, network computing, force protection, and electric power and propulsion, and other mission-critical technologies. It is a provider of defense products and technologies that are used across land, air, sea, space, and cyber domains. Its segments include Advanced Sensing and Computing (ASC) and Integrated Mission Systems (IMS). The ASC segment designs, develops, and manufactures sensing and network computing technology that enables real-time situational awareness required for operational decision making and execution by its customers. The IMS segment designs, develops, manufactures, and integrates power conversion, control and distribution systems, ship propulsion systems, motors and variable frequency drives, force protection systems, transportation and logistics systems.</v>
    <v>XNAS</v>
    <v>48.41</v>
    <v>7300</v>
    <v>46171.987624200781</v>
    <v>34</v>
    <v>945805</v>
    <v>USD</v>
    <v>Leonardo DRS</v>
    <v>Leonardo DRS</v>
    <v>45.173200000000001</v>
    <v>48.29</v>
    <v>48.76</v>
    <v>48.99</v>
    <v>2345 Crystal Drive, Suite 1000, ARLINGTON, VA, 22202 US</v>
    <v>Aerospace &amp; Defense</v>
    <v>DRS</v>
    <v>Ações</v>
    <v>Leonardo DRS (XNAS:DRS)</v>
    <v>0.35</v>
    <v>7.2299999999999994E-3</v>
    <v>1342434</v>
  </rv>
  <rv s="2">
    <v>35</v>
  </rv>
  <rv s="0">
    <v>https://www.bing.com/financeapi/forcetrigger?t=ae7r27&amp;q=XPAR%3aAM&amp;form=skydnc</v>
    <v>Learn more on Bing</v>
  </rv>
  <rv s="6">
    <v>pt-BR</v>
    <v>ae7r27</v>
    <v>268435456</v>
    <v>1</v>
    <v>Da plataforma Refinitiv</v>
    <v>15</v>
    <v>16</v>
    <v>Dassault Avi (XPAR:AM)</v>
    <v>3</v>
    <v>22</v>
    <v>Finance</v>
    <v>11</v>
    <v>361.8</v>
    <v>260.60000000000002</v>
    <v>XPAR</v>
    <v>77712750</v>
    <v>305</v>
    <v>1971</v>
    <v>300.2</v>
    <v>0.44030000000000002</v>
    <v>Euronext Paris</v>
    <v>24616670000</v>
    <v>Dassault Aviation SA is a France-based company that operates in the global civil and military aviation industry. The Company specializes in the design, manufacture and sale of combat aircrafts and executive jets. Its portfolio of products includes Falcon family for the civil aviation market, as well as Mirage 2000, Rafale and Neuron aircrafts for the military sector. It also offers spare parts, tools and a range of services, such as technical support, maintenance and repair of airframe equipment and parts, among others. The Company has its offices in Europe, Asia, South America and Middle East. Dassault Aviation SA has a number of subsidiaries, located in Europe and Northern America, including DFJ-Little Rock, Sogitec Industries, DFJ Wilmington Corp., DFJ Teterboro, Dassault Falcon Service - Le Bourget, Aero-Precision Repair &amp; Overhaul Co., Inc, Dassault Procurement Services Inc., Dassault Aircraft Services and Midway Aircraft Instruments Company.</v>
    <v>XPAR</v>
    <v>303.2</v>
    <v>15024</v>
    <v>46171.666666666664</v>
    <v>37</v>
    <v>63520</v>
    <v>EUR</v>
    <v>Dassault Avi</v>
    <v>Dassault Avi</v>
    <v>24.340399999999999</v>
    <v>303</v>
    <v>304.8</v>
    <v>78 QUAI MARCEL DASSAULT, 92210 FR</v>
    <v>Aerospace &amp; Defense</v>
    <v>AM</v>
    <v>Ações</v>
    <v>Dassault Avi (XPAR:AM)</v>
    <v>1.6</v>
    <v>5.2769999999999996E-3</v>
    <v>207713</v>
  </rv>
  <rv s="2">
    <v>38</v>
  </rv>
  <rv s="0">
    <v>https://www.bing.com/financeapi/forcetrigger?t=aobrkr&amp;q=XLON%3aMRO&amp;form=skydnc</v>
    <v>Learn more on Bing</v>
  </rv>
  <rv s="6">
    <v>pt-BR</v>
    <v>aobrkr</v>
    <v>268435456</v>
    <v>1</v>
    <v>Da plataforma Refinitiv</v>
    <v>15</v>
    <v>16</v>
    <v>Melrose Inds (XLON:MRO)</v>
    <v>3</v>
    <v>17</v>
    <v>Finance</v>
    <v>18</v>
    <v>685</v>
    <v>452</v>
    <v>XLON</v>
    <v>1246685000</v>
    <v>480.8</v>
    <v>2015</v>
    <v>470.7</v>
    <v>1.1842999999999999</v>
    <v>London Stock Exchange</v>
    <v>8118258000</v>
    <v>Melrose Industries PLC is a United Kingdom-based pure-play aerospace company. The Company provides advanced aerospace components and systems to all major original equipment manufacturer (OEMs), across both civil and defense markets. The Company operates through two divisions: Engines and Structures. Engines segment is a global tier one supplier to the aerospace engines market, including structural engineered components; parts repair; commercial and aftermarket contracts. Structures segment is a multi-technology global tier one supplier of both civil and defense air frames, including lightweight composite and metallic structures: electrical distribution systems and components. Its business includes GKN Aerospace, is a tier one supplier of airframe and engine structures, landing gear, electrical interconnection systems, transparencies, and aftermarket services.</v>
    <v>XLON</v>
    <v>476</v>
    <v>13844</v>
    <v>46171.602190740625</v>
    <v>40</v>
    <v>6075540</v>
    <v>GBp</v>
    <v>Melrose Inds</v>
    <v>Melrose Inds</v>
    <v>16.306000000000001</v>
    <v>479</v>
    <v>470.7</v>
    <v>1st Floor, Stratton House, 5 Stratton Street, LONDON, W1J 8LA GB</v>
    <v>Aerospace &amp; Defense</v>
    <v>MRO</v>
    <v>Ações</v>
    <v>Melrose Inds (XLON:MRO)</v>
    <v>-5.3</v>
    <v>-1.1134E-2</v>
    <v>19580264</v>
  </rv>
  <rv s="2">
    <v>41</v>
  </rv>
  <rv s="0">
    <v>https://www.bing.com/financeapi/forcetrigger?t=bwa2fr&amp;q=XFRA%3aHAG&amp;form=skydnc</v>
    <v>Learn more on Bing</v>
  </rv>
  <rv s="7">
    <v>pt-BR</v>
    <v>bwa2fr</v>
    <v>268435456</v>
    <v>1</v>
    <v>Da plataforma Refinitiv</v>
    <v>19</v>
    <v>20</v>
    <v>Hensoldt (XFRA:HAG)</v>
    <v>3</v>
    <v>21</v>
    <v>Finance</v>
    <v>11</v>
    <v>XFRA</v>
    <v>115500000</v>
    <v>90.22</v>
    <v>2020</v>
    <v>88.02</v>
    <v>0.37030000000000002</v>
    <v>Deutsche Boerse AG</v>
    <v>10626000000</v>
    <v xml:space="preserve">Hensoldt AG, former Hensoldt GmbH, is a Germany based manufacturer of search, detection, navigation, guidance, aeronautical and nautical systems and instruments. The Company also directly or indirectly acquires, holds, sells and manages stakes in companies involved in the development, manufacture, operation and sale of electrical engineering systems, optronic products and software solutions for military and non-military purposes. </v>
    <v>XFRA</v>
    <v>89.04</v>
    <v>9193</v>
    <v>46171.836805555555</v>
    <v>43</v>
    <v>485050</v>
    <v>EUR</v>
    <v>Hensoldt</v>
    <v>Hensoldt</v>
    <v>101.1724</v>
    <v>89.2</v>
    <v>88.02</v>
    <v>Willy-Messerschmitt-Strasse 3, TAUFKIRCHEN, BAYERN, 82024 DE</v>
    <v>Aerospace &amp; Defense</v>
    <v>HAG</v>
    <v>Ações</v>
    <v>Hensoldt (XFRA:HAG)</v>
    <v>-1.02</v>
    <v>-1.1455999999999999E-2</v>
    <v>1636</v>
  </rv>
  <rv s="2">
    <v>44</v>
  </rv>
  <rv s="0">
    <v>https://www.bing.com/financeapi/forcetrigger?t=afm76h&amp;q=XFRA%3aTKA&amp;form=skydnc</v>
    <v>Learn more on Bing</v>
  </rv>
  <rv s="6">
    <v>pt-BR</v>
    <v>afm76h</v>
    <v>268435456</v>
    <v>1</v>
    <v>Da plataforma Refinitiv</v>
    <v>15</v>
    <v>16</v>
    <v>Thyssenkrupp (XFRA:TKA)</v>
    <v>3</v>
    <v>22</v>
    <v>Finance</v>
    <v>11</v>
    <v>26.33</v>
    <v>2.7650000000000001</v>
    <v>XFRA</v>
    <v>622531700</v>
    <v>11.95</v>
    <v>2001</v>
    <v>11.585000000000001</v>
    <v>1.7578</v>
    <v>Deutsche Boerse AG</v>
    <v>6592611000</v>
    <v>thyssenkrupp AG is a Germany-based group of industrial and technology companies. It operates in five segments: Materials Services is engaged in the global distribution of materials and the provision of technical services for the production and manufacturing sector; Industrial Components manufactures forged components and system solutions for the resource, construction and mobility sectors, as well as slewing rings, antifriction bearings and seamless rolled rings for the wind energy and construction machinery sectors; Automotive Technology develops and manufactures high-tech components and systems for the automotive industry and develops automated production systems for the automotive industry; Steel Europe brings together the premium flat carbon steel activities, from intelligent materials solutions to finished parts; Marine Systems is a system provider in submarine and surface ship building and in the field of maritime electronics and security technology. It operates worldwide.</v>
    <v>XFRA</v>
    <v>11.625</v>
    <v>90916</v>
    <v>46171.836805555555</v>
    <v>46</v>
    <v>2455570</v>
    <v>EUR</v>
    <v>Thyssenkrupp</v>
    <v>Thyssenkrupp</v>
    <v>1733.85</v>
    <v>11.63</v>
    <v>11.744999999999999</v>
    <v>thyssenkrupp Allee 1, Essen, NORDRHEIN-WESTFALEN, 45143 DE</v>
    <v>Metals &amp; Mining</v>
    <v>TKA</v>
    <v>Ações</v>
    <v>Thyssenkrupp (XFRA:TKA)</v>
    <v>0.12</v>
    <v>1.0323000000000001E-2</v>
    <v>42207</v>
  </rv>
  <rv s="2">
    <v>47</v>
  </rv>
  <rv s="0">
    <v>https://www.bing.com/financeapi/forcetrigger?t=ajf6m7&amp;q=XMIL%3aFCT&amp;form=skydnc</v>
    <v>Learn more on Bing</v>
  </rv>
  <rv s="8">
    <v>pt-BR</v>
    <v>ajf6m7</v>
    <v>268435456</v>
    <v>1</v>
    <v>Da plataforma Refinitiv</v>
    <v>23</v>
    <v>24</v>
    <v>Fincantieri (XMIL:FCT)</v>
    <v>3</v>
    <v>25</v>
    <v>Finance</v>
    <v>26</v>
    <v>27.38</v>
    <v>10.78</v>
    <v>XMIL</v>
    <v>358693000</v>
    <v>12.1</v>
    <v>11.795</v>
    <v>0.93789999999999996</v>
    <v>Borsa Italiana</v>
    <v>6273990000</v>
    <v>Fincantieri SpA is an Italy-based company engaged in the industry sector. The Company is active in the shipbuilding constructions. The Company’s activities are divided into four business divisions. The Shipbuilding division produces cruise ships, ferries, naval vessels and mega yachts, as well as offers ship repair, conversion, refitting and refurbishment. The Offshore division focuses on the design and construction of support vessels for the oil and gas exploration and production market. The Equipment, Systems and Service division is engaged in the design and manufacture of systems and apparatus, and the provision of after sales service. The Other division provides costs for directing, controlling and coordinating the business. Fincantieri SpA is active in the domestic market, as well as in the United States, Brazil, Norway, Romania, India and Singapore, among others. It operates through Vard Promar.</v>
    <v>XMIL</v>
    <v>12.05</v>
    <v>24370</v>
    <v>46171.666666666664</v>
    <v>49</v>
    <v>1881170</v>
    <v>EUR</v>
    <v>Fincantieri</v>
    <v>Fincantieri</v>
    <v>31.120200000000001</v>
    <v>12.1</v>
    <v>11.835000000000001</v>
    <v>Via Genova, 1, TRIESTE, 34121 IT</v>
    <v>Machinery, Equipment &amp; Components</v>
    <v>FCT</v>
    <v>Ações</v>
    <v>Fincantieri (XMIL:FCT)</v>
    <v>-0.215</v>
    <v>-1.7842E-2</v>
    <v>2957506</v>
  </rv>
  <rv s="2">
    <v>50</v>
  </rv>
  <rv s="0">
    <v>https://www.bing.com/financeapi/forcetrigger?t=ao6af2&amp;q=XLON%3aBAB&amp;form=skydnc</v>
    <v>Learn more on Bing</v>
  </rv>
  <rv s="6">
    <v>pt-BR</v>
    <v>ao6af2</v>
    <v>268435456</v>
    <v>1</v>
    <v>Da plataforma Refinitiv</v>
    <v>15</v>
    <v>16</v>
    <v>Babcock Intl (XLON:BAB)</v>
    <v>3</v>
    <v>17</v>
    <v>Finance</v>
    <v>18</v>
    <v>1527</v>
    <v>906.75</v>
    <v>XLON</v>
    <v>490445500</v>
    <v>1118</v>
    <v>1989</v>
    <v>1087</v>
    <v>1.3069</v>
    <v>London Stock Exchange</v>
    <v>7502865000</v>
    <v>Babcock International Group PLC is a United Kingdom-based international defense, aerospace and security company. The Company provides a range of products and service solutions to enhance its customers’ defense capabilities and critical assets. It operates in four segments: Marine, Nuclear, Land, and Aviation. The Marine segment includes naval ships, equipment, and marine infrastructure in the United Kingdom and internationally. The Nuclear segment includes submarines and complex engineering services in support of decommissioning programs and projects, training and operation support, new build program management and design and installation in the United Kingdom. The Land segment includes critical vehicle fleet management, equipment support and training for military and civil customers. The Aviation segment includes critical engineering services for defense and civil customers, including pilot training and equipment support. It operates in Australasia, Canada, France, and South Africa.</v>
    <v>XLON</v>
    <v>1108.5</v>
    <v>26858</v>
    <v>46171.604058599216</v>
    <v>52</v>
    <v>2879960</v>
    <v>GBp</v>
    <v>Babcock Intl</v>
    <v>Babcock Intl</v>
    <v>19.433700000000002</v>
    <v>1113.5</v>
    <v>1096.5</v>
    <v>Babcock International, 33 Wigmore Street, NaN, LONDON, W1U 1QX GB</v>
    <v>Aerospace &amp; Defense</v>
    <v>BAB</v>
    <v>Ações</v>
    <v>Babcock Intl (XLON:BAB)</v>
    <v>-12</v>
    <v>-1.0825E-2</v>
    <v>4015632</v>
  </rv>
  <rv s="2">
    <v>53</v>
  </rv>
  <rv s="0">
    <v>https://www.bing.com/financeapi/forcetrigger?t=aodybh&amp;q=XLON%3aSRP&amp;form=skydnc</v>
    <v>Learn more on Bing</v>
  </rv>
  <rv s="6">
    <v>pt-BR</v>
    <v>aodybh</v>
    <v>268435456</v>
    <v>1</v>
    <v>Da plataforma Refinitiv</v>
    <v>15</v>
    <v>16</v>
    <v>Serco Group (XLON:SRP)</v>
    <v>3</v>
    <v>17</v>
    <v>Finance</v>
    <v>18</v>
    <v>325.8</v>
    <v>184.5</v>
    <v>XLON</v>
    <v>989468600</v>
    <v>275.8</v>
    <v>1986</v>
    <v>264</v>
    <v>0.69479999999999997</v>
    <v>London Stock Exchange</v>
    <v>2911966000</v>
    <v>Serco Group plc is an international provider of critical government services. The Company’s primary focus is on serving government sectors globally. Its core capabilities include service design and advisory, resourcing, complex program management, systems integration, case management, engineering, and asset and facilities management. Its segments include UK&amp;E, North America, Asia Pacific, Middle East and Corporate. Its UK&amp;E segment offers services for sectors including citizen services, defense, health and other facilities management, justice and immigration and transport delivered to the United Kingdom Government, United Kingdom devolved authorities and other public sector customers in the United Kingdom and Europe. Its North America segment offers services for sectors including citizen services, defense and transport delivered to the United States federal and civilian agencies, selected state and municipal governments and the Canadian Government.</v>
    <v>XLON</v>
    <v>274.39999999999998</v>
    <v>47663</v>
    <v>46171.60404938594</v>
    <v>55</v>
    <v>2707320</v>
    <v>GBp</v>
    <v>Serco Group</v>
    <v>Serco Group</v>
    <v>18.470099999999999</v>
    <v>274.2</v>
    <v>264</v>
    <v>SERCO HOUSE 16 BARTLEY WOOD BUSINESS PARK, BARTLEY WAY HOOK, HAMPSHIRE, RG27 9UY GB</v>
    <v>Professional &amp; Commercial Services</v>
    <v>SRP</v>
    <v>Ações</v>
    <v>Serco Group (XLON:SRP)</v>
    <v>-10.4</v>
    <v>-3.7900999999999997E-2</v>
    <v>3987332</v>
  </rv>
  <rv s="2">
    <v>56</v>
  </rv>
  <rv s="0">
    <v>https://www.bing.com/financeapi/forcetrigger?t=ae9y1h&amp;q=XPAR%3aSAF&amp;form=skydnc</v>
    <v>Learn more on Bing</v>
  </rv>
  <rv s="1">
    <v>pt-BR</v>
    <v>ae9y1h</v>
    <v>268435456</v>
    <v>1</v>
    <v>Da plataforma Refinitiv</v>
    <v>0</v>
    <v>1</v>
    <v>Safran (XPAR:SAF)</v>
    <v>3</v>
    <v>27</v>
    <v>Finance</v>
    <v>28</v>
    <v>350.8</v>
    <v>251.5</v>
    <v>XPAR</v>
    <v>418344600</v>
    <v>7.5239999999999994E-3</v>
    <v>2.2999999999999998</v>
    <v>310.89999999999998</v>
    <v>1956</v>
    <v>305.60000000000002</v>
    <v>1.2093</v>
    <v>Euronext Paris</v>
    <v>136296700000</v>
    <v>Safran SA is a France‑based company. The Company is a high‑technology group engaged in the research, design, development, testing, manufacturing, sales, maintenance, and support of advanced aerospace and defence systems. It operates through three main segments: Aerospace Propulsion, which develops and produces propulsion and mechanical power transmission systems for commercial and military aircraft, helicopters, satellites, and drones, along with related MRO and spare‑parts services; Aircraft Equipment, which includes landing and braking systems, engine systems and equipment, electrical systems and engineering, aero systems, and electronics &amp; defence; and Aircraft Interiors, which encompasses aircraft seating, cabin fittings, closets, in‑flight entertainment systems, and flight‑deck equipment.</v>
    <v>XPAR</v>
    <v>303</v>
    <v>110535</v>
    <v>46171.666666666664</v>
    <v>58</v>
    <v>659960</v>
    <v>EUR</v>
    <v>Safran</v>
    <v>Safran</v>
    <v>17.8004</v>
    <v>307.7</v>
    <v>305.7</v>
    <v>308</v>
    <v>2, Boulevard du General Martial Valin, PARIS, ILE-DE-FRANCE, 75015 FR</v>
    <v>Aerospace &amp; Defense</v>
    <v>SAF</v>
    <v>Ações</v>
    <v>Safran (XPAR:SAF)</v>
    <v>2.7</v>
    <v>8.9110000000000005E-3</v>
    <v>970493</v>
  </rv>
  <rv s="2">
    <v>59</v>
  </rv>
  <rv s="9">
    <v>pt-BR</v>
    <v>c9862w</v>
    <v>268435456</v>
    <v>1</v>
    <v>Da plataforma Refinitiv</v>
    <v>29</v>
    <v>30</v>
    <v>Kongsberg Gruppe (OTCM:KBGGY)</v>
    <v>31</v>
    <v>32</v>
    <v>Finance</v>
    <v>28</v>
    <v>74.717299999999994</v>
    <v>9.3419000000000008</v>
    <v>OTCM</v>
    <v>879609300</v>
    <v>1.2103999999999998E-2</v>
    <v>0.218</v>
    <v>18.48</v>
    <v>1995</v>
    <v>17.940000000000001</v>
    <v>0.90390000000000004</v>
    <v>OTC Markets</v>
    <v>263179100000</v>
    <v>Kongsberg Gruppen ASA is a Norway-based international technology company, whose objective is to engage in technological and industrial activities in the maritime, defense and related sectors. The Company has three operating segments organized by industry: Kongsberg Maritime (KM), Kongsberg Defense &amp; Aerospace (KDA) and Kongsberg Digital (KDI). Kongsberg Maritime develops and supplies technology that contribute to the realization of sustainable management of the ocean space, Kongsberg Defense &amp; Aerospace supplies various systems and services to the defense industry, while Kongsberg Digital is focused on taking up new and strengthening existing positions related to digitalization within the oil and gas, wind and merchant marine markets. Kongsberg Gruppen ASA has several subsidiaries, including Kongsberg Defence &amp; Aerospace AS, Kongsberg Martime China Ltd, Kongsberg Oil &amp; Gas Tecnologies AS og Kongsberg Maritime AS.</v>
    <v>OTCM</v>
    <v>18.007000000000001</v>
    <v>7586</v>
    <v>46171.833434120315</v>
    <v>1607080</v>
    <v>USD</v>
    <v>Kongsberg Gruppe</v>
    <v>Kongsberg Gruppe</v>
    <v>0</v>
    <v>18.36</v>
    <v>18.010000000000002</v>
    <v>18.228000000000002</v>
    <v>Kirkegardsveien 45, KONGSBERG, Buskerud, 3616 NO</v>
    <v>Aerospace &amp; Defense</v>
    <v>KBGGY</v>
    <v>Ações</v>
    <v>Kongsberg Gruppe (OTCM:KBGGY)</v>
    <v>3.0000000000000001E-3</v>
    <v>1.6660000000000001E-4</v>
    <v>44613</v>
  </rv>
  <rv s="2">
    <v>61</v>
  </rv>
</rvData>
</file>

<file path=xl/richData/rdrichvaluestructure.xml><?xml version="1.0" encoding="utf-8"?>
<rvStructures xmlns="http://schemas.microsoft.com/office/spreadsheetml/2017/richdata" count="10">
  <s t="_hyperlink">
    <k n="Address" t="s"/>
    <k n="Text" t="s"/>
  </s>
  <s t="_linkedentitycore">
    <k n="%EntityCulture" t="s"/>
    <k n="%EntityId" t="s"/>
    <k n="%EntityServiceId"/>
    <k n="%IsRefreshable" t="b"/>
    <k n="%ProviderInfo" t="s"/>
    <k n="_CanonicalPropertyNames" t="spb"/>
    <k n="_Display" t="spb"/>
    <k n="_DisplayString" t="s"/>
    <k n="_Flags" t="spb"/>
    <k n="_Format" t="spb"/>
    <k n="_Icon" t="s"/>
    <k n="_SubLabel" t="spb"/>
    <k n="52 semanas de alta"/>
    <k n="52 semanas de baixa"/>
    <k n="Abreviatura do câmbio" t="s"/>
    <k n="Ações em circulação"/>
    <k n="Alteração % (Horário prolongado)"/>
    <k n="Alteração (Horário prolongado)"/>
    <k n="Alto"/>
    <k n="Ano de incorporação"/>
    <k n="Baixo"/>
    <k n="Beta"/>
    <k n="Bolsa" t="s"/>
    <k n="Capitalização de mercado"/>
    <k n="Descrição" t="s"/>
    <k n="ExchangeID" t="s"/>
    <k n="Fechamento anterior"/>
    <k n="Funcionários"/>
    <k n="Hora da última transação"/>
    <k n="LearnMoreOnLink" t="r"/>
    <k n="Média de volume"/>
    <k n="Moeda" t="s"/>
    <k n="Nome" t="s"/>
    <k n="Nome oficial" t="s"/>
    <k n="P/E"/>
    <k n="Pendência"/>
    <k n="Preço"/>
    <k n="Preço (Horário prolongado)"/>
    <k n="Sede" t="s"/>
    <k n="Setor" t="s"/>
    <k n="Símbolo do ticker" t="s"/>
    <k n="Tipo de instrumento" t="s"/>
    <k n="UniqueName" t="s"/>
    <k n="Variação"/>
    <k n="Variação (%)"/>
    <k n="Volume"/>
  </s>
  <s t="_linkedentity">
    <k n="%cvi" t="r"/>
  </s>
  <s t="_sourceattribution">
    <k n="License" t="r"/>
    <k n="Source" t="r"/>
  </s>
  <s t="_imageurl">
    <k n="_Provider" t="spb"/>
    <k n="Address" t="s"/>
    <k n="Attribution" t="r"/>
    <k n="ComputedImage" t="b"/>
    <k n="More Images Address" t="s"/>
    <k n="Text" t="s"/>
  </s>
  <s t="_linkedentitycore">
    <k n="%EntityCulture" t="s"/>
    <k n="%EntityId" t="s"/>
    <k n="%EntityServiceId"/>
    <k n="%IsRefreshable" t="b"/>
    <k n="%ProviderInfo" t="s"/>
    <k n="_CanonicalPropertyNames" t="spb"/>
    <k n="_Display" t="spb"/>
    <k n="_DisplayString" t="s"/>
    <k n="_Flags" t="spb"/>
    <k n="_Format" t="spb"/>
    <k n="_Icon" t="s"/>
    <k n="_SubLabel" t="spb"/>
    <k n="52 semanas de alta"/>
    <k n="52 semanas de baixa"/>
    <k n="Abreviatura do câmbio" t="s"/>
    <k n="Ações em circulação"/>
    <k n="Alto"/>
    <k n="Ano de incorporação"/>
    <k n="Baixo"/>
    <k n="Beta"/>
    <k n="Bolsa" t="s"/>
    <k n="Capitalização de mercado"/>
    <k n="Descrição" t="s"/>
    <k n="ExchangeID" t="s"/>
    <k n="Fechamento anterior"/>
    <k n="Funcionários"/>
    <k n="Hora da última transação"/>
    <k n="Imagem" t="r"/>
    <k n="LearnMoreOnLink" t="r"/>
    <k n="Média de volume"/>
    <k n="Moeda" t="s"/>
    <k n="Nome" t="s"/>
    <k n="Nome oficial" t="s"/>
    <k n="P/E"/>
    <k n="Pendência"/>
    <k n="Preço"/>
    <k n="Sede" t="s"/>
    <k n="Setor" t="s"/>
    <k n="Símbolo do ticker" t="s"/>
    <k n="Tipo de instrumento" t="s"/>
    <k n="UniqueName" t="s"/>
    <k n="Variação"/>
    <k n="Variação (%)"/>
    <k n="Volume"/>
  </s>
  <s t="_linkedentitycore">
    <k n="%EntityCulture" t="s"/>
    <k n="%EntityId" t="s"/>
    <k n="%EntityServiceId"/>
    <k n="%IsRefreshable" t="b"/>
    <k n="%ProviderInfo" t="s"/>
    <k n="_CanonicalPropertyNames" t="spb"/>
    <k n="_Display" t="spb"/>
    <k n="_DisplayString" t="s"/>
    <k n="_Flags" t="spb"/>
    <k n="_Format" t="spb"/>
    <k n="_Icon" t="s"/>
    <k n="_SubLabel" t="spb"/>
    <k n="52 semanas de alta"/>
    <k n="52 semanas de baixa"/>
    <k n="Abreviatura do câmbio" t="s"/>
    <k n="Ações em circulação"/>
    <k n="Alto"/>
    <k n="Ano de incorporação"/>
    <k n="Baixo"/>
    <k n="Beta"/>
    <k n="Bolsa" t="s"/>
    <k n="Capitalização de mercado"/>
    <k n="Descrição" t="s"/>
    <k n="ExchangeID" t="s"/>
    <k n="Fechamento anterior"/>
    <k n="Funcionários"/>
    <k n="Hora da última transação"/>
    <k n="LearnMoreOnLink" t="r"/>
    <k n="Média de volume"/>
    <k n="Moeda" t="s"/>
    <k n="Nome" t="s"/>
    <k n="Nome oficial" t="s"/>
    <k n="P/E"/>
    <k n="Pendência"/>
    <k n="Preço"/>
    <k n="Sede" t="s"/>
    <k n="Setor" t="s"/>
    <k n="Símbolo do ticker" t="s"/>
    <k n="Tipo de instrumento" t="s"/>
    <k n="UniqueName" t="s"/>
    <k n="Variação"/>
    <k n="Variação (%)"/>
    <k n="Volume"/>
  </s>
  <s t="_linkedentitycore">
    <k n="%EntityCulture" t="s"/>
    <k n="%EntityId" t="s"/>
    <k n="%EntityServiceId"/>
    <k n="%IsRefreshable" t="b"/>
    <k n="%ProviderInfo" t="s"/>
    <k n="_CanonicalPropertyNames" t="spb"/>
    <k n="_Display" t="spb"/>
    <k n="_DisplayString" t="s"/>
    <k n="_Flags" t="spb"/>
    <k n="_Format" t="spb"/>
    <k n="_Icon" t="s"/>
    <k n="_SubLabel" t="spb"/>
    <k n="Abreviatura do câmbio" t="s"/>
    <k n="Ações em circulação"/>
    <k n="Alto"/>
    <k n="Ano de incorporação"/>
    <k n="Baixo"/>
    <k n="Beta"/>
    <k n="Bolsa" t="s"/>
    <k n="Capitalização de mercado"/>
    <k n="Descrição" t="s"/>
    <k n="ExchangeID" t="s"/>
    <k n="Fechamento anterior"/>
    <k n="Funcionários"/>
    <k n="Hora da última transação"/>
    <k n="LearnMoreOnLink" t="r"/>
    <k n="Média de volume"/>
    <k n="Moeda" t="s"/>
    <k n="Nome" t="s"/>
    <k n="Nome oficial" t="s"/>
    <k n="P/E"/>
    <k n="Pendência"/>
    <k n="Preço"/>
    <k n="Sede" t="s"/>
    <k n="Setor" t="s"/>
    <k n="Símbolo do ticker" t="s"/>
    <k n="Tipo de instrumento" t="s"/>
    <k n="UniqueName" t="s"/>
    <k n="Variação"/>
    <k n="Variação (%)"/>
    <k n="Volume"/>
  </s>
  <s t="_linkedentitycore">
    <k n="%EntityCulture" t="s"/>
    <k n="%EntityId" t="s"/>
    <k n="%EntityServiceId"/>
    <k n="%IsRefreshable" t="b"/>
    <k n="%ProviderInfo" t="s"/>
    <k n="_CanonicalPropertyNames" t="spb"/>
    <k n="_Display" t="spb"/>
    <k n="_DisplayString" t="s"/>
    <k n="_Flags" t="spb"/>
    <k n="_Format" t="spb"/>
    <k n="_Icon" t="s"/>
    <k n="_SubLabel" t="spb"/>
    <k n="52 semanas de alta"/>
    <k n="52 semanas de baixa"/>
    <k n="Abreviatura do câmbio" t="s"/>
    <k n="Ações em circulação"/>
    <k n="Alto"/>
    <k n="Baixo"/>
    <k n="Beta"/>
    <k n="Bolsa" t="s"/>
    <k n="Capitalização de mercado"/>
    <k n="Descrição" t="s"/>
    <k n="ExchangeID" t="s"/>
    <k n="Fechamento anterior"/>
    <k n="Funcionários"/>
    <k n="Hora da última transação"/>
    <k n="LearnMoreOnLink" t="r"/>
    <k n="Média de volume"/>
    <k n="Moeda" t="s"/>
    <k n="Nome" t="s"/>
    <k n="Nome oficial" t="s"/>
    <k n="P/E"/>
    <k n="Pendência"/>
    <k n="Preço"/>
    <k n="Sede" t="s"/>
    <k n="Setor" t="s"/>
    <k n="Símbolo do ticker" t="s"/>
    <k n="Tipo de instrumento" t="s"/>
    <k n="UniqueName" t="s"/>
    <k n="Variação"/>
    <k n="Variação (%)"/>
    <k n="Volume"/>
  </s>
  <s t="_linkedentitycore">
    <k n="%EntityCulture" t="s"/>
    <k n="%EntityId" t="s"/>
    <k n="%EntityServiceId"/>
    <k n="%IsRefreshable" t="b"/>
    <k n="%ProviderInfo" t="s"/>
    <k n="_CanonicalPropertyNames" t="spb"/>
    <k n="_Display" t="spb"/>
    <k n="_DisplayString" t="s"/>
    <k n="_Flags" t="spb"/>
    <k n="_Format" t="spb"/>
    <k n="_Icon" t="s"/>
    <k n="_SubLabel" t="spb"/>
    <k n="52 semanas de alta"/>
    <k n="52 semanas de baixa"/>
    <k n="Abreviatura do câmbio" t="s"/>
    <k n="Ações em circulação"/>
    <k n="Alteração % (Horário prolongado)"/>
    <k n="Alteração (Horário prolongado)"/>
    <k n="Alto"/>
    <k n="Ano de incorporação"/>
    <k n="Baixo"/>
    <k n="Beta"/>
    <k n="Bolsa" t="s"/>
    <k n="Capitalização de mercado"/>
    <k n="Descrição" t="s"/>
    <k n="ExchangeID" t="s"/>
    <k n="Fechamento anterior"/>
    <k n="Funcionários"/>
    <k n="Hora da última transação"/>
    <k n="Média de volume"/>
    <k n="Moeda" t="s"/>
    <k n="Nome" t="s"/>
    <k n="Nome oficial" t="s"/>
    <k n="P/E"/>
    <k n="Pendência"/>
    <k n="Preço"/>
    <k n="Preço (Horário prolongado)"/>
    <k n="Sede" t="s"/>
    <k n="Setor" t="s"/>
    <k n="Símbolo do ticker" t="s"/>
    <k n="Tipo de instrumento" t="s"/>
    <k n="UniqueName" t="s"/>
    <k n="Variação"/>
    <k n="Variação (%)"/>
    <k n="Volume"/>
  </s>
</rvStructures>
</file>

<file path=xl/richData/rdsupportingpropertybag.xml><?xml version="1.0" encoding="utf-8"?>
<supportingPropertyBags xmlns="http://schemas.microsoft.com/office/spreadsheetml/2017/richdata2">
  <spbArrays count="6">
    <a count="46">
      <v t="s">%EntityServiceId</v>
      <v t="s">_Format</v>
      <v t="s">%IsRefreshable</v>
      <v t="s">_CanonicalPropertyNames</v>
      <v t="s">%EntityCulture</v>
      <v t="s">%EntityId</v>
      <v t="s">_Icon</v>
      <v t="s">_Display</v>
      <v t="s">Nome</v>
      <v t="s">_SubLabel</v>
      <v t="s">Preço</v>
      <v t="s">Preço (Horário prolongado)</v>
      <v t="s">Bolsa</v>
      <v t="s">Nome oficial</v>
      <v t="s">Hora da última transação</v>
      <v t="s">Símbolo do ticker</v>
      <v t="s">Abreviatura do câmbio</v>
      <v t="s">Variação</v>
      <v t="s">Alteração (Horário prolongado)</v>
      <v t="s">Variação (%)</v>
      <v t="s">Alteração % (Horário prolongado)</v>
      <v t="s">Moeda</v>
      <v t="s">Fechamento anterior</v>
      <v t="s">Pendência</v>
      <v t="s">Alto</v>
      <v t="s">Baixo</v>
      <v t="s">52 semanas de alta</v>
      <v t="s">52 semanas de baixa</v>
      <v t="s">Volume</v>
      <v t="s">Média de volume</v>
      <v t="s">Capitalização de mercado</v>
      <v t="s">Beta</v>
      <v t="s">P/E</v>
      <v t="s">Ações em circulação</v>
      <v t="s">Descrição</v>
      <v t="s">Funcionários</v>
      <v t="s">Sede</v>
      <v t="s">Setor</v>
      <v t="s">Tipo de instrumento</v>
      <v t="s">Ano de incorporação</v>
      <v t="s">_Flags</v>
      <v t="s">UniqueName</v>
      <v t="s">_DisplayString</v>
      <v t="s">LearnMoreOnLink</v>
      <v t="s">ExchangeID</v>
      <v t="s">%ProviderInfo</v>
    </a>
    <a count="44">
      <v t="s">%EntityServiceId</v>
      <v t="s">_Format</v>
      <v t="s">%IsRefreshable</v>
      <v t="s">_CanonicalPropertyNames</v>
      <v t="s">%EntityCulture</v>
      <v t="s">%EntityId</v>
      <v t="s">_Icon</v>
      <v t="s">_Display</v>
      <v t="s">Nome</v>
      <v t="s">_SubLabel</v>
      <v t="s">Preço</v>
      <v t="s">Bolsa</v>
      <v t="s">Nome oficial</v>
      <v t="s">Hora da última transação</v>
      <v t="s">Símbolo do ticker</v>
      <v t="s">Abreviatura do câmbio</v>
      <v t="s">Variação</v>
      <v t="s">Variação (%)</v>
      <v t="s">Moeda</v>
      <v t="s">Fechamento anterior</v>
      <v t="s">Pendência</v>
      <v t="s">Alto</v>
      <v t="s">Baixo</v>
      <v t="s">52 semanas de alta</v>
      <v t="s">52 semanas de baixa</v>
      <v t="s">Volume</v>
      <v t="s">Média de volume</v>
      <v t="s">Capitalização de mercado</v>
      <v t="s">Beta</v>
      <v t="s">P/E</v>
      <v t="s">Ações em circulação</v>
      <v t="s">Descrição</v>
      <v t="s">Funcionários</v>
      <v t="s">Sede</v>
      <v t="s">Setor</v>
      <v t="s">Tipo de instrumento</v>
      <v t="s">Ano de incorporação</v>
      <v t="s">_Flags</v>
      <v t="s">UniqueName</v>
      <v t="s">_DisplayString</v>
      <v t="s">LearnMoreOnLink</v>
      <v t="s">Imagem</v>
      <v t="s">ExchangeID</v>
      <v t="s">%ProviderInfo</v>
    </a>
    <a count="43">
      <v t="s">%EntityServiceId</v>
      <v t="s">_Format</v>
      <v t="s">%IsRefreshable</v>
      <v t="s">_CanonicalPropertyNames</v>
      <v t="s">%EntityCulture</v>
      <v t="s">%EntityId</v>
      <v t="s">_Icon</v>
      <v t="s">_Display</v>
      <v t="s">Nome</v>
      <v t="s">_SubLabel</v>
      <v t="s">Preço</v>
      <v t="s">Bolsa</v>
      <v t="s">Nome oficial</v>
      <v t="s">Hora da última transação</v>
      <v t="s">Símbolo do ticker</v>
      <v t="s">Abreviatura do câmbio</v>
      <v t="s">Variação</v>
      <v t="s">Variação (%)</v>
      <v t="s">Moeda</v>
      <v t="s">Fechamento anterior</v>
      <v t="s">Pendência</v>
      <v t="s">Alto</v>
      <v t="s">Baixo</v>
      <v t="s">52 semanas de alta</v>
      <v t="s">52 semanas de baixa</v>
      <v t="s">Volume</v>
      <v t="s">Média de volume</v>
      <v t="s">Capitalização de mercado</v>
      <v t="s">Beta</v>
      <v t="s">P/E</v>
      <v t="s">Ações em circulação</v>
      <v t="s">Descrição</v>
      <v t="s">Funcionários</v>
      <v t="s">Sede</v>
      <v t="s">Setor</v>
      <v t="s">Tipo de instrumento</v>
      <v t="s">Ano de incorporação</v>
      <v t="s">_Flags</v>
      <v t="s">UniqueName</v>
      <v t="s">_DisplayString</v>
      <v t="s">LearnMoreOnLink</v>
      <v t="s">ExchangeID</v>
      <v t="s">%ProviderInfo</v>
    </a>
    <a count="41">
      <v t="s">%EntityServiceId</v>
      <v t="s">_Format</v>
      <v t="s">%IsRefreshable</v>
      <v t="s">_CanonicalPropertyNames</v>
      <v t="s">%EntityCulture</v>
      <v t="s">%EntityId</v>
      <v t="s">_Icon</v>
      <v t="s">_Display</v>
      <v t="s">Nome</v>
      <v t="s">_SubLabel</v>
      <v t="s">Preço</v>
      <v t="s">Bolsa</v>
      <v t="s">Nome oficial</v>
      <v t="s">Hora da última transação</v>
      <v t="s">Símbolo do ticker</v>
      <v t="s">Abreviatura do câmbio</v>
      <v t="s">Variação</v>
      <v t="s">Variação (%)</v>
      <v t="s">Moeda</v>
      <v t="s">Fechamento anterior</v>
      <v t="s">Pendência</v>
      <v t="s">Alto</v>
      <v t="s">Baixo</v>
      <v t="s">Volume</v>
      <v t="s">Média de volume</v>
      <v t="s">Capitalização de mercado</v>
      <v t="s">Beta</v>
      <v t="s">P/E</v>
      <v t="s">Ações em circulação</v>
      <v t="s">Descrição</v>
      <v t="s">Funcionários</v>
      <v t="s">Sede</v>
      <v t="s">Setor</v>
      <v t="s">Tipo de instrumento</v>
      <v t="s">Ano de incorporação</v>
      <v t="s">_Flags</v>
      <v t="s">UniqueName</v>
      <v t="s">_DisplayString</v>
      <v t="s">LearnMoreOnLink</v>
      <v t="s">ExchangeID</v>
      <v t="s">%ProviderInfo</v>
    </a>
    <a count="42">
      <v t="s">%EntityServiceId</v>
      <v t="s">_Format</v>
      <v t="s">%IsRefreshable</v>
      <v t="s">_CanonicalPropertyNames</v>
      <v t="s">%EntityCulture</v>
      <v t="s">%EntityId</v>
      <v t="s">_Icon</v>
      <v t="s">_Display</v>
      <v t="s">Nome</v>
      <v t="s">_SubLabel</v>
      <v t="s">Preço</v>
      <v t="s">Bolsa</v>
      <v t="s">Nome oficial</v>
      <v t="s">Hora da última transação</v>
      <v t="s">Símbolo do ticker</v>
      <v t="s">Abreviatura do câmbio</v>
      <v t="s">Variação</v>
      <v t="s">Variação (%)</v>
      <v t="s">Moeda</v>
      <v t="s">Fechamento anterior</v>
      <v t="s">Pendência</v>
      <v t="s">Alto</v>
      <v t="s">Baixo</v>
      <v t="s">52 semanas de alta</v>
      <v t="s">52 semanas de baixa</v>
      <v t="s">Volume</v>
      <v t="s">Média de volume</v>
      <v t="s">Capitalização de mercado</v>
      <v t="s">Beta</v>
      <v t="s">P/E</v>
      <v t="s">Ações em circulação</v>
      <v t="s">Descrição</v>
      <v t="s">Funcionários</v>
      <v t="s">Sede</v>
      <v t="s">Setor</v>
      <v t="s">Tipo de instrumento</v>
      <v t="s">_Flags</v>
      <v t="s">UniqueName</v>
      <v t="s">_DisplayString</v>
      <v t="s">LearnMoreOnLink</v>
      <v t="s">ExchangeID</v>
      <v t="s">%ProviderInfo</v>
    </a>
    <a count="45">
      <v t="s">%EntityServiceId</v>
      <v t="s">_Format</v>
      <v t="s">%IsRefreshable</v>
      <v t="s">_CanonicalPropertyNames</v>
      <v t="s">%EntityCulture</v>
      <v t="s">%EntityId</v>
      <v t="s">_Icon</v>
      <v t="s">_Display</v>
      <v t="s">Nome</v>
      <v t="s">_SubLabel</v>
      <v t="s">Preço</v>
      <v t="s">Preço (Horário prolongado)</v>
      <v t="s">Bolsa</v>
      <v t="s">Nome oficial</v>
      <v t="s">Hora da última transação</v>
      <v t="s">Símbolo do ticker</v>
      <v t="s">Abreviatura do câmbio</v>
      <v t="s">Variação</v>
      <v t="s">Alteração (Horário prolongado)</v>
      <v t="s">Variação (%)</v>
      <v t="s">Alteração % (Horário prolongado)</v>
      <v t="s">Moeda</v>
      <v t="s">Fechamento anterior</v>
      <v t="s">Pendência</v>
      <v t="s">Alto</v>
      <v t="s">Baixo</v>
      <v t="s">52 semanas de alta</v>
      <v t="s">52 semanas de baixa</v>
      <v t="s">Volume</v>
      <v t="s">Média de volume</v>
      <v t="s">Capitalização de mercado</v>
      <v t="s">Beta</v>
      <v t="s">P/E</v>
      <v t="s">Ações em circulação</v>
      <v t="s">Descrição</v>
      <v t="s">Funcionários</v>
      <v t="s">Sede</v>
      <v t="s">Setor</v>
      <v t="s">Tipo de instrumento</v>
      <v t="s">Ano de incorporação</v>
      <v t="s">_Flags</v>
      <v t="s">UniqueName</v>
      <v t="s">_DisplayString</v>
      <v t="s">ExchangeID</v>
      <v t="s">%ProviderInfo</v>
    </a>
  </spbArrays>
  <spbData count="33">
    <spb s="0">
      <v>P/E</v>
      <v>High</v>
      <v>Beta</v>
      <v>Name</v>
      <v>Headquarters</v>
      <v>Low</v>
      <v>Exchange</v>
      <v>Currency</v>
      <v>Price</v>
      <v>Industry</v>
      <v>Volume</v>
      <v>Change</v>
      <v>Description</v>
      <v>Open</v>
      <v>ExchangeID</v>
      <v>UniqueName</v>
      <v>Employees</v>
      <v>Official name</v>
      <v>Change (%)</v>
      <v>%ProviderInfo</v>
      <v>LearnMoreOnLink</v>
      <v>Volume average</v>
      <v>Ticker symbol</v>
      <v>52 week high</v>
      <v>52 week low</v>
      <v>Year incorporated</v>
      <v>Shares outstanding</v>
      <v>Previous close</v>
      <v>Instrument type</v>
      <v>Exchange abbreviation</v>
      <v>Market cap</v>
      <v>Last trade time</v>
      <v>Price (Extended hours)</v>
      <v>Change (Extended hours)</v>
      <v>Change % (Extended hours)</v>
    </spb>
    <spb s="1">
      <v>0</v>
      <v>Name</v>
      <v>LearnMoreOnLink</v>
    </spb>
    <spb s="2">
      <v>0</v>
      <v>0</v>
      <v>0</v>
    </spb>
    <spb s="3">
      <v>2</v>
      <v>2</v>
      <v>2</v>
      <v>2</v>
    </spb>
    <spb s="4">
      <v>1</v>
      <v>2</v>
      <v>1</v>
      <v>3</v>
      <v>2</v>
      <v>2</v>
      <v>4</v>
      <v>2</v>
      <v>2</v>
      <v>4</v>
      <v>5</v>
      <v>4</v>
      <v>6</v>
      <v>2</v>
      <v>2</v>
      <v>7</v>
      <v>4</v>
      <v>2</v>
      <v>8</v>
      <v>9</v>
      <v>2</v>
      <v>2</v>
      <v>5</v>
    </spb>
    <spb s="5">
      <v xml:space="preserve">no fechamento </v>
      <v xml:space="preserve">do fechamento anterior </v>
      <v>Origem : Nasdaq Nordic</v>
      <v xml:space="preserve">do fechamento anterior </v>
      <v>GMT</v>
      <v>Atraso de 15 minutos</v>
      <v xml:space="preserve">do fechamento </v>
      <v xml:space="preserve">do fechamento </v>
    </spb>
    <spb s="6">
      <v>P/E</v>
      <v>High</v>
      <v>Beta</v>
      <v>Name</v>
      <v>Headquarters</v>
      <v>Low</v>
      <v>Exchange</v>
      <v>Currency</v>
      <v>Price</v>
      <v>Industry</v>
      <v>Image</v>
      <v>Volume</v>
      <v>Change</v>
      <v>Description</v>
      <v>Open</v>
      <v>ExchangeID</v>
      <v>UniqueName</v>
      <v>Employees</v>
      <v>Official name</v>
      <v>Change (%)</v>
      <v>%ProviderInfo</v>
      <v>LearnMoreOnLink</v>
      <v>Volume average</v>
      <v>Ticker symbol</v>
      <v>52 week high</v>
      <v>52 week low</v>
      <v>Year incorporated</v>
      <v>Shares outstanding</v>
      <v>Previous close</v>
      <v>Instrument type</v>
      <v>Exchange abbreviation</v>
      <v>Market cap</v>
      <v>Last trade time</v>
    </spb>
    <spb s="1">
      <v>1</v>
      <v>Name</v>
      <v>LearnMoreOnLink</v>
    </spb>
    <spb s="7">
      <v>0</v>
      <v>0</v>
    </spb>
    <spb s="8">
      <v>8</v>
      <v>2</v>
      <v>2</v>
      <v>2</v>
      <v>2</v>
    </spb>
    <spb s="9">
      <v>1</v>
      <v>10</v>
      <v>1</v>
      <v>3</v>
      <v>10</v>
      <v>10</v>
      <v>11</v>
      <v>4</v>
      <v>10</v>
      <v>10</v>
      <v>4</v>
      <v>5</v>
      <v>4</v>
      <v>6</v>
      <v>10</v>
      <v>10</v>
      <v>7</v>
      <v>4</v>
      <v>10</v>
      <v>12</v>
      <v>9</v>
    </spb>
    <spb s="10">
      <v>Atraso de 15 minutos</v>
      <v xml:space="preserve">do fechamento anterior </v>
      <v xml:space="preserve">do fechamento anterior </v>
      <v>GMT</v>
    </spb>
    <spb s="11">
      <v>Da plataforma Refinitiv</v>
    </spb>
    <spb s="4">
      <v>1</v>
      <v>13</v>
      <v>1</v>
      <v>3</v>
      <v>13</v>
      <v>13</v>
      <v>4</v>
      <v>13</v>
      <v>13</v>
      <v>4</v>
      <v>5</v>
      <v>4</v>
      <v>6</v>
      <v>13</v>
      <v>13</v>
      <v>7</v>
      <v>4</v>
      <v>13</v>
      <v>14</v>
      <v>9</v>
      <v>13</v>
      <v>13</v>
      <v>5</v>
    </spb>
    <spb s="5">
      <v xml:space="preserve">no fechamento </v>
      <v xml:space="preserve">do fechamento anterior </v>
      <v>Origem : Nasdaq</v>
      <v xml:space="preserve">do fechamento anterior </v>
      <v>GMT</v>
      <v>Atraso de 15 minutos</v>
      <v xml:space="preserve">do fechamento </v>
      <v xml:space="preserve">do fechamento </v>
    </spb>
    <spb s="12">
      <v>P/E</v>
      <v>High</v>
      <v>Beta</v>
      <v>Name</v>
      <v>Headquarters</v>
      <v>Low</v>
      <v>Exchange</v>
      <v>Currency</v>
      <v>Price</v>
      <v>Industry</v>
      <v>Volume</v>
      <v>Change</v>
      <v>Description</v>
      <v>Open</v>
      <v>ExchangeID</v>
      <v>UniqueName</v>
      <v>Employees</v>
      <v>Official name</v>
      <v>Change (%)</v>
      <v>%ProviderInfo</v>
      <v>LearnMoreOnLink</v>
      <v>Volume average</v>
      <v>Ticker symbol</v>
      <v>52 week high</v>
      <v>52 week low</v>
      <v>Year incorporated</v>
      <v>Shares outstanding</v>
      <v>Previous close</v>
      <v>Instrument type</v>
      <v>Exchange abbreviation</v>
      <v>Market cap</v>
      <v>Last trade time</v>
    </spb>
    <spb s="1">
      <v>2</v>
      <v>Name</v>
      <v>LearnMoreOnLink</v>
    </spb>
    <spb s="13">
      <v>1</v>
      <v>15</v>
      <v>1</v>
      <v>3</v>
      <v>15</v>
      <v>15</v>
      <v>4</v>
      <v>15</v>
      <v>15</v>
      <v>4</v>
      <v>5</v>
      <v>4</v>
      <v>6</v>
      <v>15</v>
      <v>15</v>
      <v>7</v>
      <v>4</v>
      <v>15</v>
      <v>16</v>
      <v>9</v>
    </spb>
    <spb s="14">
      <v>Atraso de 15 minutos</v>
      <v xml:space="preserve">do fechamento anterior </v>
      <v>LSE</v>
      <v xml:space="preserve">do fechamento anterior </v>
      <v>GMT</v>
    </spb>
    <spb s="15">
      <v>P/E</v>
      <v>High</v>
      <v>Beta</v>
      <v>Name</v>
      <v>Headquarters</v>
      <v>Low</v>
      <v>Exchange</v>
      <v>Currency</v>
      <v>Price</v>
      <v>Industry</v>
      <v>Volume</v>
      <v>Change</v>
      <v>Description</v>
      <v>Open</v>
      <v>ExchangeID</v>
      <v>UniqueName</v>
      <v>Employees</v>
      <v>Official name</v>
      <v>Change (%)</v>
      <v>%ProviderInfo</v>
      <v>LearnMoreOnLink</v>
      <v>Volume average</v>
      <v>Ticker symbol</v>
      <v>Year incorporated</v>
      <v>Shares outstanding</v>
      <v>Previous close</v>
      <v>Instrument type</v>
      <v>Exchange abbreviation</v>
      <v>Market cap</v>
      <v>Last trade time</v>
    </spb>
    <spb s="1">
      <v>3</v>
      <v>Name</v>
      <v>LearnMoreOnLink</v>
    </spb>
    <spb s="16">
      <v>1</v>
      <v>10</v>
      <v>1</v>
      <v>3</v>
      <v>10</v>
      <v>10</v>
      <v>4</v>
      <v>10</v>
      <v>10</v>
      <v>4</v>
      <v>5</v>
      <v>4</v>
      <v>6</v>
      <v>7</v>
      <v>4</v>
      <v>10</v>
      <v>12</v>
      <v>9</v>
    </spb>
    <spb s="13">
      <v>1</v>
      <v>10</v>
      <v>1</v>
      <v>3</v>
      <v>10</v>
      <v>10</v>
      <v>4</v>
      <v>10</v>
      <v>10</v>
      <v>4</v>
      <v>5</v>
      <v>4</v>
      <v>6</v>
      <v>10</v>
      <v>10</v>
      <v>7</v>
      <v>4</v>
      <v>10</v>
      <v>12</v>
      <v>9</v>
    </spb>
    <spb s="17">
      <v>P/E</v>
      <v>High</v>
      <v>Beta</v>
      <v>Name</v>
      <v>Headquarters</v>
      <v>Low</v>
      <v>Exchange</v>
      <v>Currency</v>
      <v>Price</v>
      <v>Industry</v>
      <v>Volume</v>
      <v>Change</v>
      <v>Description</v>
      <v>Open</v>
      <v>ExchangeID</v>
      <v>UniqueName</v>
      <v>Employees</v>
      <v>Official name</v>
      <v>Change (%)</v>
      <v>%ProviderInfo</v>
      <v>LearnMoreOnLink</v>
      <v>Volume average</v>
      <v>Ticker symbol</v>
      <v>52 week high</v>
      <v>52 week low</v>
      <v>Shares outstanding</v>
      <v>Previous close</v>
      <v>Instrument type</v>
      <v>Exchange abbreviation</v>
      <v>Market cap</v>
      <v>Last trade time</v>
    </spb>
    <spb s="1">
      <v>4</v>
      <v>Name</v>
      <v>LearnMoreOnLink</v>
    </spb>
    <spb s="18">
      <v>1</v>
      <v>10</v>
      <v>1</v>
      <v>3</v>
      <v>10</v>
      <v>10</v>
      <v>4</v>
      <v>10</v>
      <v>10</v>
      <v>4</v>
      <v>5</v>
      <v>4</v>
      <v>6</v>
      <v>10</v>
      <v>10</v>
      <v>4</v>
      <v>10</v>
      <v>12</v>
      <v>9</v>
    </spb>
    <spb s="14">
      <v>Atraso de 15 minutos</v>
      <v xml:space="preserve">do fechamento anterior </v>
      <v>Borsa Italia</v>
      <v xml:space="preserve">do fechamento anterior </v>
      <v>GMT</v>
    </spb>
    <spb s="4">
      <v>1</v>
      <v>10</v>
      <v>1</v>
      <v>3</v>
      <v>10</v>
      <v>10</v>
      <v>4</v>
      <v>10</v>
      <v>10</v>
      <v>4</v>
      <v>5</v>
      <v>4</v>
      <v>6</v>
      <v>10</v>
      <v>10</v>
      <v>7</v>
      <v>4</v>
      <v>10</v>
      <v>12</v>
      <v>9</v>
      <v>10</v>
      <v>10</v>
      <v>5</v>
    </spb>
    <spb s="19">
      <v xml:space="preserve">no fechamento </v>
      <v xml:space="preserve">do fechamento anterior </v>
      <v xml:space="preserve">do fechamento anterior </v>
      <v>GMT</v>
      <v>Atraso de 15 minutos</v>
      <v xml:space="preserve">do fechamento </v>
      <v xml:space="preserve">do fechamento </v>
    </spb>
    <spb s="20">
      <v>P/E</v>
      <v>High</v>
      <v>Beta</v>
      <v>Name</v>
      <v>Headquarters</v>
      <v>Low</v>
      <v>Exchange</v>
      <v>Currency</v>
      <v>Price</v>
      <v>Industry</v>
      <v>Volume</v>
      <v>Change</v>
      <v>Description</v>
      <v>Open</v>
      <v>ExchangeID</v>
      <v>UniqueName</v>
      <v>Employees</v>
      <v>Official name</v>
      <v>Change (%)</v>
      <v>%ProviderInfo</v>
      <v>Volume average</v>
      <v>Ticker symbol</v>
      <v>52 week high</v>
      <v>52 week low</v>
      <v>Year incorporated</v>
      <v>Shares outstanding</v>
      <v>Previous close</v>
      <v>Instrument type</v>
      <v>Exchange abbreviation</v>
      <v>Market cap</v>
      <v>Last trade time</v>
      <v>Price (Extended hours)</v>
      <v>Change (Extended hours)</v>
      <v>Change % (Extended hours)</v>
    </spb>
    <spb s="21">
      <v>5</v>
      <v>Name</v>
    </spb>
    <spb s="22">
      <v>2</v>
      <v>2</v>
      <v>2</v>
    </spb>
    <spb s="4">
      <v>1</v>
      <v>13</v>
      <v>1</v>
      <v>3</v>
      <v>13</v>
      <v>13</v>
      <v>4</v>
      <v>13</v>
      <v>13</v>
      <v>4</v>
      <v>5</v>
      <v>4</v>
      <v>6</v>
      <v>13</v>
      <v>13</v>
      <v>7</v>
      <v>4</v>
      <v>13</v>
      <v>17</v>
      <v>9</v>
      <v>13</v>
      <v>13</v>
      <v>5</v>
    </spb>
  </spbData>
</supportingPropertyBags>
</file>

<file path=xl/richData/rdsupportingpropertybagstructure.xml><?xml version="1.0" encoding="utf-8"?>
<spbStructures xmlns="http://schemas.microsoft.com/office/spreadsheetml/2017/richdata2" count="23">
  <s>
    <k n="P/E" t="s"/>
    <k n="Alto" t="s"/>
    <k n="Beta" t="s"/>
    <k n="Nome" t="s"/>
    <k n="Sede" t="s"/>
    <k n="Baixo" t="s"/>
    <k n="Bolsa" t="s"/>
    <k n="Moeda" t="s"/>
    <k n="Preço" t="s"/>
    <k n="Setor" t="s"/>
    <k n="Volume" t="s"/>
    <k n="Variação" t="s"/>
    <k n="Descrição" t="s"/>
    <k n="Pendência" t="s"/>
    <k n="ExchangeID" t="s"/>
    <k n="UniqueName" t="s"/>
    <k n="Funcionários" t="s"/>
    <k n="Nome oficial" t="s"/>
    <k n="Variação (%)" t="s"/>
    <k n="%ProviderInfo" t="s"/>
    <k n="LearnMoreOnLink" t="s"/>
    <k n="Média de volume" t="s"/>
    <k n="Símbolo do ticker" t="s"/>
    <k n="52 semanas de alta" t="s"/>
    <k n="52 semanas de baixa" t="s"/>
    <k n="Ano de incorporação" t="s"/>
    <k n="Ações em circulação" t="s"/>
    <k n="Fechamento anterior" t="s"/>
    <k n="Tipo de instrumento" t="s"/>
    <k n="Abreviatura do câmbio" t="s"/>
    <k n="Capitalização de mercado" t="s"/>
    <k n="Hora da última transação" t="s"/>
    <k n="Preço (Horário prolongado)" t="s"/>
    <k n="Alteração (Horário prolongado)" t="s"/>
    <k n="Alteração % (Horário prolongado)" t="s"/>
  </s>
  <s>
    <k n="^Order" t="spba"/>
    <k n="TitleProperty" t="s"/>
    <k n="SubTitleProperty" t="s"/>
  </s>
  <s>
    <k n="ShowInCardView" t="b"/>
    <k n="ShowInDotNotation" t="b"/>
    <k n="ShowInAutoComplete" t="b"/>
  </s>
  <s>
    <k n="ExchangeID" t="spb"/>
    <k n="UniqueName" t="spb"/>
    <k n="`%ProviderInfo" t="spb"/>
    <k n="LearnMoreOnLink" t="spb"/>
  </s>
  <s>
    <k n="P/E" t="i"/>
    <k n="Alto" t="i"/>
    <k n="Beta" t="i"/>
    <k n="Nome" t="i"/>
    <k n="Baixo" t="i"/>
    <k n="Preço" t="i"/>
    <k n="Volume" t="i"/>
    <k n="Variação" t="i"/>
    <k n="Pendência" t="i"/>
    <k n="Funcionários" t="i"/>
    <k n="Variação (%)" t="i"/>
    <k n="Média de volume" t="i"/>
    <k n="`%EntityServiceId" t="i"/>
    <k n="52 semanas de alta" t="i"/>
    <k n="52 semanas de baixa" t="i"/>
    <k n="Ano de incorporação" t="i"/>
    <k n="Ações em circulação" t="i"/>
    <k n="Fechamento anterior" t="i"/>
    <k n="Capitalização de mercado" t="i"/>
    <k n="Hora da última transação" t="i"/>
    <k n="Preço (Horário prolongado)" t="i"/>
    <k n="Alteração (Horário prolongado)" t="i"/>
    <k n="Alteração % (Horário prolongado)" t="i"/>
  </s>
  <s>
    <k n="Preço" t="s"/>
    <k n="Variação" t="s"/>
    <k n="ExchangeID" t="s"/>
    <k n="Variação (%)" t="s"/>
    <k n="Hora da última transação" t="s"/>
    <k n="Preço (Horário prolongado)" t="s"/>
    <k n="Alteração (Horário prolongado)" t="s"/>
    <k n="Alteração % (Horário prolongado)" t="s"/>
  </s>
  <s>
    <k n="P/E" t="s"/>
    <k n="Alto" t="s"/>
    <k n="Beta" t="s"/>
    <k n="Nome" t="s"/>
    <k n="Sede" t="s"/>
    <k n="Baixo" t="s"/>
    <k n="Bolsa" t="s"/>
    <k n="Moeda" t="s"/>
    <k n="Preço" t="s"/>
    <k n="Setor" t="s"/>
    <k n="Imagem" t="s"/>
    <k n="Volume" t="s"/>
    <k n="Variação" t="s"/>
    <k n="Descrição" t="s"/>
    <k n="Pendência" t="s"/>
    <k n="ExchangeID" t="s"/>
    <k n="UniqueName" t="s"/>
    <k n="Funcionários" t="s"/>
    <k n="Nome oficial" t="s"/>
    <k n="Variação (%)" t="s"/>
    <k n="%ProviderInfo" t="s"/>
    <k n="LearnMoreOnLink" t="s"/>
    <k n="Média de volume" t="s"/>
    <k n="Símbolo do ticker" t="s"/>
    <k n="52 semanas de alta" t="s"/>
    <k n="52 semanas de baixa" t="s"/>
    <k n="Ano de incorporação" t="s"/>
    <k n="Ações em circulação" t="s"/>
    <k n="Fechamento anterior" t="s"/>
    <k n="Tipo de instrumento" t="s"/>
    <k n="Abreviatura do câmbio" t="s"/>
    <k n="Capitalização de mercado" t="s"/>
    <k n="Hora da última transação" t="s"/>
  </s>
  <s>
    <k n="ShowInDotNotation" t="b"/>
    <k n="ShowInAutoComplete" t="b"/>
  </s>
  <s>
    <k n="Imagem" t="spb"/>
    <k n="ExchangeID" t="spb"/>
    <k n="UniqueName" t="spb"/>
    <k n="`%ProviderInfo" t="spb"/>
    <k n="LearnMoreOnLink" t="spb"/>
  </s>
  <s>
    <k n="P/E" t="i"/>
    <k n="Alto" t="i"/>
    <k n="Beta" t="i"/>
    <k n="Nome" t="i"/>
    <k n="Baixo" t="i"/>
    <k n="Preço" t="i"/>
    <k n="Imagem" t="i"/>
    <k n="Volume" t="i"/>
    <k n="Variação" t="i"/>
    <k n="Pendência" t="i"/>
    <k n="Funcionários" t="i"/>
    <k n="Variação (%)" t="i"/>
    <k n="Média de volume" t="i"/>
    <k n="`%EntityServiceId" t="i"/>
    <k n="52 semanas de alta" t="i"/>
    <k n="52 semanas de baixa" t="i"/>
    <k n="Ano de incorporação" t="i"/>
    <k n="Ações em circulação" t="i"/>
    <k n="Fechamento anterior" t="i"/>
    <k n="Capitalização de mercado" t="i"/>
    <k n="Hora da última transação" t="i"/>
  </s>
  <s>
    <k n="Preço" t="s"/>
    <k n="Variação" t="s"/>
    <k n="Variação (%)" t="s"/>
    <k n="Hora da última transação" t="s"/>
  </s>
  <s>
    <k n="name" t="s"/>
  </s>
  <s>
    <k n="P/E" t="s"/>
    <k n="Alto" t="s"/>
    <k n="Beta" t="s"/>
    <k n="Nome" t="s"/>
    <k n="Sede" t="s"/>
    <k n="Baixo" t="s"/>
    <k n="Bolsa" t="s"/>
    <k n="Moeda" t="s"/>
    <k n="Preço" t="s"/>
    <k n="Setor" t="s"/>
    <k n="Volume" t="s"/>
    <k n="Variação" t="s"/>
    <k n="Descrição" t="s"/>
    <k n="Pendência" t="s"/>
    <k n="ExchangeID" t="s"/>
    <k n="UniqueName" t="s"/>
    <k n="Funcionários" t="s"/>
    <k n="Nome oficial" t="s"/>
    <k n="Variação (%)" t="s"/>
    <k n="%ProviderInfo" t="s"/>
    <k n="LearnMoreOnLink" t="s"/>
    <k n="Média de volume" t="s"/>
    <k n="Símbolo do ticker" t="s"/>
    <k n="52 semanas de alta" t="s"/>
    <k n="52 semanas de baixa" t="s"/>
    <k n="Ano de incorporação" t="s"/>
    <k n="Ações em circulação" t="s"/>
    <k n="Fechamento anterior" t="s"/>
    <k n="Tipo de instrumento" t="s"/>
    <k n="Abreviatura do câmbio" t="s"/>
    <k n="Capitalização de mercado" t="s"/>
    <k n="Hora da última transação" t="s"/>
  </s>
  <s>
    <k n="P/E" t="i"/>
    <k n="Alto" t="i"/>
    <k n="Beta" t="i"/>
    <k n="Nome" t="i"/>
    <k n="Baixo" t="i"/>
    <k n="Preço" t="i"/>
    <k n="Volume" t="i"/>
    <k n="Variação" t="i"/>
    <k n="Pendência" t="i"/>
    <k n="Funcionários" t="i"/>
    <k n="Variação (%)" t="i"/>
    <k n="Média de volume" t="i"/>
    <k n="`%EntityServiceId" t="i"/>
    <k n="52 semanas de alta" t="i"/>
    <k n="52 semanas de baixa" t="i"/>
    <k n="Ano de incorporação" t="i"/>
    <k n="Ações em circulação" t="i"/>
    <k n="Fechamento anterior" t="i"/>
    <k n="Capitalização de mercado" t="i"/>
    <k n="Hora da última transação" t="i"/>
  </s>
  <s>
    <k n="Preço" t="s"/>
    <k n="Variação" t="s"/>
    <k n="ExchangeID" t="s"/>
    <k n="Variação (%)" t="s"/>
    <k n="Hora da última transação" t="s"/>
  </s>
  <s>
    <k n="P/E" t="s"/>
    <k n="Alto" t="s"/>
    <k n="Beta" t="s"/>
    <k n="Nome" t="s"/>
    <k n="Sede" t="s"/>
    <k n="Baixo" t="s"/>
    <k n="Bolsa" t="s"/>
    <k n="Moeda" t="s"/>
    <k n="Preço" t="s"/>
    <k n="Setor" t="s"/>
    <k n="Volume" t="s"/>
    <k n="Variação" t="s"/>
    <k n="Descrição" t="s"/>
    <k n="Pendência" t="s"/>
    <k n="ExchangeID" t="s"/>
    <k n="UniqueName" t="s"/>
    <k n="Funcionários" t="s"/>
    <k n="Nome oficial" t="s"/>
    <k n="Variação (%)" t="s"/>
    <k n="%ProviderInfo" t="s"/>
    <k n="LearnMoreOnLink" t="s"/>
    <k n="Média de volume" t="s"/>
    <k n="Símbolo do ticker" t="s"/>
    <k n="Ano de incorporação" t="s"/>
    <k n="Ações em circulação" t="s"/>
    <k n="Fechamento anterior" t="s"/>
    <k n="Tipo de instrumento" t="s"/>
    <k n="Abreviatura do câmbio" t="s"/>
    <k n="Capitalização de mercado" t="s"/>
    <k n="Hora da última transação" t="s"/>
  </s>
  <s>
    <k n="P/E" t="i"/>
    <k n="Alto" t="i"/>
    <k n="Beta" t="i"/>
    <k n="Nome" t="i"/>
    <k n="Baixo" t="i"/>
    <k n="Preço" t="i"/>
    <k n="Volume" t="i"/>
    <k n="Variação" t="i"/>
    <k n="Pendência" t="i"/>
    <k n="Funcionários" t="i"/>
    <k n="Variação (%)" t="i"/>
    <k n="Média de volume" t="i"/>
    <k n="`%EntityServiceId" t="i"/>
    <k n="Ano de incorporação" t="i"/>
    <k n="Ações em circulação" t="i"/>
    <k n="Fechamento anterior" t="i"/>
    <k n="Capitalização de mercado" t="i"/>
    <k n="Hora da última transação" t="i"/>
  </s>
  <s>
    <k n="P/E" t="s"/>
    <k n="Alto" t="s"/>
    <k n="Beta" t="s"/>
    <k n="Nome" t="s"/>
    <k n="Sede" t="s"/>
    <k n="Baixo" t="s"/>
    <k n="Bolsa" t="s"/>
    <k n="Moeda" t="s"/>
    <k n="Preço" t="s"/>
    <k n="Setor" t="s"/>
    <k n="Volume" t="s"/>
    <k n="Variação" t="s"/>
    <k n="Descrição" t="s"/>
    <k n="Pendência" t="s"/>
    <k n="ExchangeID" t="s"/>
    <k n="UniqueName" t="s"/>
    <k n="Funcionários" t="s"/>
    <k n="Nome oficial" t="s"/>
    <k n="Variação (%)" t="s"/>
    <k n="%ProviderInfo" t="s"/>
    <k n="LearnMoreOnLink" t="s"/>
    <k n="Média de volume" t="s"/>
    <k n="Símbolo do ticker" t="s"/>
    <k n="52 semanas de alta" t="s"/>
    <k n="52 semanas de baixa" t="s"/>
    <k n="Ações em circulação" t="s"/>
    <k n="Fechamento anterior" t="s"/>
    <k n="Tipo de instrumento" t="s"/>
    <k n="Abreviatura do câmbio" t="s"/>
    <k n="Capitalização de mercado" t="s"/>
    <k n="Hora da última transação" t="s"/>
  </s>
  <s>
    <k n="P/E" t="i"/>
    <k n="Alto" t="i"/>
    <k n="Beta" t="i"/>
    <k n="Nome" t="i"/>
    <k n="Baixo" t="i"/>
    <k n="Preço" t="i"/>
    <k n="Volume" t="i"/>
    <k n="Variação" t="i"/>
    <k n="Pendência" t="i"/>
    <k n="Funcionários" t="i"/>
    <k n="Variação (%)" t="i"/>
    <k n="Média de volume" t="i"/>
    <k n="`%EntityServiceId" t="i"/>
    <k n="52 semanas de alta" t="i"/>
    <k n="52 semanas de baixa" t="i"/>
    <k n="Ações em circulação" t="i"/>
    <k n="Fechamento anterior" t="i"/>
    <k n="Capitalização de mercado" t="i"/>
    <k n="Hora da última transação" t="i"/>
  </s>
  <s>
    <k n="Preço" t="s"/>
    <k n="Variação" t="s"/>
    <k n="Variação (%)" t="s"/>
    <k n="Hora da última transação" t="s"/>
    <k n="Preço (Horário prolongado)" t="s"/>
    <k n="Alteração (Horário prolongado)" t="s"/>
    <k n="Alteração % (Horário prolongado)" t="s"/>
  </s>
  <s>
    <k n="P/E" t="s"/>
    <k n="Alto" t="s"/>
    <k n="Beta" t="s"/>
    <k n="Nome" t="s"/>
    <k n="Sede" t="s"/>
    <k n="Baixo" t="s"/>
    <k n="Bolsa" t="s"/>
    <k n="Moeda" t="s"/>
    <k n="Preço" t="s"/>
    <k n="Setor" t="s"/>
    <k n="Volume" t="s"/>
    <k n="Variação" t="s"/>
    <k n="Descrição" t="s"/>
    <k n="Pendência" t="s"/>
    <k n="ExchangeID" t="s"/>
    <k n="UniqueName" t="s"/>
    <k n="Funcionários" t="s"/>
    <k n="Nome oficial" t="s"/>
    <k n="Variação (%)" t="s"/>
    <k n="%ProviderInfo" t="s"/>
    <k n="Média de volume" t="s"/>
    <k n="Símbolo do ticker" t="s"/>
    <k n="52 semanas de alta" t="s"/>
    <k n="52 semanas de baixa" t="s"/>
    <k n="Ano de incorporação" t="s"/>
    <k n="Ações em circulação" t="s"/>
    <k n="Fechamento anterior" t="s"/>
    <k n="Tipo de instrumento" t="s"/>
    <k n="Abreviatura do câmbio" t="s"/>
    <k n="Capitalização de mercado" t="s"/>
    <k n="Hora da última transação" t="s"/>
    <k n="Preço (Horário prolongado)" t="s"/>
    <k n="Alteração (Horário prolongado)" t="s"/>
    <k n="Alteração % (Horário prolongado)" t="s"/>
  </s>
  <s>
    <k n="^Order" t="spba"/>
    <k n="TitleProperty" t="s"/>
  </s>
  <s>
    <k n="ExchangeID" t="spb"/>
    <k n="UniqueName" t="spb"/>
    <k n="`%ProviderInfo" t="spb"/>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8">
    <x:dxf>
      <x:numFmt numFmtId="2" formatCode="0.00"/>
    </x:dxf>
    <x:dxf>
      <x:numFmt numFmtId="0" formatCode="General"/>
    </x:dxf>
    <x:dxf>
      <x:numFmt numFmtId="27" formatCode="dd/mm/yyyy\ hh:mm"/>
    </x:dxf>
    <x:dxf>
      <x:numFmt numFmtId="14" formatCode="0.00%"/>
    </x:dxf>
    <x:dxf>
      <x:numFmt numFmtId="3" formatCode="#,##0"/>
    </x:dxf>
    <x:dxf>
      <x:numFmt numFmtId="4" formatCode="#,##0.00"/>
    </x:dxf>
    <x:dxf>
      <x:numFmt numFmtId="1" formatCode="0"/>
    </x:dxf>
    <x:dxf>
      <x:numFmt numFmtId="35" formatCode="_-* #,##0.00_-;\-* #,##0.00_-;_-* &quot;-&quot;??_-;_-@_-"/>
    </x:dxf>
  </dxfs>
  <richProperties>
    <rPr n="NumberFormat" t="s"/>
    <rPr n="IsTitleField" t="b"/>
    <rPr n="IsHeroField" t="b"/>
  </richProperties>
  <richStyles>
    <rSty dxfid="5">
      <rpv i="0">#,##0.00</rpv>
    </rSty>
    <rSty dxfid="1">
      <rpv i="0">_-* #,##0.00 [$kr-smj-SE]_-;-* #,##0.00 [$kr-smj-SE]_-;_-* "-"?? [$kr-smj-SE]_-;_-@_-</rpv>
    </rSty>
    <rSty>
      <rpv i="1">1</rpv>
    </rSty>
    <rSty dxfid="4">
      <rpv i="0">#,##0</rpv>
    </rSty>
    <rSty dxfid="3"/>
    <rSty dxfid="0">
      <rpv i="0">0.00</rpv>
    </rSty>
    <rSty dxfid="6">
      <rpv i="0">0</rpv>
    </rSty>
    <rSty dxfid="1">
      <rpv i="0">_-* #,##0 [$kr-smj-SE]_-;-* #,##0 [$kr-smj-SE]_-;_-* "-" [$kr-smj-SE]_-;_-@_-</rpv>
    </rSty>
    <rSty dxfid="2"/>
    <rSty dxfid="1">
      <rpv i="0">_([$€-x-euro2] * #,##0.00_);_([$€-x-euro2] * (#,##0.00);_([$€-x-euro2] * "-"??_);_(@_)</rpv>
    </rSty>
    <rSty>
      <rpv i="2">1</rpv>
    </rSty>
    <rSty dxfid="1">
      <rpv i="0">_([$€-x-euro2] * #,##0_);_([$€-x-euro2] * (#,##0);_([$€-x-euro2] * "-"_);_(@_)</rpv>
    </rSty>
    <rSty dxfid="1">
      <rpv i="0">_([$$-en-US]* #,##0.00_);_([$$-en-US]* (#,##0.00);_([$$-en-US]* "-"??_);_(@_)</rpv>
    </rSty>
    <rSty dxfid="1">
      <rpv i="0">_([$$-en-US]* #,##0_);_([$$-en-US]* (#,##0);_([$$-en-US]* "-"_);_(@_)</rpv>
    </rSty>
    <rSty dxfid="7">
      <rpv i="0">_(* #,##0.00_);_(* (#,##0.00);_(* "-"??_);_(@_)</rpv>
    </rSty>
    <rSty dxfid="1">
      <rpv i="0">_-[$£-en-GB]* #,##0_-;-[$£-en-GB]* #,##0_-;_-[$£-en-GB]* "-"_-;_-@_-</rpv>
    </rSty>
    <rSty dxfid="1">
      <rpv i="0" xml:space="preserve">_ [$kr-smj-NO] * #,##0_ ;_ [$kr-smj-NO] * -#,##0_ ;_ [$kr-smj-NO] * "-"_ ;_ @_ </rpv>
    </rSty>
  </richStyles>
</richStyleSheet>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911A6-93C9-4B8C-900F-D5ED9AEBE307}">
  <dimension ref="A3:Q45"/>
  <sheetViews>
    <sheetView tabSelected="1" zoomScale="90" zoomScaleNormal="90" workbookViewId="0">
      <selection activeCell="B45" sqref="B45"/>
    </sheetView>
  </sheetViews>
  <sheetFormatPr defaultRowHeight="14.25" x14ac:dyDescent="0.2"/>
  <cols>
    <col min="1" max="1" width="10.5" bestFit="1" customWidth="1"/>
    <col min="3" max="4" width="20" bestFit="1" customWidth="1"/>
    <col min="5" max="5" width="26.25" bestFit="1" customWidth="1"/>
    <col min="6" max="7" width="19" bestFit="1" customWidth="1"/>
    <col min="8" max="8" width="7.5" bestFit="1" customWidth="1"/>
    <col min="9" max="9" width="10.25" bestFit="1" customWidth="1"/>
    <col min="10" max="10" width="10.125" bestFit="1" customWidth="1"/>
    <col min="17" max="17" width="9.875" bestFit="1" customWidth="1"/>
  </cols>
  <sheetData>
    <row r="3" spans="1:10" x14ac:dyDescent="0.2">
      <c r="A3" t="s">
        <v>458</v>
      </c>
      <c r="B3" t="s">
        <v>261</v>
      </c>
      <c r="C3" t="s">
        <v>2</v>
      </c>
      <c r="D3" t="s">
        <v>262</v>
      </c>
      <c r="E3" t="s">
        <v>263</v>
      </c>
      <c r="F3" t="s">
        <v>264</v>
      </c>
      <c r="G3" t="s">
        <v>265</v>
      </c>
      <c r="H3" t="s">
        <v>1</v>
      </c>
      <c r="I3" t="s">
        <v>266</v>
      </c>
      <c r="J3" t="s">
        <v>42</v>
      </c>
    </row>
    <row r="4" spans="1:10" x14ac:dyDescent="0.2">
      <c r="A4">
        <v>1</v>
      </c>
      <c r="B4">
        <v>1</v>
      </c>
      <c r="C4" t="s">
        <v>170</v>
      </c>
      <c r="D4" t="s">
        <v>171</v>
      </c>
      <c r="E4" t="s">
        <v>45</v>
      </c>
      <c r="F4" t="s">
        <v>46</v>
      </c>
      <c r="G4" s="5" t="s">
        <v>47</v>
      </c>
      <c r="H4" s="4" t="s">
        <v>173</v>
      </c>
      <c r="I4" s="2">
        <v>222150</v>
      </c>
    </row>
    <row r="5" spans="1:10" x14ac:dyDescent="0.2">
      <c r="A5">
        <v>2</v>
      </c>
      <c r="B5">
        <f>+B4+1</f>
        <v>2</v>
      </c>
      <c r="C5" t="s">
        <v>269</v>
      </c>
      <c r="D5" t="s">
        <v>270</v>
      </c>
      <c r="E5" t="s">
        <v>45</v>
      </c>
      <c r="F5" t="s">
        <v>46</v>
      </c>
      <c r="G5" s="5" t="s">
        <v>47</v>
      </c>
      <c r="H5" s="4" t="s">
        <v>272</v>
      </c>
      <c r="I5" s="2">
        <v>177163</v>
      </c>
    </row>
    <row r="6" spans="1:10" x14ac:dyDescent="0.2">
      <c r="B6">
        <f t="shared" ref="B6:B38" si="0">+B5+1</f>
        <v>3</v>
      </c>
      <c r="C6" t="s">
        <v>454</v>
      </c>
      <c r="D6" t="s">
        <v>454</v>
      </c>
      <c r="E6" t="s">
        <v>45</v>
      </c>
      <c r="F6" t="s">
        <v>46</v>
      </c>
      <c r="G6" s="5" t="s">
        <v>455</v>
      </c>
      <c r="H6" s="4">
        <v>319</v>
      </c>
      <c r="I6" s="2">
        <v>170590</v>
      </c>
    </row>
    <row r="7" spans="1:10" x14ac:dyDescent="0.2">
      <c r="B7">
        <f t="shared" si="0"/>
        <v>4</v>
      </c>
      <c r="C7" t="s">
        <v>52</v>
      </c>
      <c r="D7" t="s">
        <v>470</v>
      </c>
      <c r="E7" t="s">
        <v>45</v>
      </c>
      <c r="F7" t="s">
        <v>46</v>
      </c>
      <c r="G7" s="5" t="s">
        <v>465</v>
      </c>
      <c r="H7" s="4">
        <v>172</v>
      </c>
      <c r="I7" s="2">
        <v>135654</v>
      </c>
    </row>
    <row r="8" spans="1:10" x14ac:dyDescent="0.2">
      <c r="A8">
        <v>3</v>
      </c>
      <c r="B8">
        <f t="shared" si="0"/>
        <v>5</v>
      </c>
      <c r="C8" t="s">
        <v>8</v>
      </c>
      <c r="D8" t="s">
        <v>78</v>
      </c>
      <c r="E8" t="s">
        <v>45</v>
      </c>
      <c r="F8" t="s">
        <v>46</v>
      </c>
      <c r="G8" s="5" t="s">
        <v>47</v>
      </c>
      <c r="H8" s="4" t="s">
        <v>80</v>
      </c>
      <c r="I8" s="2">
        <v>130997</v>
      </c>
    </row>
    <row r="9" spans="1:10" x14ac:dyDescent="0.2">
      <c r="A9">
        <v>4</v>
      </c>
      <c r="B9">
        <f t="shared" si="0"/>
        <v>6</v>
      </c>
      <c r="C9" t="s">
        <v>40</v>
      </c>
      <c r="D9" t="s">
        <v>244</v>
      </c>
      <c r="E9" t="s">
        <v>45</v>
      </c>
      <c r="F9" t="s">
        <v>46</v>
      </c>
      <c r="G9" s="5" t="s">
        <v>47</v>
      </c>
      <c r="H9" s="4" t="s">
        <v>246</v>
      </c>
      <c r="I9" s="2">
        <v>106015</v>
      </c>
    </row>
    <row r="10" spans="1:10" x14ac:dyDescent="0.2">
      <c r="A10">
        <v>5</v>
      </c>
      <c r="B10">
        <f t="shared" si="0"/>
        <v>7</v>
      </c>
      <c r="C10" t="s">
        <v>275</v>
      </c>
      <c r="D10" t="s">
        <v>276</v>
      </c>
      <c r="E10" t="s">
        <v>45</v>
      </c>
      <c r="F10" t="s">
        <v>46</v>
      </c>
      <c r="G10" s="5" t="s">
        <v>47</v>
      </c>
      <c r="H10" s="4" t="s">
        <v>278</v>
      </c>
      <c r="I10" s="2">
        <v>76683</v>
      </c>
    </row>
    <row r="11" spans="1:10" x14ac:dyDescent="0.2">
      <c r="A11">
        <v>6</v>
      </c>
      <c r="B11">
        <f t="shared" si="0"/>
        <v>8</v>
      </c>
      <c r="C11" t="s">
        <v>3</v>
      </c>
      <c r="D11" t="s">
        <v>165</v>
      </c>
      <c r="E11" t="s">
        <v>45</v>
      </c>
      <c r="F11" t="s">
        <v>46</v>
      </c>
      <c r="G11" s="5" t="s">
        <v>47</v>
      </c>
      <c r="H11" s="4" t="s">
        <v>167</v>
      </c>
      <c r="I11" s="2">
        <v>68295</v>
      </c>
    </row>
    <row r="12" spans="1:10" x14ac:dyDescent="0.2">
      <c r="A12">
        <v>7</v>
      </c>
      <c r="B12">
        <f t="shared" si="0"/>
        <v>9</v>
      </c>
      <c r="C12" t="s">
        <v>5</v>
      </c>
      <c r="D12" t="s">
        <v>280</v>
      </c>
      <c r="E12" t="s">
        <v>45</v>
      </c>
      <c r="F12" t="s">
        <v>46</v>
      </c>
      <c r="G12" s="5" t="s">
        <v>47</v>
      </c>
      <c r="H12" s="4" t="s">
        <v>282</v>
      </c>
      <c r="I12" s="2">
        <v>66846</v>
      </c>
    </row>
    <row r="13" spans="1:10" x14ac:dyDescent="0.2">
      <c r="A13" t="s">
        <v>42</v>
      </c>
      <c r="B13">
        <f t="shared" si="0"/>
        <v>10</v>
      </c>
      <c r="C13" t="s">
        <v>33</v>
      </c>
      <c r="D13" t="s">
        <v>471</v>
      </c>
      <c r="E13" t="s">
        <v>45</v>
      </c>
      <c r="F13" t="s">
        <v>46</v>
      </c>
      <c r="G13" s="5" t="s">
        <v>452</v>
      </c>
      <c r="H13" s="4">
        <v>753</v>
      </c>
      <c r="I13" s="2">
        <v>64400</v>
      </c>
    </row>
    <row r="14" spans="1:10" x14ac:dyDescent="0.2">
      <c r="A14">
        <v>8</v>
      </c>
      <c r="B14">
        <f t="shared" si="0"/>
        <v>11</v>
      </c>
      <c r="C14" t="s">
        <v>201</v>
      </c>
      <c r="D14" t="s">
        <v>202</v>
      </c>
      <c r="E14" t="s">
        <v>45</v>
      </c>
      <c r="F14" t="s">
        <v>46</v>
      </c>
      <c r="G14" s="5" t="s">
        <v>47</v>
      </c>
      <c r="H14" s="4" t="s">
        <v>204</v>
      </c>
      <c r="I14" s="2">
        <v>55333</v>
      </c>
    </row>
    <row r="15" spans="1:10" x14ac:dyDescent="0.2">
      <c r="B15">
        <f t="shared" si="0"/>
        <v>12</v>
      </c>
      <c r="C15" t="s">
        <v>34</v>
      </c>
      <c r="D15" t="s">
        <v>453</v>
      </c>
      <c r="E15" t="s">
        <v>45</v>
      </c>
      <c r="F15" t="s">
        <v>46</v>
      </c>
      <c r="G15" s="5" t="s">
        <v>472</v>
      </c>
      <c r="H15" s="4">
        <v>1006</v>
      </c>
      <c r="I15" s="2">
        <v>44880</v>
      </c>
    </row>
    <row r="16" spans="1:10" x14ac:dyDescent="0.2">
      <c r="A16" t="s">
        <v>42</v>
      </c>
      <c r="B16">
        <f t="shared" si="0"/>
        <v>13</v>
      </c>
      <c r="C16" t="s">
        <v>8</v>
      </c>
      <c r="D16" t="s">
        <v>17</v>
      </c>
      <c r="E16" t="s">
        <v>45</v>
      </c>
      <c r="F16" t="s">
        <v>46</v>
      </c>
      <c r="G16" s="5" t="s">
        <v>438</v>
      </c>
      <c r="H16" s="4">
        <v>1400</v>
      </c>
      <c r="I16" s="2">
        <v>42130</v>
      </c>
    </row>
    <row r="17" spans="1:17" x14ac:dyDescent="0.2">
      <c r="A17">
        <v>10</v>
      </c>
      <c r="B17">
        <f t="shared" si="0"/>
        <v>14</v>
      </c>
      <c r="C17" t="s">
        <v>72</v>
      </c>
      <c r="D17" t="s">
        <v>73</v>
      </c>
      <c r="E17" t="s">
        <v>45</v>
      </c>
      <c r="F17" t="s">
        <v>46</v>
      </c>
      <c r="G17" s="5" t="s">
        <v>47</v>
      </c>
      <c r="H17" s="4" t="s">
        <v>75</v>
      </c>
      <c r="I17" s="2">
        <v>40302</v>
      </c>
    </row>
    <row r="18" spans="1:17" x14ac:dyDescent="0.2">
      <c r="A18">
        <v>11</v>
      </c>
      <c r="B18">
        <f t="shared" si="0"/>
        <v>15</v>
      </c>
      <c r="C18" t="s">
        <v>4</v>
      </c>
      <c r="D18" t="s">
        <v>239</v>
      </c>
      <c r="E18" t="s">
        <v>45</v>
      </c>
      <c r="F18" t="s">
        <v>46</v>
      </c>
      <c r="G18" s="5" t="s">
        <v>47</v>
      </c>
      <c r="H18" s="4" t="s">
        <v>241</v>
      </c>
      <c r="I18" s="2">
        <v>38810</v>
      </c>
    </row>
    <row r="19" spans="1:17" x14ac:dyDescent="0.2">
      <c r="B19">
        <f t="shared" si="0"/>
        <v>16</v>
      </c>
      <c r="C19" t="s">
        <v>29</v>
      </c>
      <c r="D19" t="s">
        <v>11</v>
      </c>
      <c r="E19" t="s">
        <v>45</v>
      </c>
      <c r="F19" t="s">
        <v>46</v>
      </c>
      <c r="G19" s="5" t="s">
        <v>440</v>
      </c>
      <c r="H19" s="4">
        <v>191</v>
      </c>
      <c r="I19" s="2">
        <v>39680</v>
      </c>
    </row>
    <row r="20" spans="1:17" x14ac:dyDescent="0.2">
      <c r="A20">
        <v>12</v>
      </c>
      <c r="B20">
        <f t="shared" si="0"/>
        <v>17</v>
      </c>
      <c r="C20" t="s">
        <v>181</v>
      </c>
      <c r="D20" t="s">
        <v>182</v>
      </c>
      <c r="E20" t="s">
        <v>45</v>
      </c>
      <c r="F20" t="s">
        <v>46</v>
      </c>
      <c r="G20" s="5" t="s">
        <v>47</v>
      </c>
      <c r="H20" s="4" t="s">
        <v>184</v>
      </c>
      <c r="I20" s="2">
        <v>32446</v>
      </c>
    </row>
    <row r="21" spans="1:17" x14ac:dyDescent="0.2">
      <c r="B21">
        <f t="shared" si="0"/>
        <v>18</v>
      </c>
      <c r="C21" t="s">
        <v>441</v>
      </c>
      <c r="D21" t="s">
        <v>14</v>
      </c>
      <c r="E21" t="s">
        <v>45</v>
      </c>
      <c r="F21" t="s">
        <v>46</v>
      </c>
      <c r="G21" s="5" t="s">
        <v>441</v>
      </c>
      <c r="H21" s="4">
        <v>38.56</v>
      </c>
      <c r="I21" s="2">
        <v>23000</v>
      </c>
    </row>
    <row r="22" spans="1:17" x14ac:dyDescent="0.2">
      <c r="A22" t="s">
        <v>42</v>
      </c>
      <c r="B22">
        <f t="shared" si="0"/>
        <v>19</v>
      </c>
      <c r="C22" t="s">
        <v>473</v>
      </c>
      <c r="D22" t="s">
        <v>16</v>
      </c>
      <c r="E22" t="s">
        <v>45</v>
      </c>
      <c r="F22" t="s">
        <v>46</v>
      </c>
      <c r="G22" s="5" t="s">
        <v>440</v>
      </c>
      <c r="H22" s="4">
        <v>246.4</v>
      </c>
      <c r="I22" s="2">
        <v>19360</v>
      </c>
    </row>
    <row r="23" spans="1:17" x14ac:dyDescent="0.2">
      <c r="B23">
        <f t="shared" si="0"/>
        <v>20</v>
      </c>
      <c r="C23" t="s">
        <v>148</v>
      </c>
      <c r="D23" t="s">
        <v>149</v>
      </c>
      <c r="E23" t="s">
        <v>45</v>
      </c>
      <c r="F23" t="s">
        <v>46</v>
      </c>
      <c r="G23" s="5" t="s">
        <v>150</v>
      </c>
      <c r="H23" s="4" t="s">
        <v>152</v>
      </c>
      <c r="I23" s="2">
        <v>13861</v>
      </c>
    </row>
    <row r="24" spans="1:17" x14ac:dyDescent="0.2">
      <c r="A24">
        <v>14</v>
      </c>
      <c r="B24">
        <f t="shared" si="0"/>
        <v>21</v>
      </c>
      <c r="C24" t="s">
        <v>284</v>
      </c>
      <c r="D24" t="s">
        <v>285</v>
      </c>
      <c r="E24" t="s">
        <v>45</v>
      </c>
      <c r="F24" t="s">
        <v>46</v>
      </c>
      <c r="G24" s="5" t="s">
        <v>47</v>
      </c>
      <c r="H24" s="4" t="s">
        <v>287</v>
      </c>
      <c r="I24" s="2">
        <v>13644</v>
      </c>
    </row>
    <row r="25" spans="1:17" x14ac:dyDescent="0.2">
      <c r="A25">
        <v>15</v>
      </c>
      <c r="B25">
        <f t="shared" si="0"/>
        <v>22</v>
      </c>
      <c r="C25" t="s">
        <v>114</v>
      </c>
      <c r="D25" t="s">
        <v>115</v>
      </c>
      <c r="E25" t="s">
        <v>45</v>
      </c>
      <c r="F25" t="s">
        <v>46</v>
      </c>
      <c r="G25" s="5" t="s">
        <v>47</v>
      </c>
      <c r="H25" s="4" t="s">
        <v>117</v>
      </c>
      <c r="I25" s="2">
        <v>12112</v>
      </c>
      <c r="M25" s="1" t="s">
        <v>42</v>
      </c>
      <c r="Q25" s="6" t="s">
        <v>42</v>
      </c>
    </row>
    <row r="26" spans="1:17" x14ac:dyDescent="0.2">
      <c r="A26">
        <v>16</v>
      </c>
      <c r="B26">
        <f t="shared" si="0"/>
        <v>23</v>
      </c>
      <c r="C26" t="s">
        <v>290</v>
      </c>
      <c r="D26" t="s">
        <v>291</v>
      </c>
      <c r="E26" t="s">
        <v>45</v>
      </c>
      <c r="F26" t="s">
        <v>46</v>
      </c>
      <c r="G26" s="5" t="s">
        <v>47</v>
      </c>
      <c r="H26" s="4" t="s">
        <v>293</v>
      </c>
      <c r="I26" s="2">
        <v>11228</v>
      </c>
    </row>
    <row r="27" spans="1:17" x14ac:dyDescent="0.2">
      <c r="A27">
        <v>17</v>
      </c>
      <c r="B27">
        <f t="shared" si="0"/>
        <v>24</v>
      </c>
      <c r="C27" t="s">
        <v>295</v>
      </c>
      <c r="D27" t="s">
        <v>296</v>
      </c>
      <c r="E27" t="s">
        <v>45</v>
      </c>
      <c r="F27" t="s">
        <v>46</v>
      </c>
      <c r="G27" s="5" t="s">
        <v>47</v>
      </c>
      <c r="H27" s="4" t="s">
        <v>298</v>
      </c>
      <c r="I27" s="2">
        <v>10240</v>
      </c>
    </row>
    <row r="28" spans="1:17" x14ac:dyDescent="0.2">
      <c r="A28">
        <v>18</v>
      </c>
      <c r="B28">
        <f t="shared" si="0"/>
        <v>25</v>
      </c>
      <c r="C28" t="s">
        <v>83</v>
      </c>
      <c r="D28" t="s">
        <v>84</v>
      </c>
      <c r="E28" t="s">
        <v>45</v>
      </c>
      <c r="F28" t="s">
        <v>46</v>
      </c>
      <c r="G28" s="5" t="s">
        <v>47</v>
      </c>
      <c r="H28" s="4" t="s">
        <v>86</v>
      </c>
      <c r="I28" s="2">
        <v>9510</v>
      </c>
    </row>
    <row r="29" spans="1:17" x14ac:dyDescent="0.2">
      <c r="A29">
        <v>19</v>
      </c>
      <c r="B29">
        <f t="shared" si="0"/>
        <v>26</v>
      </c>
      <c r="C29" t="s">
        <v>301</v>
      </c>
      <c r="D29" t="s">
        <v>302</v>
      </c>
      <c r="E29" t="s">
        <v>45</v>
      </c>
      <c r="F29" t="s">
        <v>46</v>
      </c>
      <c r="G29" s="5" t="s">
        <v>47</v>
      </c>
      <c r="H29" s="4" t="s">
        <v>304</v>
      </c>
      <c r="I29" s="2">
        <v>9448</v>
      </c>
    </row>
    <row r="30" spans="1:17" x14ac:dyDescent="0.2">
      <c r="A30" t="s">
        <v>42</v>
      </c>
      <c r="B30">
        <f t="shared" si="0"/>
        <v>27</v>
      </c>
      <c r="C30" t="s">
        <v>141</v>
      </c>
      <c r="D30" t="s">
        <v>142</v>
      </c>
      <c r="E30" t="s">
        <v>45</v>
      </c>
      <c r="F30" t="s">
        <v>46</v>
      </c>
      <c r="G30" s="5" t="s">
        <v>451</v>
      </c>
      <c r="H30" s="4" t="s">
        <v>145</v>
      </c>
      <c r="I30" s="2">
        <v>8757</v>
      </c>
    </row>
    <row r="31" spans="1:17" x14ac:dyDescent="0.2">
      <c r="B31">
        <f t="shared" si="0"/>
        <v>28</v>
      </c>
      <c r="C31" t="s">
        <v>35</v>
      </c>
      <c r="D31" t="s">
        <v>450</v>
      </c>
      <c r="E31" t="s">
        <v>45</v>
      </c>
      <c r="F31" t="s">
        <v>46</v>
      </c>
      <c r="G31" s="5" t="s">
        <v>452</v>
      </c>
      <c r="H31" s="4">
        <v>641</v>
      </c>
      <c r="I31" s="2">
        <v>8240</v>
      </c>
    </row>
    <row r="32" spans="1:17" x14ac:dyDescent="0.2">
      <c r="B32">
        <f t="shared" si="0"/>
        <v>29</v>
      </c>
      <c r="C32" t="s">
        <v>37</v>
      </c>
      <c r="D32" t="s">
        <v>447</v>
      </c>
      <c r="E32" t="s">
        <v>45</v>
      </c>
      <c r="F32" t="s">
        <v>46</v>
      </c>
      <c r="G32" s="5" t="s">
        <v>472</v>
      </c>
      <c r="H32" s="4">
        <v>52.35</v>
      </c>
      <c r="I32" s="2">
        <v>6340</v>
      </c>
    </row>
    <row r="33" spans="1:11" x14ac:dyDescent="0.2">
      <c r="B33">
        <f t="shared" si="0"/>
        <v>30</v>
      </c>
      <c r="C33" t="s">
        <v>28</v>
      </c>
      <c r="D33" t="s">
        <v>10</v>
      </c>
      <c r="E33" t="s">
        <v>45</v>
      </c>
      <c r="F33" t="s">
        <v>46</v>
      </c>
      <c r="G33" s="5" t="s">
        <v>472</v>
      </c>
      <c r="H33" s="4">
        <v>7.6</v>
      </c>
      <c r="I33" s="2">
        <v>4750</v>
      </c>
    </row>
    <row r="34" spans="1:11" x14ac:dyDescent="0.2">
      <c r="B34">
        <f t="shared" si="0"/>
        <v>31</v>
      </c>
      <c r="C34" t="s">
        <v>441</v>
      </c>
      <c r="D34" t="s">
        <v>15</v>
      </c>
      <c r="E34" t="s">
        <v>45</v>
      </c>
      <c r="F34" t="s">
        <v>46</v>
      </c>
      <c r="G34" s="5" t="s">
        <v>441</v>
      </c>
      <c r="H34" s="4">
        <v>9.4499999999999993</v>
      </c>
      <c r="I34" s="2">
        <v>3070</v>
      </c>
    </row>
    <row r="35" spans="1:11" x14ac:dyDescent="0.2">
      <c r="B35">
        <f t="shared" si="0"/>
        <v>32</v>
      </c>
      <c r="C35" t="s">
        <v>6</v>
      </c>
      <c r="D35" t="s">
        <v>19</v>
      </c>
      <c r="E35" t="s">
        <v>45</v>
      </c>
      <c r="F35" t="s">
        <v>46</v>
      </c>
      <c r="G35" s="5" t="s">
        <v>438</v>
      </c>
      <c r="H35" s="4">
        <v>670</v>
      </c>
      <c r="I35" s="2">
        <v>3390</v>
      </c>
    </row>
    <row r="36" spans="1:11" x14ac:dyDescent="0.2">
      <c r="B36">
        <f t="shared" si="0"/>
        <v>33</v>
      </c>
      <c r="C36" t="s">
        <v>30</v>
      </c>
      <c r="D36" t="s">
        <v>12</v>
      </c>
      <c r="E36" t="s">
        <v>45</v>
      </c>
      <c r="F36" t="s">
        <v>46</v>
      </c>
      <c r="G36" s="5" t="s">
        <v>452</v>
      </c>
      <c r="H36" s="4">
        <v>163</v>
      </c>
      <c r="I36" s="2">
        <v>2126</v>
      </c>
    </row>
    <row r="37" spans="1:11" x14ac:dyDescent="0.2">
      <c r="B37">
        <f t="shared" si="0"/>
        <v>34</v>
      </c>
      <c r="C37" t="s">
        <v>31</v>
      </c>
      <c r="D37" t="s">
        <v>13</v>
      </c>
      <c r="E37" t="s">
        <v>45</v>
      </c>
      <c r="F37" t="s">
        <v>46</v>
      </c>
      <c r="G37" s="5" t="s">
        <v>440</v>
      </c>
      <c r="H37" s="4">
        <v>250</v>
      </c>
      <c r="I37" s="2">
        <v>1670</v>
      </c>
      <c r="K37" s="2"/>
    </row>
    <row r="38" spans="1:11" x14ac:dyDescent="0.2">
      <c r="B38">
        <f t="shared" si="0"/>
        <v>35</v>
      </c>
      <c r="C38" t="s">
        <v>7</v>
      </c>
      <c r="D38" t="s">
        <v>18</v>
      </c>
      <c r="E38" t="s">
        <v>45</v>
      </c>
      <c r="F38" t="s">
        <v>46</v>
      </c>
      <c r="G38" s="5" t="s">
        <v>439</v>
      </c>
      <c r="H38" s="4">
        <v>62</v>
      </c>
      <c r="I38" s="3" t="s">
        <v>42</v>
      </c>
    </row>
    <row r="39" spans="1:11" x14ac:dyDescent="0.2">
      <c r="A39" t="s">
        <v>460</v>
      </c>
      <c r="I39" s="2">
        <f>+SUM(I4:I37)</f>
        <v>1673120</v>
      </c>
      <c r="J39" s="2"/>
    </row>
    <row r="40" spans="1:11" x14ac:dyDescent="0.2">
      <c r="A40" t="s">
        <v>459</v>
      </c>
      <c r="I40" s="2">
        <f>+I29+I28+I27+I26+I25+I24+I20+I18+I17+I14+I12+I11+I10+I9+I8+I5+I4</f>
        <v>1081222</v>
      </c>
      <c r="J40" s="2"/>
    </row>
    <row r="41" spans="1:11" x14ac:dyDescent="0.2">
      <c r="A41" t="s">
        <v>478</v>
      </c>
      <c r="I41" s="1">
        <f>+I40/I39</f>
        <v>0.64623099359280867</v>
      </c>
      <c r="J41" s="2"/>
    </row>
    <row r="42" spans="1:11" x14ac:dyDescent="0.2">
      <c r="I42" s="1" t="s">
        <v>42</v>
      </c>
      <c r="J42" s="2"/>
    </row>
    <row r="43" spans="1:11" x14ac:dyDescent="0.2">
      <c r="A43" t="s">
        <v>474</v>
      </c>
      <c r="B43" s="2">
        <v>800000</v>
      </c>
      <c r="J43" s="1"/>
    </row>
    <row r="44" spans="1:11" x14ac:dyDescent="0.2">
      <c r="A44" t="s">
        <v>475</v>
      </c>
      <c r="B44" s="2">
        <v>480</v>
      </c>
      <c r="J44" s="1"/>
    </row>
    <row r="45" spans="1:11" x14ac:dyDescent="0.2">
      <c r="A45" t="s">
        <v>476</v>
      </c>
      <c r="B45">
        <f>+B43/B44</f>
        <v>1666.6666666666667</v>
      </c>
      <c r="J45"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A6112-E65A-4D82-9447-22F8E35DE19E}">
  <dimension ref="A1:L74"/>
  <sheetViews>
    <sheetView workbookViewId="0">
      <selection activeCell="H13" sqref="H13"/>
    </sheetView>
  </sheetViews>
  <sheetFormatPr defaultRowHeight="14.25" x14ac:dyDescent="0.2"/>
  <cols>
    <col min="4" max="4" width="34.125" bestFit="1" customWidth="1"/>
    <col min="5" max="5" width="9.125" bestFit="1" customWidth="1"/>
    <col min="6" max="6" width="19" bestFit="1" customWidth="1"/>
  </cols>
  <sheetData>
    <row r="1" spans="1:11" x14ac:dyDescent="0.2">
      <c r="H1" t="s">
        <v>435</v>
      </c>
      <c r="K1" t="s">
        <v>42</v>
      </c>
    </row>
    <row r="2" spans="1:11" x14ac:dyDescent="0.2">
      <c r="B2" t="s">
        <v>261</v>
      </c>
      <c r="C2" t="s">
        <v>2</v>
      </c>
      <c r="D2" t="s">
        <v>262</v>
      </c>
      <c r="E2" t="s">
        <v>263</v>
      </c>
      <c r="F2" t="s">
        <v>264</v>
      </c>
      <c r="G2" t="s">
        <v>265</v>
      </c>
      <c r="H2" t="s">
        <v>1</v>
      </c>
      <c r="I2" t="s">
        <v>266</v>
      </c>
      <c r="J2" t="s">
        <v>267</v>
      </c>
      <c r="K2" t="s">
        <v>268</v>
      </c>
    </row>
    <row r="3" spans="1:11" x14ac:dyDescent="0.2">
      <c r="A3" t="s">
        <v>436</v>
      </c>
      <c r="B3">
        <v>1</v>
      </c>
      <c r="C3" t="s">
        <v>170</v>
      </c>
      <c r="D3" t="s">
        <v>171</v>
      </c>
      <c r="E3" t="s">
        <v>45</v>
      </c>
      <c r="F3" t="s">
        <v>46</v>
      </c>
      <c r="G3" t="s">
        <v>47</v>
      </c>
      <c r="H3" t="s">
        <v>173</v>
      </c>
      <c r="I3" t="s">
        <v>172</v>
      </c>
      <c r="J3" t="s">
        <v>174</v>
      </c>
      <c r="K3" t="s">
        <v>175</v>
      </c>
    </row>
    <row r="4" spans="1:11" x14ac:dyDescent="0.2">
      <c r="A4" t="s">
        <v>42</v>
      </c>
      <c r="B4">
        <v>2</v>
      </c>
      <c r="C4" t="s">
        <v>269</v>
      </c>
      <c r="D4" t="s">
        <v>270</v>
      </c>
      <c r="E4" t="s">
        <v>45</v>
      </c>
      <c r="F4" t="s">
        <v>46</v>
      </c>
      <c r="G4" t="s">
        <v>47</v>
      </c>
      <c r="H4" t="s">
        <v>272</v>
      </c>
      <c r="I4" t="s">
        <v>271</v>
      </c>
      <c r="J4" t="s">
        <v>273</v>
      </c>
      <c r="K4" t="s">
        <v>274</v>
      </c>
    </row>
    <row r="5" spans="1:11" x14ac:dyDescent="0.2">
      <c r="A5" t="s">
        <v>436</v>
      </c>
      <c r="B5">
        <v>3</v>
      </c>
      <c r="C5" t="s">
        <v>8</v>
      </c>
      <c r="D5" t="s">
        <v>78</v>
      </c>
      <c r="E5" t="s">
        <v>45</v>
      </c>
      <c r="F5" t="s">
        <v>46</v>
      </c>
      <c r="G5" t="s">
        <v>47</v>
      </c>
      <c r="H5" t="s">
        <v>80</v>
      </c>
      <c r="I5" t="s">
        <v>79</v>
      </c>
      <c r="J5" t="s">
        <v>81</v>
      </c>
      <c r="K5" t="s">
        <v>82</v>
      </c>
    </row>
    <row r="6" spans="1:11" x14ac:dyDescent="0.2">
      <c r="A6" t="s">
        <v>436</v>
      </c>
      <c r="B6">
        <v>4</v>
      </c>
      <c r="C6" t="s">
        <v>40</v>
      </c>
      <c r="D6" t="s">
        <v>244</v>
      </c>
      <c r="E6" t="s">
        <v>45</v>
      </c>
      <c r="F6" t="s">
        <v>46</v>
      </c>
      <c r="G6" t="s">
        <v>47</v>
      </c>
      <c r="H6" t="s">
        <v>246</v>
      </c>
      <c r="I6" t="s">
        <v>245</v>
      </c>
      <c r="J6" t="s">
        <v>247</v>
      </c>
      <c r="K6" t="s">
        <v>248</v>
      </c>
    </row>
    <row r="7" spans="1:11" x14ac:dyDescent="0.2">
      <c r="B7">
        <v>5</v>
      </c>
      <c r="C7" t="s">
        <v>275</v>
      </c>
      <c r="D7" t="s">
        <v>276</v>
      </c>
      <c r="E7" t="s">
        <v>45</v>
      </c>
      <c r="F7" t="s">
        <v>46</v>
      </c>
      <c r="G7" t="s">
        <v>47</v>
      </c>
      <c r="H7" t="s">
        <v>278</v>
      </c>
      <c r="I7" t="s">
        <v>277</v>
      </c>
      <c r="J7" t="s">
        <v>279</v>
      </c>
      <c r="K7">
        <v>267.15499999999997</v>
      </c>
    </row>
    <row r="8" spans="1:11" x14ac:dyDescent="0.2">
      <c r="A8" t="s">
        <v>436</v>
      </c>
      <c r="B8">
        <v>6</v>
      </c>
      <c r="C8" t="s">
        <v>3</v>
      </c>
      <c r="D8" t="s">
        <v>165</v>
      </c>
      <c r="E8" t="s">
        <v>45</v>
      </c>
      <c r="F8" t="s">
        <v>46</v>
      </c>
      <c r="G8" t="s">
        <v>47</v>
      </c>
      <c r="H8" t="s">
        <v>167</v>
      </c>
      <c r="I8" t="s">
        <v>166</v>
      </c>
      <c r="J8" t="s">
        <v>168</v>
      </c>
      <c r="K8" t="s">
        <v>169</v>
      </c>
    </row>
    <row r="9" spans="1:11" x14ac:dyDescent="0.2">
      <c r="A9" t="s">
        <v>436</v>
      </c>
      <c r="B9">
        <v>7</v>
      </c>
      <c r="C9" t="s">
        <v>5</v>
      </c>
      <c r="D9" t="s">
        <v>280</v>
      </c>
      <c r="E9" t="s">
        <v>45</v>
      </c>
      <c r="F9" t="s">
        <v>46</v>
      </c>
      <c r="G9" t="s">
        <v>47</v>
      </c>
      <c r="H9" t="s">
        <v>282</v>
      </c>
      <c r="I9" t="s">
        <v>281</v>
      </c>
      <c r="J9" t="s">
        <v>283</v>
      </c>
      <c r="K9">
        <v>889.42200000000003</v>
      </c>
    </row>
    <row r="10" spans="1:11" x14ac:dyDescent="0.2">
      <c r="B10">
        <v>8</v>
      </c>
      <c r="C10" t="s">
        <v>201</v>
      </c>
      <c r="D10" t="s">
        <v>202</v>
      </c>
      <c r="E10" t="s">
        <v>45</v>
      </c>
      <c r="F10" t="s">
        <v>46</v>
      </c>
      <c r="G10" t="s">
        <v>47</v>
      </c>
      <c r="H10" t="s">
        <v>204</v>
      </c>
      <c r="I10" t="s">
        <v>203</v>
      </c>
      <c r="J10" t="s">
        <v>205</v>
      </c>
      <c r="K10" t="s">
        <v>206</v>
      </c>
    </row>
    <row r="11" spans="1:11" x14ac:dyDescent="0.2">
      <c r="B11">
        <v>9</v>
      </c>
      <c r="C11" t="s">
        <v>72</v>
      </c>
      <c r="D11" t="s">
        <v>73</v>
      </c>
      <c r="E11" t="s">
        <v>45</v>
      </c>
      <c r="F11" t="s">
        <v>46</v>
      </c>
      <c r="G11" t="s">
        <v>47</v>
      </c>
      <c r="H11" t="s">
        <v>75</v>
      </c>
      <c r="I11" t="s">
        <v>74</v>
      </c>
      <c r="J11" t="s">
        <v>76</v>
      </c>
      <c r="K11" t="s">
        <v>77</v>
      </c>
    </row>
    <row r="12" spans="1:11" x14ac:dyDescent="0.2">
      <c r="A12" t="s">
        <v>436</v>
      </c>
      <c r="B12">
        <v>10</v>
      </c>
      <c r="C12" t="s">
        <v>4</v>
      </c>
      <c r="D12" t="s">
        <v>239</v>
      </c>
      <c r="E12" t="s">
        <v>45</v>
      </c>
      <c r="F12" t="s">
        <v>46</v>
      </c>
      <c r="G12" t="s">
        <v>47</v>
      </c>
      <c r="H12" t="s">
        <v>241</v>
      </c>
      <c r="I12" t="s">
        <v>240</v>
      </c>
      <c r="J12" t="s">
        <v>242</v>
      </c>
      <c r="K12" t="s">
        <v>243</v>
      </c>
    </row>
    <row r="13" spans="1:11" x14ac:dyDescent="0.2">
      <c r="A13" t="s">
        <v>436</v>
      </c>
      <c r="B13">
        <v>11</v>
      </c>
      <c r="C13" t="s">
        <v>181</v>
      </c>
      <c r="D13" t="s">
        <v>182</v>
      </c>
      <c r="E13" t="s">
        <v>45</v>
      </c>
      <c r="F13" t="s">
        <v>46</v>
      </c>
      <c r="G13" t="s">
        <v>47</v>
      </c>
      <c r="H13" t="s">
        <v>184</v>
      </c>
      <c r="I13" t="s">
        <v>183</v>
      </c>
      <c r="J13" t="s">
        <v>185</v>
      </c>
      <c r="K13" t="s">
        <v>186</v>
      </c>
    </row>
    <row r="14" spans="1:11" x14ac:dyDescent="0.2">
      <c r="B14">
        <v>12</v>
      </c>
      <c r="C14" t="s">
        <v>187</v>
      </c>
      <c r="D14" t="s">
        <v>182</v>
      </c>
      <c r="E14" t="s">
        <v>45</v>
      </c>
      <c r="F14" t="s">
        <v>46</v>
      </c>
      <c r="G14" t="s">
        <v>47</v>
      </c>
      <c r="H14" t="s">
        <v>188</v>
      </c>
      <c r="I14" t="s">
        <v>183</v>
      </c>
      <c r="J14" t="s">
        <v>189</v>
      </c>
      <c r="K14">
        <v>472.26</v>
      </c>
    </row>
    <row r="15" spans="1:11" x14ac:dyDescent="0.2">
      <c r="B15">
        <v>13</v>
      </c>
      <c r="C15" t="s">
        <v>148</v>
      </c>
      <c r="D15" t="s">
        <v>149</v>
      </c>
      <c r="E15" t="s">
        <v>45</v>
      </c>
      <c r="F15" t="s">
        <v>46</v>
      </c>
      <c r="G15" t="s">
        <v>150</v>
      </c>
      <c r="H15" t="s">
        <v>152</v>
      </c>
      <c r="I15" t="s">
        <v>151</v>
      </c>
      <c r="J15" t="s">
        <v>153</v>
      </c>
      <c r="K15">
        <v>41.93</v>
      </c>
    </row>
    <row r="16" spans="1:11" x14ac:dyDescent="0.2">
      <c r="B16">
        <v>14</v>
      </c>
      <c r="C16" t="s">
        <v>284</v>
      </c>
      <c r="D16" t="s">
        <v>285</v>
      </c>
      <c r="E16" t="s">
        <v>45</v>
      </c>
      <c r="F16" t="s">
        <v>46</v>
      </c>
      <c r="G16" t="s">
        <v>47</v>
      </c>
      <c r="H16" t="s">
        <v>287</v>
      </c>
      <c r="I16" t="s">
        <v>286</v>
      </c>
      <c r="J16" t="s">
        <v>288</v>
      </c>
      <c r="K16" t="s">
        <v>289</v>
      </c>
    </row>
    <row r="17" spans="1:11" x14ac:dyDescent="0.2">
      <c r="B17">
        <v>15</v>
      </c>
      <c r="C17" t="s">
        <v>114</v>
      </c>
      <c r="D17" t="s">
        <v>115</v>
      </c>
      <c r="E17" t="s">
        <v>45</v>
      </c>
      <c r="F17" t="s">
        <v>46</v>
      </c>
      <c r="G17" t="s">
        <v>47</v>
      </c>
      <c r="H17" t="s">
        <v>117</v>
      </c>
      <c r="I17" t="s">
        <v>116</v>
      </c>
      <c r="J17" t="s">
        <v>118</v>
      </c>
      <c r="K17">
        <v>271.548</v>
      </c>
    </row>
    <row r="18" spans="1:11" x14ac:dyDescent="0.2">
      <c r="B18">
        <v>16</v>
      </c>
      <c r="C18" t="s">
        <v>290</v>
      </c>
      <c r="D18" t="s">
        <v>291</v>
      </c>
      <c r="E18" t="s">
        <v>45</v>
      </c>
      <c r="F18" t="s">
        <v>46</v>
      </c>
      <c r="G18" t="s">
        <v>47</v>
      </c>
      <c r="H18" t="s">
        <v>293</v>
      </c>
      <c r="I18" t="s">
        <v>292</v>
      </c>
      <c r="J18" t="s">
        <v>294</v>
      </c>
      <c r="K18">
        <v>330.84199999999998</v>
      </c>
    </row>
    <row r="19" spans="1:11" x14ac:dyDescent="0.2">
      <c r="A19" t="s">
        <v>436</v>
      </c>
      <c r="B19">
        <v>17</v>
      </c>
      <c r="C19" t="s">
        <v>295</v>
      </c>
      <c r="D19" t="s">
        <v>296</v>
      </c>
      <c r="E19" t="s">
        <v>45</v>
      </c>
      <c r="F19" t="s">
        <v>46</v>
      </c>
      <c r="G19" t="s">
        <v>47</v>
      </c>
      <c r="H19" t="s">
        <v>298</v>
      </c>
      <c r="I19" t="s">
        <v>297</v>
      </c>
      <c r="J19" t="s">
        <v>299</v>
      </c>
      <c r="K19" t="s">
        <v>300</v>
      </c>
    </row>
    <row r="20" spans="1:11" x14ac:dyDescent="0.2">
      <c r="B20">
        <v>18</v>
      </c>
      <c r="C20" t="s">
        <v>83</v>
      </c>
      <c r="D20" t="s">
        <v>84</v>
      </c>
      <c r="E20" t="s">
        <v>45</v>
      </c>
      <c r="F20" t="s">
        <v>46</v>
      </c>
      <c r="G20" t="s">
        <v>47</v>
      </c>
      <c r="H20" t="s">
        <v>86</v>
      </c>
      <c r="I20" t="s">
        <v>85</v>
      </c>
      <c r="J20" t="s">
        <v>87</v>
      </c>
      <c r="K20">
        <v>808.41499999999996</v>
      </c>
    </row>
    <row r="21" spans="1:11" x14ac:dyDescent="0.2">
      <c r="B21">
        <v>19</v>
      </c>
      <c r="C21" t="s">
        <v>301</v>
      </c>
      <c r="D21" t="s">
        <v>302</v>
      </c>
      <c r="E21" t="s">
        <v>45</v>
      </c>
      <c r="F21" t="s">
        <v>46</v>
      </c>
      <c r="G21" t="s">
        <v>47</v>
      </c>
      <c r="H21" t="s">
        <v>304</v>
      </c>
      <c r="I21" t="s">
        <v>303</v>
      </c>
      <c r="J21" t="s">
        <v>305</v>
      </c>
      <c r="K21" t="s">
        <v>306</v>
      </c>
    </row>
    <row r="22" spans="1:11" x14ac:dyDescent="0.2">
      <c r="A22" t="s">
        <v>436</v>
      </c>
      <c r="B22">
        <v>20</v>
      </c>
      <c r="C22" t="s">
        <v>141</v>
      </c>
      <c r="D22" t="s">
        <v>142</v>
      </c>
      <c r="E22" t="s">
        <v>45</v>
      </c>
      <c r="F22" t="s">
        <v>46</v>
      </c>
      <c r="G22" t="s">
        <v>143</v>
      </c>
      <c r="H22" t="s">
        <v>145</v>
      </c>
      <c r="I22" t="s">
        <v>144</v>
      </c>
      <c r="J22" t="s">
        <v>146</v>
      </c>
      <c r="K22" t="s">
        <v>147</v>
      </c>
    </row>
    <row r="23" spans="1:11" x14ac:dyDescent="0.2">
      <c r="A23" t="s">
        <v>436</v>
      </c>
      <c r="B23">
        <v>21</v>
      </c>
      <c r="C23" t="s">
        <v>129</v>
      </c>
      <c r="D23" t="s">
        <v>130</v>
      </c>
      <c r="E23" t="s">
        <v>45</v>
      </c>
      <c r="F23" t="s">
        <v>46</v>
      </c>
      <c r="G23" t="s">
        <v>47</v>
      </c>
      <c r="H23" t="s">
        <v>132</v>
      </c>
      <c r="I23" t="s">
        <v>131</v>
      </c>
      <c r="J23" t="s">
        <v>133</v>
      </c>
      <c r="K23">
        <v>970.12300000000005</v>
      </c>
    </row>
    <row r="24" spans="1:11" x14ac:dyDescent="0.2">
      <c r="B24">
        <v>22</v>
      </c>
      <c r="C24" t="s">
        <v>93</v>
      </c>
      <c r="D24" t="s">
        <v>94</v>
      </c>
      <c r="E24" t="s">
        <v>45</v>
      </c>
      <c r="F24" t="s">
        <v>46</v>
      </c>
      <c r="G24" t="s">
        <v>95</v>
      </c>
      <c r="H24" t="s">
        <v>97</v>
      </c>
      <c r="I24" t="s">
        <v>96</v>
      </c>
      <c r="J24" t="s">
        <v>98</v>
      </c>
      <c r="K24">
        <v>703.87199999999996</v>
      </c>
    </row>
    <row r="25" spans="1:11" x14ac:dyDescent="0.2">
      <c r="B25">
        <v>23</v>
      </c>
      <c r="C25" t="s">
        <v>190</v>
      </c>
      <c r="D25" t="s">
        <v>191</v>
      </c>
      <c r="E25" t="s">
        <v>45</v>
      </c>
      <c r="F25" t="s">
        <v>46</v>
      </c>
      <c r="G25" t="s">
        <v>47</v>
      </c>
      <c r="H25" t="s">
        <v>193</v>
      </c>
      <c r="I25" t="s">
        <v>192</v>
      </c>
      <c r="J25" t="s">
        <v>194</v>
      </c>
      <c r="K25" t="s">
        <v>195</v>
      </c>
    </row>
    <row r="26" spans="1:11" x14ac:dyDescent="0.2">
      <c r="B26">
        <v>24</v>
      </c>
      <c r="C26" t="s">
        <v>249</v>
      </c>
      <c r="D26" t="s">
        <v>250</v>
      </c>
      <c r="E26" t="s">
        <v>45</v>
      </c>
      <c r="F26" t="s">
        <v>46</v>
      </c>
      <c r="G26" t="s">
        <v>47</v>
      </c>
      <c r="H26" t="s">
        <v>252</v>
      </c>
      <c r="I26" t="s">
        <v>251</v>
      </c>
      <c r="J26" t="s">
        <v>253</v>
      </c>
      <c r="K26" t="s">
        <v>254</v>
      </c>
    </row>
    <row r="27" spans="1:11" x14ac:dyDescent="0.2">
      <c r="B27">
        <v>25</v>
      </c>
      <c r="C27" t="s">
        <v>307</v>
      </c>
      <c r="D27" t="s">
        <v>308</v>
      </c>
      <c r="E27" t="s">
        <v>45</v>
      </c>
      <c r="F27" t="s">
        <v>46</v>
      </c>
      <c r="G27" t="s">
        <v>47</v>
      </c>
      <c r="H27" t="s">
        <v>310</v>
      </c>
      <c r="I27" t="s">
        <v>309</v>
      </c>
      <c r="J27" t="s">
        <v>311</v>
      </c>
      <c r="K27">
        <v>168.059</v>
      </c>
    </row>
    <row r="28" spans="1:11" x14ac:dyDescent="0.2">
      <c r="B28">
        <v>26</v>
      </c>
      <c r="C28" t="s">
        <v>207</v>
      </c>
      <c r="D28" t="s">
        <v>208</v>
      </c>
      <c r="E28" t="s">
        <v>45</v>
      </c>
      <c r="F28" t="s">
        <v>46</v>
      </c>
      <c r="G28" t="s">
        <v>47</v>
      </c>
      <c r="H28" t="s">
        <v>210</v>
      </c>
      <c r="I28" t="s">
        <v>209</v>
      </c>
      <c r="J28" t="s">
        <v>211</v>
      </c>
      <c r="K28" t="s">
        <v>212</v>
      </c>
    </row>
    <row r="29" spans="1:11" x14ac:dyDescent="0.2">
      <c r="B29">
        <v>27</v>
      </c>
      <c r="C29" t="s">
        <v>67</v>
      </c>
      <c r="D29" t="s">
        <v>68</v>
      </c>
      <c r="E29" t="s">
        <v>45</v>
      </c>
      <c r="F29" t="s">
        <v>46</v>
      </c>
      <c r="G29" t="s">
        <v>47</v>
      </c>
      <c r="H29" t="s">
        <v>70</v>
      </c>
      <c r="I29" t="s">
        <v>69</v>
      </c>
      <c r="J29" t="s">
        <v>71</v>
      </c>
      <c r="K29">
        <v>451.964</v>
      </c>
    </row>
    <row r="30" spans="1:11" x14ac:dyDescent="0.2">
      <c r="B30">
        <v>28</v>
      </c>
      <c r="C30" t="s">
        <v>224</v>
      </c>
      <c r="D30" t="s">
        <v>225</v>
      </c>
      <c r="E30" t="s">
        <v>45</v>
      </c>
      <c r="F30" t="s">
        <v>46</v>
      </c>
      <c r="G30" t="s">
        <v>47</v>
      </c>
      <c r="H30" t="s">
        <v>227</v>
      </c>
      <c r="I30" t="s">
        <v>226</v>
      </c>
      <c r="J30" t="s">
        <v>228</v>
      </c>
      <c r="K30">
        <v>669.74900000000002</v>
      </c>
    </row>
    <row r="31" spans="1:11" x14ac:dyDescent="0.2">
      <c r="A31" t="s">
        <v>42</v>
      </c>
      <c r="B31">
        <v>29</v>
      </c>
      <c r="C31" t="s">
        <v>312</v>
      </c>
      <c r="D31" t="s">
        <v>313</v>
      </c>
      <c r="E31" t="s">
        <v>45</v>
      </c>
      <c r="F31" t="s">
        <v>46</v>
      </c>
      <c r="G31" t="s">
        <v>47</v>
      </c>
      <c r="H31" t="s">
        <v>314</v>
      </c>
      <c r="I31" t="s">
        <v>48</v>
      </c>
      <c r="J31" t="s">
        <v>315</v>
      </c>
      <c r="K31" t="s">
        <v>316</v>
      </c>
    </row>
    <row r="32" spans="1:11" x14ac:dyDescent="0.2">
      <c r="A32" t="s">
        <v>436</v>
      </c>
      <c r="B32">
        <v>30</v>
      </c>
      <c r="C32" t="s">
        <v>43</v>
      </c>
      <c r="D32" t="s">
        <v>44</v>
      </c>
      <c r="E32" t="s">
        <v>45</v>
      </c>
      <c r="F32" t="s">
        <v>46</v>
      </c>
      <c r="G32" t="s">
        <v>47</v>
      </c>
      <c r="H32" t="s">
        <v>49</v>
      </c>
      <c r="I32" t="s">
        <v>48</v>
      </c>
      <c r="J32" t="s">
        <v>50</v>
      </c>
      <c r="K32" t="s">
        <v>51</v>
      </c>
    </row>
    <row r="33" spans="1:12" x14ac:dyDescent="0.2">
      <c r="B33">
        <v>31</v>
      </c>
      <c r="C33" t="s">
        <v>229</v>
      </c>
      <c r="D33" t="s">
        <v>230</v>
      </c>
      <c r="E33" t="s">
        <v>45</v>
      </c>
      <c r="F33" t="s">
        <v>46</v>
      </c>
      <c r="G33" t="s">
        <v>47</v>
      </c>
      <c r="H33" t="s">
        <v>232</v>
      </c>
      <c r="I33" t="s">
        <v>231</v>
      </c>
      <c r="J33" t="s">
        <v>81</v>
      </c>
      <c r="K33" t="s">
        <v>233</v>
      </c>
    </row>
    <row r="34" spans="1:12" x14ac:dyDescent="0.2">
      <c r="B34">
        <v>32</v>
      </c>
      <c r="C34" t="s">
        <v>317</v>
      </c>
      <c r="D34" t="s">
        <v>318</v>
      </c>
      <c r="E34" t="s">
        <v>45</v>
      </c>
      <c r="F34" t="s">
        <v>46</v>
      </c>
      <c r="G34" t="s">
        <v>47</v>
      </c>
      <c r="H34" t="s">
        <v>320</v>
      </c>
      <c r="I34" t="s">
        <v>319</v>
      </c>
      <c r="J34" t="s">
        <v>321</v>
      </c>
      <c r="K34">
        <v>395.42599999999999</v>
      </c>
    </row>
    <row r="35" spans="1:12" x14ac:dyDescent="0.2">
      <c r="B35">
        <v>33</v>
      </c>
      <c r="C35" t="s">
        <v>322</v>
      </c>
      <c r="D35" t="s">
        <v>323</v>
      </c>
      <c r="E35" t="s">
        <v>45</v>
      </c>
      <c r="F35" t="s">
        <v>46</v>
      </c>
      <c r="G35" t="s">
        <v>47</v>
      </c>
      <c r="H35" t="s">
        <v>325</v>
      </c>
      <c r="I35" t="s">
        <v>324</v>
      </c>
      <c r="J35" t="s">
        <v>326</v>
      </c>
      <c r="K35">
        <v>313.56900000000002</v>
      </c>
    </row>
    <row r="36" spans="1:12" x14ac:dyDescent="0.2">
      <c r="B36">
        <v>34</v>
      </c>
      <c r="C36" t="s">
        <v>52</v>
      </c>
      <c r="D36" t="s">
        <v>53</v>
      </c>
      <c r="E36" t="s">
        <v>45</v>
      </c>
      <c r="F36" t="s">
        <v>46</v>
      </c>
      <c r="G36" t="s">
        <v>47</v>
      </c>
      <c r="H36" t="s">
        <v>55</v>
      </c>
      <c r="I36" t="s">
        <v>54</v>
      </c>
      <c r="J36" t="s">
        <v>56</v>
      </c>
      <c r="K36">
        <v>163.49700000000001</v>
      </c>
    </row>
    <row r="37" spans="1:12" x14ac:dyDescent="0.2">
      <c r="A37" t="s">
        <v>436</v>
      </c>
      <c r="B37">
        <v>35</v>
      </c>
      <c r="C37" t="s">
        <v>255</v>
      </c>
      <c r="D37" t="s">
        <v>256</v>
      </c>
      <c r="E37" t="s">
        <v>45</v>
      </c>
      <c r="F37" t="s">
        <v>46</v>
      </c>
      <c r="G37" t="s">
        <v>47</v>
      </c>
      <c r="H37" t="s">
        <v>258</v>
      </c>
      <c r="I37" t="s">
        <v>257</v>
      </c>
      <c r="J37" t="s">
        <v>259</v>
      </c>
      <c r="K37" t="s">
        <v>260</v>
      </c>
    </row>
    <row r="38" spans="1:12" x14ac:dyDescent="0.2">
      <c r="B38">
        <v>36</v>
      </c>
      <c r="C38" t="s">
        <v>327</v>
      </c>
      <c r="D38" t="s">
        <v>328</v>
      </c>
      <c r="E38" t="s">
        <v>45</v>
      </c>
      <c r="F38" t="s">
        <v>46</v>
      </c>
      <c r="G38" t="s">
        <v>47</v>
      </c>
      <c r="H38" t="s">
        <v>330</v>
      </c>
      <c r="I38" t="s">
        <v>329</v>
      </c>
      <c r="J38" t="s">
        <v>331</v>
      </c>
      <c r="K38" t="s">
        <v>332</v>
      </c>
    </row>
    <row r="39" spans="1:12" x14ac:dyDescent="0.2">
      <c r="B39">
        <v>37</v>
      </c>
      <c r="C39" t="s">
        <v>333</v>
      </c>
      <c r="D39" t="s">
        <v>334</v>
      </c>
      <c r="E39" t="s">
        <v>45</v>
      </c>
      <c r="F39" t="s">
        <v>46</v>
      </c>
      <c r="G39" t="s">
        <v>47</v>
      </c>
      <c r="H39" t="s">
        <v>336</v>
      </c>
      <c r="I39" t="s">
        <v>335</v>
      </c>
      <c r="J39" t="s">
        <v>337</v>
      </c>
      <c r="K39">
        <v>306.608</v>
      </c>
    </row>
    <row r="40" spans="1:12" x14ac:dyDescent="0.2">
      <c r="B40">
        <v>38</v>
      </c>
      <c r="C40" t="s">
        <v>338</v>
      </c>
      <c r="D40" t="s">
        <v>339</v>
      </c>
      <c r="E40" t="s">
        <v>45</v>
      </c>
      <c r="F40" t="s">
        <v>46</v>
      </c>
      <c r="G40" t="s">
        <v>47</v>
      </c>
      <c r="H40" t="s">
        <v>341</v>
      </c>
      <c r="I40" t="s">
        <v>340</v>
      </c>
      <c r="J40" t="s">
        <v>342</v>
      </c>
      <c r="K40" t="s">
        <v>343</v>
      </c>
    </row>
    <row r="41" spans="1:12" x14ac:dyDescent="0.2">
      <c r="B41">
        <v>39</v>
      </c>
      <c r="C41" t="s">
        <v>99</v>
      </c>
      <c r="D41" t="s">
        <v>100</v>
      </c>
      <c r="E41" t="s">
        <v>45</v>
      </c>
      <c r="F41" t="s">
        <v>46</v>
      </c>
      <c r="G41" t="s">
        <v>47</v>
      </c>
      <c r="H41" t="s">
        <v>102</v>
      </c>
      <c r="I41" t="s">
        <v>101</v>
      </c>
      <c r="J41" t="s">
        <v>103</v>
      </c>
      <c r="K41">
        <v>220.673</v>
      </c>
    </row>
    <row r="42" spans="1:12" x14ac:dyDescent="0.2">
      <c r="B42">
        <v>40</v>
      </c>
      <c r="C42" t="s">
        <v>154</v>
      </c>
      <c r="D42" t="s">
        <v>155</v>
      </c>
      <c r="E42" t="s">
        <v>45</v>
      </c>
      <c r="F42" t="s">
        <v>46</v>
      </c>
      <c r="G42" t="s">
        <v>47</v>
      </c>
      <c r="H42" t="s">
        <v>60</v>
      </c>
      <c r="I42" t="s">
        <v>156</v>
      </c>
      <c r="J42" t="s">
        <v>157</v>
      </c>
      <c r="K42" t="s">
        <v>158</v>
      </c>
    </row>
    <row r="43" spans="1:12" x14ac:dyDescent="0.2">
      <c r="B43">
        <v>41</v>
      </c>
      <c r="C43" t="s">
        <v>134</v>
      </c>
      <c r="D43" t="s">
        <v>135</v>
      </c>
      <c r="E43" t="s">
        <v>45</v>
      </c>
      <c r="F43" t="s">
        <v>46</v>
      </c>
      <c r="G43" t="s">
        <v>136</v>
      </c>
      <c r="H43" t="s">
        <v>138</v>
      </c>
      <c r="I43" t="s">
        <v>137</v>
      </c>
      <c r="J43" t="s">
        <v>139</v>
      </c>
      <c r="K43" t="s">
        <v>140</v>
      </c>
      <c r="L43" t="s">
        <v>42</v>
      </c>
    </row>
    <row r="44" spans="1:12" x14ac:dyDescent="0.2">
      <c r="B44">
        <v>42</v>
      </c>
      <c r="C44" t="s">
        <v>344</v>
      </c>
      <c r="D44" t="s">
        <v>345</v>
      </c>
      <c r="E44" t="s">
        <v>45</v>
      </c>
      <c r="F44" t="s">
        <v>46</v>
      </c>
      <c r="G44" t="s">
        <v>47</v>
      </c>
      <c r="H44" t="s">
        <v>347</v>
      </c>
      <c r="I44" t="s">
        <v>346</v>
      </c>
      <c r="J44" t="s">
        <v>348</v>
      </c>
      <c r="K44" t="s">
        <v>349</v>
      </c>
    </row>
    <row r="45" spans="1:12" x14ac:dyDescent="0.2">
      <c r="B45">
        <v>43</v>
      </c>
      <c r="C45" t="s">
        <v>119</v>
      </c>
      <c r="D45" t="s">
        <v>120</v>
      </c>
      <c r="E45" t="s">
        <v>45</v>
      </c>
      <c r="F45" t="s">
        <v>46</v>
      </c>
      <c r="G45" t="s">
        <v>47</v>
      </c>
      <c r="H45" t="s">
        <v>122</v>
      </c>
      <c r="I45" t="s">
        <v>121</v>
      </c>
      <c r="J45" t="s">
        <v>123</v>
      </c>
      <c r="K45">
        <v>120.97499999999999</v>
      </c>
    </row>
    <row r="46" spans="1:12" x14ac:dyDescent="0.2">
      <c r="B46">
        <v>44</v>
      </c>
      <c r="C46" t="s">
        <v>350</v>
      </c>
      <c r="D46" t="s">
        <v>351</v>
      </c>
      <c r="E46" t="s">
        <v>45</v>
      </c>
      <c r="F46" t="s">
        <v>46</v>
      </c>
      <c r="G46" t="s">
        <v>47</v>
      </c>
      <c r="H46" t="s">
        <v>353</v>
      </c>
      <c r="I46" t="s">
        <v>352</v>
      </c>
      <c r="J46" t="s">
        <v>354</v>
      </c>
      <c r="K46">
        <v>36.6</v>
      </c>
    </row>
    <row r="47" spans="1:12" x14ac:dyDescent="0.2">
      <c r="B47">
        <v>45</v>
      </c>
      <c r="C47" t="s">
        <v>355</v>
      </c>
      <c r="D47" t="s">
        <v>356</v>
      </c>
      <c r="E47" t="s">
        <v>45</v>
      </c>
      <c r="F47" t="s">
        <v>46</v>
      </c>
      <c r="G47" t="s">
        <v>47</v>
      </c>
      <c r="H47" t="s">
        <v>358</v>
      </c>
      <c r="I47" t="s">
        <v>357</v>
      </c>
      <c r="J47" t="s">
        <v>359</v>
      </c>
      <c r="K47">
        <v>32.183999999999997</v>
      </c>
    </row>
    <row r="48" spans="1:12" x14ac:dyDescent="0.2">
      <c r="B48">
        <v>46</v>
      </c>
      <c r="C48" t="s">
        <v>62</v>
      </c>
      <c r="D48" t="s">
        <v>63</v>
      </c>
      <c r="E48" t="s">
        <v>45</v>
      </c>
      <c r="F48" t="s">
        <v>46</v>
      </c>
      <c r="G48" t="s">
        <v>47</v>
      </c>
      <c r="H48" t="s">
        <v>65</v>
      </c>
      <c r="I48" t="s">
        <v>64</v>
      </c>
      <c r="J48" t="s">
        <v>66</v>
      </c>
      <c r="K48">
        <v>632.303</v>
      </c>
    </row>
    <row r="49" spans="1:11" x14ac:dyDescent="0.2">
      <c r="B49">
        <v>47</v>
      </c>
      <c r="C49" t="s">
        <v>360</v>
      </c>
      <c r="D49" t="s">
        <v>361</v>
      </c>
      <c r="E49" t="s">
        <v>45</v>
      </c>
      <c r="F49" t="s">
        <v>46</v>
      </c>
      <c r="G49" t="s">
        <v>47</v>
      </c>
      <c r="H49" t="s">
        <v>363</v>
      </c>
      <c r="I49" t="s">
        <v>362</v>
      </c>
      <c r="J49" t="s">
        <v>364</v>
      </c>
      <c r="K49">
        <v>158.93799999999999</v>
      </c>
    </row>
    <row r="50" spans="1:11" x14ac:dyDescent="0.2">
      <c r="B50">
        <v>48</v>
      </c>
      <c r="C50" t="s">
        <v>88</v>
      </c>
      <c r="D50" t="s">
        <v>89</v>
      </c>
      <c r="E50" t="s">
        <v>45</v>
      </c>
      <c r="F50" t="s">
        <v>46</v>
      </c>
      <c r="G50" t="s">
        <v>47</v>
      </c>
      <c r="H50" t="s">
        <v>91</v>
      </c>
      <c r="I50" t="s">
        <v>90</v>
      </c>
      <c r="J50" t="s">
        <v>92</v>
      </c>
      <c r="K50">
        <v>357.29500000000002</v>
      </c>
    </row>
    <row r="51" spans="1:11" x14ac:dyDescent="0.2">
      <c r="B51">
        <v>49</v>
      </c>
      <c r="C51" t="s">
        <v>365</v>
      </c>
      <c r="D51" t="s">
        <v>366</v>
      </c>
      <c r="E51" t="s">
        <v>45</v>
      </c>
      <c r="F51" t="s">
        <v>46</v>
      </c>
      <c r="G51" t="s">
        <v>47</v>
      </c>
      <c r="H51" t="s">
        <v>368</v>
      </c>
      <c r="I51" t="s">
        <v>367</v>
      </c>
      <c r="J51" t="s">
        <v>369</v>
      </c>
      <c r="K51">
        <v>343.07100000000003</v>
      </c>
    </row>
    <row r="52" spans="1:11" x14ac:dyDescent="0.2">
      <c r="A52" t="s">
        <v>436</v>
      </c>
      <c r="B52">
        <v>50</v>
      </c>
      <c r="C52" t="s">
        <v>159</v>
      </c>
      <c r="D52" t="s">
        <v>160</v>
      </c>
      <c r="E52" t="s">
        <v>45</v>
      </c>
      <c r="F52" t="s">
        <v>46</v>
      </c>
      <c r="G52" t="s">
        <v>161</v>
      </c>
      <c r="H52" t="s">
        <v>163</v>
      </c>
      <c r="I52" t="s">
        <v>162</v>
      </c>
      <c r="J52" t="s">
        <v>164</v>
      </c>
      <c r="K52">
        <v>192.762</v>
      </c>
    </row>
    <row r="53" spans="1:11" x14ac:dyDescent="0.2">
      <c r="B53">
        <v>51</v>
      </c>
      <c r="C53" t="s">
        <v>370</v>
      </c>
      <c r="D53" t="s">
        <v>371</v>
      </c>
      <c r="E53" t="s">
        <v>45</v>
      </c>
      <c r="F53" t="s">
        <v>46</v>
      </c>
      <c r="G53" t="s">
        <v>47</v>
      </c>
      <c r="H53" t="s">
        <v>373</v>
      </c>
      <c r="I53" t="s">
        <v>372</v>
      </c>
      <c r="J53" t="s">
        <v>374</v>
      </c>
      <c r="K53">
        <v>535.20799999999997</v>
      </c>
    </row>
    <row r="54" spans="1:11" x14ac:dyDescent="0.2">
      <c r="B54">
        <v>52</v>
      </c>
      <c r="C54" t="s">
        <v>375</v>
      </c>
      <c r="D54" t="s">
        <v>376</v>
      </c>
      <c r="E54" t="s">
        <v>45</v>
      </c>
      <c r="F54" t="s">
        <v>46</v>
      </c>
      <c r="G54" t="s">
        <v>150</v>
      </c>
      <c r="H54" t="s">
        <v>378</v>
      </c>
      <c r="I54" t="s">
        <v>377</v>
      </c>
      <c r="J54" t="s">
        <v>379</v>
      </c>
      <c r="K54">
        <v>19.908999999999999</v>
      </c>
    </row>
    <row r="55" spans="1:11" x14ac:dyDescent="0.2">
      <c r="B55">
        <v>53</v>
      </c>
      <c r="C55" t="s">
        <v>380</v>
      </c>
      <c r="D55" t="s">
        <v>381</v>
      </c>
      <c r="E55" t="s">
        <v>45</v>
      </c>
      <c r="F55" t="s">
        <v>46</v>
      </c>
      <c r="G55" t="s">
        <v>47</v>
      </c>
      <c r="H55" t="s">
        <v>383</v>
      </c>
      <c r="I55" t="s">
        <v>382</v>
      </c>
      <c r="J55" t="s">
        <v>384</v>
      </c>
      <c r="K55">
        <v>45.600999999999999</v>
      </c>
    </row>
    <row r="56" spans="1:11" x14ac:dyDescent="0.2">
      <c r="B56">
        <v>54</v>
      </c>
      <c r="C56" t="s">
        <v>385</v>
      </c>
      <c r="D56" t="s">
        <v>386</v>
      </c>
      <c r="E56" t="s">
        <v>45</v>
      </c>
      <c r="F56" t="s">
        <v>46</v>
      </c>
      <c r="G56" t="s">
        <v>47</v>
      </c>
      <c r="H56" t="s">
        <v>388</v>
      </c>
      <c r="I56" t="s">
        <v>387</v>
      </c>
      <c r="J56" t="s">
        <v>61</v>
      </c>
      <c r="K56" t="s">
        <v>389</v>
      </c>
    </row>
    <row r="57" spans="1:11" x14ac:dyDescent="0.2">
      <c r="B57">
        <v>55</v>
      </c>
      <c r="C57" t="s">
        <v>390</v>
      </c>
      <c r="D57" t="s">
        <v>391</v>
      </c>
      <c r="E57" t="s">
        <v>45</v>
      </c>
      <c r="F57" t="s">
        <v>46</v>
      </c>
      <c r="G57" t="s">
        <v>47</v>
      </c>
      <c r="H57" t="s">
        <v>393</v>
      </c>
      <c r="I57" t="s">
        <v>392</v>
      </c>
      <c r="J57" t="s">
        <v>394</v>
      </c>
      <c r="K57" t="s">
        <v>395</v>
      </c>
    </row>
    <row r="58" spans="1:11" x14ac:dyDescent="0.2">
      <c r="B58">
        <v>56</v>
      </c>
      <c r="C58" t="s">
        <v>213</v>
      </c>
      <c r="D58" t="s">
        <v>214</v>
      </c>
      <c r="E58" t="s">
        <v>45</v>
      </c>
      <c r="F58" t="s">
        <v>46</v>
      </c>
      <c r="G58" t="s">
        <v>47</v>
      </c>
      <c r="H58" t="s">
        <v>216</v>
      </c>
      <c r="I58" t="s">
        <v>215</v>
      </c>
      <c r="J58" t="s">
        <v>217</v>
      </c>
      <c r="K58">
        <v>150.244</v>
      </c>
    </row>
    <row r="59" spans="1:11" x14ac:dyDescent="0.2">
      <c r="B59">
        <v>57</v>
      </c>
      <c r="C59" t="s">
        <v>104</v>
      </c>
      <c r="D59" t="s">
        <v>105</v>
      </c>
      <c r="E59" t="s">
        <v>45</v>
      </c>
      <c r="F59" t="s">
        <v>46</v>
      </c>
      <c r="G59" t="s">
        <v>47</v>
      </c>
      <c r="H59" t="s">
        <v>107</v>
      </c>
      <c r="I59" t="s">
        <v>106</v>
      </c>
      <c r="J59" t="s">
        <v>108</v>
      </c>
      <c r="K59">
        <v>6.6440000000000001</v>
      </c>
    </row>
    <row r="60" spans="1:11" x14ac:dyDescent="0.2">
      <c r="B60">
        <v>58</v>
      </c>
      <c r="C60" t="s">
        <v>396</v>
      </c>
      <c r="D60" t="s">
        <v>397</v>
      </c>
      <c r="E60" t="s">
        <v>45</v>
      </c>
      <c r="F60" t="s">
        <v>46</v>
      </c>
      <c r="G60" t="s">
        <v>47</v>
      </c>
      <c r="H60" t="s">
        <v>399</v>
      </c>
      <c r="I60" t="s">
        <v>398</v>
      </c>
      <c r="J60" t="s">
        <v>400</v>
      </c>
      <c r="K60">
        <v>53.795999999999999</v>
      </c>
    </row>
    <row r="61" spans="1:11" x14ac:dyDescent="0.2">
      <c r="B61">
        <v>59</v>
      </c>
      <c r="C61" t="s">
        <v>109</v>
      </c>
      <c r="D61" t="s">
        <v>110</v>
      </c>
      <c r="E61" t="s">
        <v>45</v>
      </c>
      <c r="F61" t="s">
        <v>46</v>
      </c>
      <c r="G61" t="s">
        <v>47</v>
      </c>
      <c r="H61" t="s">
        <v>112</v>
      </c>
      <c r="I61" t="s">
        <v>111</v>
      </c>
      <c r="J61" t="s">
        <v>113</v>
      </c>
      <c r="K61">
        <v>36.484999999999999</v>
      </c>
    </row>
    <row r="62" spans="1:11" x14ac:dyDescent="0.2">
      <c r="B62">
        <v>60</v>
      </c>
      <c r="C62" t="s">
        <v>401</v>
      </c>
      <c r="D62" t="s">
        <v>402</v>
      </c>
      <c r="E62" t="s">
        <v>45</v>
      </c>
      <c r="F62" t="s">
        <v>46</v>
      </c>
      <c r="G62" t="s">
        <v>47</v>
      </c>
      <c r="H62" t="s">
        <v>404</v>
      </c>
      <c r="I62" t="s">
        <v>403</v>
      </c>
      <c r="J62" t="s">
        <v>405</v>
      </c>
      <c r="K62">
        <v>10.773</v>
      </c>
    </row>
    <row r="63" spans="1:11" x14ac:dyDescent="0.2">
      <c r="B63">
        <v>61</v>
      </c>
      <c r="C63" t="s">
        <v>218</v>
      </c>
      <c r="D63" t="s">
        <v>219</v>
      </c>
      <c r="E63" t="s">
        <v>45</v>
      </c>
      <c r="F63" t="s">
        <v>46</v>
      </c>
      <c r="G63" t="s">
        <v>47</v>
      </c>
      <c r="H63" t="s">
        <v>221</v>
      </c>
      <c r="I63" t="s">
        <v>220</v>
      </c>
      <c r="J63" t="s">
        <v>222</v>
      </c>
      <c r="K63" t="s">
        <v>223</v>
      </c>
    </row>
    <row r="64" spans="1:11" x14ac:dyDescent="0.2">
      <c r="B64">
        <v>62</v>
      </c>
      <c r="C64" t="s">
        <v>406</v>
      </c>
      <c r="D64" t="s">
        <v>407</v>
      </c>
      <c r="E64" t="s">
        <v>45</v>
      </c>
      <c r="F64" t="s">
        <v>46</v>
      </c>
      <c r="G64" t="s">
        <v>47</v>
      </c>
      <c r="H64" t="s">
        <v>409</v>
      </c>
      <c r="I64" t="s">
        <v>408</v>
      </c>
      <c r="J64" t="s">
        <v>61</v>
      </c>
      <c r="K64">
        <v>298</v>
      </c>
    </row>
    <row r="65" spans="2:11" x14ac:dyDescent="0.2">
      <c r="B65">
        <v>63</v>
      </c>
      <c r="C65" t="s">
        <v>410</v>
      </c>
      <c r="D65" t="s">
        <v>411</v>
      </c>
      <c r="E65" t="s">
        <v>45</v>
      </c>
      <c r="F65" t="s">
        <v>46</v>
      </c>
      <c r="G65" t="s">
        <v>47</v>
      </c>
      <c r="H65" t="s">
        <v>413</v>
      </c>
      <c r="I65" t="s">
        <v>412</v>
      </c>
      <c r="J65" t="s">
        <v>414</v>
      </c>
      <c r="K65">
        <v>1.496</v>
      </c>
    </row>
    <row r="66" spans="2:11" x14ac:dyDescent="0.2">
      <c r="B66">
        <v>64</v>
      </c>
      <c r="C66" t="s">
        <v>415</v>
      </c>
      <c r="D66" t="s">
        <v>416</v>
      </c>
      <c r="E66" t="s">
        <v>45</v>
      </c>
      <c r="F66" t="s">
        <v>46</v>
      </c>
      <c r="G66" t="s">
        <v>47</v>
      </c>
      <c r="H66" t="s">
        <v>418</v>
      </c>
      <c r="I66" t="s">
        <v>417</v>
      </c>
      <c r="J66" t="s">
        <v>419</v>
      </c>
      <c r="K66">
        <v>673.303</v>
      </c>
    </row>
    <row r="67" spans="2:11" x14ac:dyDescent="0.2">
      <c r="B67">
        <v>65</v>
      </c>
      <c r="C67" t="s">
        <v>196</v>
      </c>
      <c r="D67" t="s">
        <v>197</v>
      </c>
      <c r="E67" t="s">
        <v>45</v>
      </c>
      <c r="F67" t="s">
        <v>46</v>
      </c>
      <c r="G67" t="s">
        <v>95</v>
      </c>
      <c r="H67" t="s">
        <v>199</v>
      </c>
      <c r="I67" t="s">
        <v>198</v>
      </c>
      <c r="J67" t="s">
        <v>200</v>
      </c>
      <c r="K67">
        <v>322.53899999999999</v>
      </c>
    </row>
    <row r="68" spans="2:11" x14ac:dyDescent="0.2">
      <c r="B68">
        <v>66</v>
      </c>
      <c r="C68" t="s">
        <v>57</v>
      </c>
      <c r="D68" t="s">
        <v>58</v>
      </c>
      <c r="E68" t="s">
        <v>45</v>
      </c>
      <c r="F68" t="s">
        <v>46</v>
      </c>
      <c r="G68" t="s">
        <v>47</v>
      </c>
      <c r="H68" t="s">
        <v>60</v>
      </c>
      <c r="I68" t="s">
        <v>59</v>
      </c>
      <c r="J68" t="s">
        <v>61</v>
      </c>
      <c r="K68">
        <v>66.225999999999999</v>
      </c>
    </row>
    <row r="69" spans="2:11" x14ac:dyDescent="0.2">
      <c r="B69">
        <v>67</v>
      </c>
      <c r="C69" t="s">
        <v>420</v>
      </c>
      <c r="D69" t="s">
        <v>421</v>
      </c>
      <c r="E69" t="s">
        <v>45</v>
      </c>
      <c r="F69" t="s">
        <v>46</v>
      </c>
      <c r="G69" t="s">
        <v>150</v>
      </c>
      <c r="H69" t="s">
        <v>423</v>
      </c>
      <c r="I69" t="s">
        <v>422</v>
      </c>
      <c r="J69" t="s">
        <v>424</v>
      </c>
      <c r="K69">
        <v>358.80700000000002</v>
      </c>
    </row>
    <row r="70" spans="2:11" x14ac:dyDescent="0.2">
      <c r="B70">
        <v>68</v>
      </c>
      <c r="C70" t="s">
        <v>124</v>
      </c>
      <c r="D70" t="s">
        <v>125</v>
      </c>
      <c r="E70" t="s">
        <v>45</v>
      </c>
      <c r="F70" t="s">
        <v>46</v>
      </c>
      <c r="G70" t="s">
        <v>95</v>
      </c>
      <c r="H70" t="s">
        <v>127</v>
      </c>
      <c r="I70" t="s">
        <v>126</v>
      </c>
      <c r="J70" t="s">
        <v>128</v>
      </c>
      <c r="K70">
        <v>97.697999999999993</v>
      </c>
    </row>
    <row r="71" spans="2:11" x14ac:dyDescent="0.2">
      <c r="B71">
        <v>69</v>
      </c>
      <c r="C71" t="s">
        <v>425</v>
      </c>
      <c r="D71" t="s">
        <v>426</v>
      </c>
      <c r="E71" t="s">
        <v>45</v>
      </c>
      <c r="F71" t="s">
        <v>46</v>
      </c>
      <c r="G71" t="s">
        <v>47</v>
      </c>
      <c r="H71" t="s">
        <v>428</v>
      </c>
      <c r="I71" t="s">
        <v>427</v>
      </c>
      <c r="J71" t="s">
        <v>429</v>
      </c>
      <c r="K71">
        <v>302.76799999999997</v>
      </c>
    </row>
    <row r="72" spans="2:11" x14ac:dyDescent="0.2">
      <c r="B72">
        <v>70</v>
      </c>
      <c r="C72" t="s">
        <v>430</v>
      </c>
      <c r="D72" t="s">
        <v>431</v>
      </c>
      <c r="E72" t="s">
        <v>45</v>
      </c>
      <c r="F72" t="s">
        <v>46</v>
      </c>
      <c r="G72" t="s">
        <v>47</v>
      </c>
      <c r="H72" t="s">
        <v>433</v>
      </c>
      <c r="I72" t="s">
        <v>432</v>
      </c>
      <c r="J72" t="s">
        <v>434</v>
      </c>
      <c r="K72">
        <v>119.60599999999999</v>
      </c>
    </row>
    <row r="73" spans="2:11" x14ac:dyDescent="0.2">
      <c r="B73">
        <v>71</v>
      </c>
      <c r="C73" t="s">
        <v>234</v>
      </c>
      <c r="D73" t="s">
        <v>235</v>
      </c>
      <c r="E73" t="s">
        <v>45</v>
      </c>
      <c r="F73" t="s">
        <v>46</v>
      </c>
      <c r="G73" t="s">
        <v>95</v>
      </c>
      <c r="H73" t="s">
        <v>237</v>
      </c>
      <c r="I73" t="s">
        <v>236</v>
      </c>
      <c r="J73" t="s">
        <v>238</v>
      </c>
      <c r="K73">
        <v>465.31799999999998</v>
      </c>
    </row>
    <row r="74" spans="2:11" x14ac:dyDescent="0.2">
      <c r="B74">
        <v>72</v>
      </c>
      <c r="C74" t="s">
        <v>176</v>
      </c>
      <c r="D74" t="s">
        <v>177</v>
      </c>
      <c r="E74" t="s">
        <v>45</v>
      </c>
      <c r="F74" t="s">
        <v>46</v>
      </c>
      <c r="G74" t="s">
        <v>47</v>
      </c>
      <c r="H74" t="s">
        <v>179</v>
      </c>
      <c r="I74" t="s">
        <v>178</v>
      </c>
      <c r="J74" t="s">
        <v>180</v>
      </c>
      <c r="K74">
        <v>23.876000000000001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AF40D-F464-491C-9F94-6A8ECF530E9C}">
  <dimension ref="B2:M27"/>
  <sheetViews>
    <sheetView workbookViewId="0">
      <selection activeCell="G23" sqref="G23"/>
    </sheetView>
  </sheetViews>
  <sheetFormatPr defaultRowHeight="14.25" x14ac:dyDescent="0.2"/>
  <cols>
    <col min="2" max="2" width="18.25" bestFit="1" customWidth="1"/>
    <col min="3" max="6" width="18.25" customWidth="1"/>
    <col min="10" max="10" width="9.875" bestFit="1" customWidth="1"/>
    <col min="12" max="13" width="11.125" bestFit="1" customWidth="1"/>
  </cols>
  <sheetData>
    <row r="2" spans="2:13" x14ac:dyDescent="0.2">
      <c r="B2" t="s">
        <v>9</v>
      </c>
      <c r="C2" t="s">
        <v>41</v>
      </c>
      <c r="D2" t="s">
        <v>20</v>
      </c>
      <c r="E2" t="s">
        <v>265</v>
      </c>
      <c r="F2" t="s">
        <v>2</v>
      </c>
      <c r="G2" t="s">
        <v>1</v>
      </c>
      <c r="H2" t="s">
        <v>437</v>
      </c>
      <c r="I2" t="s">
        <v>0</v>
      </c>
      <c r="J2" s="6">
        <v>45719</v>
      </c>
      <c r="K2" t="s">
        <v>461</v>
      </c>
      <c r="M2" t="s">
        <v>477</v>
      </c>
    </row>
    <row r="3" spans="2:13" x14ac:dyDescent="0.2">
      <c r="B3" t="e" vm="1">
        <v>#VALUE!</v>
      </c>
      <c r="C3" t="s">
        <v>446</v>
      </c>
      <c r="D3" t="s">
        <v>24</v>
      </c>
      <c r="E3" t="s">
        <v>455</v>
      </c>
      <c r="F3" t="s">
        <v>32</v>
      </c>
      <c r="G3">
        <v>319</v>
      </c>
      <c r="H3" s="2">
        <v>170590</v>
      </c>
      <c r="I3" s="1">
        <v>0.31440000000000001</v>
      </c>
      <c r="J3">
        <v>356</v>
      </c>
      <c r="K3" s="1">
        <f>+J3/G3-1</f>
        <v>0.11598746081504707</v>
      </c>
      <c r="L3" s="7" cm="1">
        <f t="array" aca="1" ref="L3" ca="1">+_FV(B3,"Preço")</f>
        <v>569.29999999999995</v>
      </c>
      <c r="M3" s="1">
        <f ca="1">+L3/G3-1</f>
        <v>0.78463949843260172</v>
      </c>
    </row>
    <row r="4" spans="2:13" x14ac:dyDescent="0.2">
      <c r="B4" t="e" vm="2">
        <v>#VALUE!</v>
      </c>
      <c r="C4" t="s">
        <v>444</v>
      </c>
      <c r="D4" t="s">
        <v>22</v>
      </c>
      <c r="E4" t="s">
        <v>465</v>
      </c>
      <c r="F4" t="s">
        <v>52</v>
      </c>
      <c r="G4">
        <v>172</v>
      </c>
      <c r="H4" s="2">
        <v>135654</v>
      </c>
      <c r="I4" s="1">
        <v>3.6999999999999998E-2</v>
      </c>
      <c r="J4">
        <v>172</v>
      </c>
      <c r="K4" s="1">
        <f>+J4/G4-1</f>
        <v>0</v>
      </c>
      <c r="L4" s="7" cm="1">
        <f t="array" aca="1" ref="L4" ca="1">+_FV(B4,"Preço")</f>
        <v>179.7</v>
      </c>
      <c r="M4" s="1">
        <f t="shared" ref="M4:M22" ca="1" si="0">+L4/G4-1</f>
        <v>4.4767441860465107E-2</v>
      </c>
    </row>
    <row r="5" spans="2:13" x14ac:dyDescent="0.2">
      <c r="B5" t="e" vm="3">
        <v>#VALUE!</v>
      </c>
      <c r="C5" t="s">
        <v>444</v>
      </c>
      <c r="D5" t="s">
        <v>27</v>
      </c>
      <c r="E5" t="s">
        <v>47</v>
      </c>
      <c r="F5" t="s">
        <v>40</v>
      </c>
      <c r="G5">
        <v>450.37</v>
      </c>
      <c r="H5" s="2">
        <v>106010</v>
      </c>
      <c r="I5" s="1">
        <v>-1.0999999999999999E-2</v>
      </c>
      <c r="J5">
        <v>450</v>
      </c>
      <c r="K5" s="1">
        <f t="shared" ref="K5:K22" si="1">+J5/G5-1</f>
        <v>-8.2154672824563679E-4</v>
      </c>
      <c r="L5" s="7" cm="1">
        <f t="array" aca="1" ref="L5" ca="1">+_FV(B5,"Preço")</f>
        <v>530.45000000000005</v>
      </c>
      <c r="M5" s="1">
        <f t="shared" ca="1" si="0"/>
        <v>0.17780935675111587</v>
      </c>
    </row>
    <row r="6" spans="2:13" x14ac:dyDescent="0.2">
      <c r="B6" t="e" vm="4">
        <v>#VALUE!</v>
      </c>
      <c r="C6" t="s">
        <v>446</v>
      </c>
      <c r="D6" t="s">
        <v>27</v>
      </c>
      <c r="E6" t="s">
        <v>47</v>
      </c>
      <c r="F6" t="s">
        <v>3</v>
      </c>
      <c r="G6">
        <v>252.6</v>
      </c>
      <c r="H6" s="2">
        <v>69460</v>
      </c>
      <c r="I6" s="1">
        <v>-1.5599999999999999E-2</v>
      </c>
      <c r="J6">
        <v>252.6</v>
      </c>
      <c r="K6" s="1">
        <f t="shared" si="1"/>
        <v>0</v>
      </c>
      <c r="L6" s="7" cm="1">
        <f t="array" aca="1" ref="L6" ca="1">+_FV(B6,"Preço")</f>
        <v>346.82</v>
      </c>
      <c r="M6" s="1">
        <f t="shared" ca="1" si="0"/>
        <v>0.37300079176563727</v>
      </c>
    </row>
    <row r="7" spans="2:13" x14ac:dyDescent="0.2">
      <c r="B7" t="e" vm="5">
        <v>#VALUE!</v>
      </c>
      <c r="C7" t="s">
        <v>444</v>
      </c>
      <c r="D7" t="s">
        <v>27</v>
      </c>
      <c r="E7" t="s">
        <v>47</v>
      </c>
      <c r="F7" t="s">
        <v>5</v>
      </c>
      <c r="G7">
        <v>461.74</v>
      </c>
      <c r="H7" s="2">
        <v>67270</v>
      </c>
      <c r="I7" s="1">
        <v>-5.33E-2</v>
      </c>
      <c r="J7">
        <v>461</v>
      </c>
      <c r="K7" s="1">
        <f t="shared" si="1"/>
        <v>-1.6026335166977601E-3</v>
      </c>
      <c r="L7" s="7" cm="1">
        <f t="array" aca="1" ref="L7" ca="1">+_FV(B7,"Preço")</f>
        <v>563.67999999999995</v>
      </c>
      <c r="M7" s="1">
        <f t="shared" ca="1" si="0"/>
        <v>0.22077359552995168</v>
      </c>
    </row>
    <row r="8" spans="2:13" x14ac:dyDescent="0.2">
      <c r="B8" t="e" vm="6">
        <v>#VALUE!</v>
      </c>
      <c r="C8" t="s">
        <v>456</v>
      </c>
      <c r="D8" t="s">
        <v>23</v>
      </c>
      <c r="E8" t="s">
        <v>452</v>
      </c>
      <c r="F8" t="s">
        <v>33</v>
      </c>
      <c r="G8">
        <v>753</v>
      </c>
      <c r="H8" s="2">
        <v>64400</v>
      </c>
      <c r="I8" s="1">
        <v>0.26469999999999999</v>
      </c>
      <c r="J8">
        <v>786</v>
      </c>
      <c r="K8" s="1">
        <f t="shared" si="1"/>
        <v>4.3824701195219085E-2</v>
      </c>
      <c r="L8" s="7" cm="1">
        <f t="array" aca="1" ref="L8" ca="1">+_FV(B8,"Preço")</f>
        <v>1337.4</v>
      </c>
      <c r="M8" s="1">
        <f t="shared" ca="1" si="0"/>
        <v>0.77609561752988054</v>
      </c>
    </row>
    <row r="9" spans="2:13" x14ac:dyDescent="0.2">
      <c r="B9" t="e" vm="7">
        <v>#VALUE!</v>
      </c>
      <c r="C9" t="s">
        <v>445</v>
      </c>
      <c r="D9" t="s">
        <v>21</v>
      </c>
      <c r="E9" t="s">
        <v>449</v>
      </c>
      <c r="F9" t="s">
        <v>34</v>
      </c>
      <c r="G9">
        <v>1006</v>
      </c>
      <c r="H9" s="2">
        <v>44880</v>
      </c>
      <c r="I9" s="1">
        <v>0.31740000000000002</v>
      </c>
      <c r="J9">
        <v>1240</v>
      </c>
      <c r="K9" s="1">
        <f t="shared" si="1"/>
        <v>0.23260437375745524</v>
      </c>
      <c r="L9" s="7" cm="1">
        <f t="array" aca="1" ref="L9" ca="1">+_FV(B9,"Preço")</f>
        <v>1292</v>
      </c>
      <c r="M9" s="1">
        <f t="shared" ca="1" si="0"/>
        <v>0.28429423459244529</v>
      </c>
    </row>
    <row r="10" spans="2:13" x14ac:dyDescent="0.2">
      <c r="B10" t="e" vm="8">
        <v>#VALUE!</v>
      </c>
      <c r="C10" t="s">
        <v>444</v>
      </c>
      <c r="D10" t="s">
        <v>23</v>
      </c>
      <c r="E10" t="s">
        <v>438</v>
      </c>
      <c r="F10" t="s">
        <v>8</v>
      </c>
      <c r="G10">
        <v>1400</v>
      </c>
      <c r="H10" s="2">
        <v>42130</v>
      </c>
      <c r="I10" s="1">
        <v>0.13700000000000001</v>
      </c>
      <c r="J10">
        <v>1607</v>
      </c>
      <c r="K10" s="1">
        <f t="shared" si="1"/>
        <v>0.14785714285714291</v>
      </c>
      <c r="L10" s="7" cm="1">
        <f t="array" aca="1" ref="L10" ca="1">+_FV(B10,"Preço")</f>
        <v>2023</v>
      </c>
      <c r="M10" s="1">
        <f t="shared" ca="1" si="0"/>
        <v>0.44500000000000006</v>
      </c>
    </row>
    <row r="11" spans="2:13" x14ac:dyDescent="0.2">
      <c r="B11" t="e" vm="9">
        <v>#VALUE!</v>
      </c>
      <c r="C11" t="s">
        <v>457</v>
      </c>
      <c r="D11" t="s">
        <v>22</v>
      </c>
      <c r="E11" t="s">
        <v>440</v>
      </c>
      <c r="F11" t="s">
        <v>29</v>
      </c>
      <c r="G11">
        <v>191</v>
      </c>
      <c r="H11" s="2">
        <v>39680</v>
      </c>
      <c r="I11" s="1">
        <v>0.218</v>
      </c>
      <c r="J11">
        <v>216</v>
      </c>
      <c r="K11" s="1">
        <f t="shared" si="1"/>
        <v>0.13089005235602102</v>
      </c>
      <c r="L11" s="7" cm="1">
        <f t="array" aca="1" ref="L11" ca="1">+_FV(B11,"Preço")</f>
        <v>239.5</v>
      </c>
      <c r="M11" s="1">
        <f t="shared" ca="1" si="0"/>
        <v>0.25392670157068054</v>
      </c>
    </row>
    <row r="12" spans="2:13" x14ac:dyDescent="0.2">
      <c r="B12" t="e" vm="10">
        <v>#VALUE!</v>
      </c>
      <c r="C12" t="s">
        <v>446</v>
      </c>
      <c r="D12" t="s">
        <v>27</v>
      </c>
      <c r="E12" t="s">
        <v>47</v>
      </c>
      <c r="F12" t="s">
        <v>4</v>
      </c>
      <c r="G12">
        <v>206.11</v>
      </c>
      <c r="H12" s="2">
        <v>39090</v>
      </c>
      <c r="I12" s="1">
        <v>-3.1300000000000001E-2</v>
      </c>
      <c r="J12">
        <v>206</v>
      </c>
      <c r="K12" s="1">
        <f t="shared" si="1"/>
        <v>-5.3369559943727829E-4</v>
      </c>
      <c r="L12" s="7" cm="1">
        <f t="array" aca="1" ref="L12" ca="1">+_FV(B12,"Preço")</f>
        <v>315.18</v>
      </c>
      <c r="M12" s="1">
        <f t="shared" ca="1" si="0"/>
        <v>0.52918344573286102</v>
      </c>
    </row>
    <row r="13" spans="2:13" x14ac:dyDescent="0.2">
      <c r="B13" t="e" vm="11">
        <v>#VALUE!</v>
      </c>
      <c r="C13" t="s">
        <v>444</v>
      </c>
      <c r="D13" t="s">
        <v>25</v>
      </c>
      <c r="E13" t="s">
        <v>441</v>
      </c>
      <c r="F13" t="s">
        <v>36</v>
      </c>
      <c r="G13">
        <v>38.56</v>
      </c>
      <c r="H13" s="2">
        <v>23000</v>
      </c>
      <c r="I13" s="1">
        <v>0.26100000000000001</v>
      </c>
      <c r="J13">
        <v>43.25</v>
      </c>
      <c r="K13" s="1">
        <f t="shared" si="1"/>
        <v>0.1216286307053942</v>
      </c>
      <c r="L13" s="7" cm="1">
        <f t="array" aca="1" ref="L13" ca="1">+_FV(B13,"Preço")</f>
        <v>48.76</v>
      </c>
      <c r="M13" s="1">
        <f t="shared" ca="1" si="0"/>
        <v>0.26452282157676343</v>
      </c>
    </row>
    <row r="14" spans="2:13" x14ac:dyDescent="0.2">
      <c r="B14" t="e" vm="12">
        <v>#VALUE!</v>
      </c>
      <c r="C14" t="s">
        <v>443</v>
      </c>
      <c r="D14" t="s">
        <v>22</v>
      </c>
      <c r="E14" t="s">
        <v>440</v>
      </c>
      <c r="F14" t="s">
        <v>39</v>
      </c>
      <c r="G14">
        <v>246.4</v>
      </c>
      <c r="H14" s="2">
        <v>19360</v>
      </c>
      <c r="I14" s="1">
        <v>0.13550000000000001</v>
      </c>
      <c r="J14">
        <v>288</v>
      </c>
      <c r="K14" s="1">
        <f t="shared" si="1"/>
        <v>0.16883116883116878</v>
      </c>
      <c r="L14" s="7" cm="1">
        <f t="array" aca="1" ref="L14" ca="1">+_FV(B14,"Preço")</f>
        <v>304.8</v>
      </c>
      <c r="M14" s="1">
        <f t="shared" ca="1" si="0"/>
        <v>0.23701298701298712</v>
      </c>
    </row>
    <row r="15" spans="2:13" x14ac:dyDescent="0.2">
      <c r="B15" t="e" vm="13">
        <v>#VALUE!</v>
      </c>
      <c r="C15" t="s">
        <v>444</v>
      </c>
      <c r="D15" t="s">
        <v>23</v>
      </c>
      <c r="E15" t="s">
        <v>452</v>
      </c>
      <c r="F15" t="s">
        <v>35</v>
      </c>
      <c r="G15">
        <v>641</v>
      </c>
      <c r="H15" s="2">
        <v>8240</v>
      </c>
      <c r="I15" s="1">
        <v>4.5699999999999998E-2</v>
      </c>
      <c r="J15">
        <v>658.4</v>
      </c>
      <c r="K15" s="1">
        <f t="shared" si="1"/>
        <v>2.7145085803432112E-2</v>
      </c>
      <c r="L15" s="7" cm="1">
        <f t="array" aca="1" ref="L15" ca="1">+_FV(B15,"Preço")</f>
        <v>470.7</v>
      </c>
      <c r="M15" s="1">
        <f t="shared" ca="1" si="0"/>
        <v>-0.26567862714508583</v>
      </c>
    </row>
    <row r="16" spans="2:13" x14ac:dyDescent="0.2">
      <c r="B16" t="e" vm="14">
        <v>#VALUE!</v>
      </c>
      <c r="C16" t="s">
        <v>448</v>
      </c>
      <c r="D16" t="s">
        <v>21</v>
      </c>
      <c r="E16" t="s">
        <v>449</v>
      </c>
      <c r="F16" t="s">
        <v>37</v>
      </c>
      <c r="G16">
        <v>52.35</v>
      </c>
      <c r="H16" s="2">
        <v>6340</v>
      </c>
      <c r="I16" s="1">
        <v>0.32800000000000001</v>
      </c>
      <c r="J16">
        <v>66.8</v>
      </c>
      <c r="K16" s="1">
        <f t="shared" si="1"/>
        <v>0.2760267430754535</v>
      </c>
      <c r="L16" s="7" cm="1">
        <f t="array" aca="1" ref="L16" ca="1">+_FV(B16,"Preço")</f>
        <v>88.02</v>
      </c>
      <c r="M16" s="1">
        <f t="shared" ca="1" si="0"/>
        <v>0.68137535816618899</v>
      </c>
    </row>
    <row r="17" spans="2:13" x14ac:dyDescent="0.2">
      <c r="B17" t="e" vm="15">
        <v>#VALUE!</v>
      </c>
      <c r="C17" t="s">
        <v>445</v>
      </c>
      <c r="D17" t="s">
        <v>21</v>
      </c>
      <c r="E17" t="s">
        <v>449</v>
      </c>
      <c r="F17" t="s">
        <v>28</v>
      </c>
      <c r="G17">
        <v>7.6</v>
      </c>
      <c r="H17" s="2">
        <v>4750</v>
      </c>
      <c r="I17" s="1">
        <v>0.67800000000000005</v>
      </c>
      <c r="J17">
        <v>8.8000000000000007</v>
      </c>
      <c r="K17" s="1">
        <f t="shared" si="1"/>
        <v>0.15789473684210531</v>
      </c>
      <c r="L17" s="7" cm="1">
        <f t="array" aca="1" ref="L17" ca="1">+_FV(B17,"Preço")</f>
        <v>11.744999999999999</v>
      </c>
      <c r="M17" s="1">
        <f t="shared" ca="1" si="0"/>
        <v>0.54539473684210527</v>
      </c>
    </row>
    <row r="18" spans="2:13" x14ac:dyDescent="0.2">
      <c r="B18" t="e" vm="16">
        <v>#VALUE!</v>
      </c>
      <c r="C18" t="s">
        <v>442</v>
      </c>
      <c r="D18" t="s">
        <v>25</v>
      </c>
      <c r="E18" t="s">
        <v>441</v>
      </c>
      <c r="F18" t="s">
        <v>38</v>
      </c>
      <c r="G18">
        <v>9.4499999999999993</v>
      </c>
      <c r="H18" s="2">
        <v>3070</v>
      </c>
      <c r="I18" s="1">
        <v>0.22989999999999999</v>
      </c>
      <c r="J18">
        <v>10.01</v>
      </c>
      <c r="K18" s="1">
        <f t="shared" si="1"/>
        <v>5.9259259259259345E-2</v>
      </c>
      <c r="L18" s="7" cm="1">
        <f t="array" aca="1" ref="L18" ca="1">+_FV(B18,"Preço")</f>
        <v>11.835000000000001</v>
      </c>
      <c r="M18" s="1">
        <f t="shared" ca="1" si="0"/>
        <v>0.25238095238095259</v>
      </c>
    </row>
    <row r="19" spans="2:13" x14ac:dyDescent="0.2">
      <c r="B19" t="e" vm="17">
        <v>#VALUE!</v>
      </c>
      <c r="C19" t="s">
        <v>445</v>
      </c>
      <c r="D19" t="s">
        <v>23</v>
      </c>
      <c r="E19" t="s">
        <v>438</v>
      </c>
      <c r="F19" t="s">
        <v>6</v>
      </c>
      <c r="G19">
        <v>670</v>
      </c>
      <c r="H19" s="2">
        <v>3390</v>
      </c>
      <c r="I19" s="1">
        <v>0.2384</v>
      </c>
      <c r="J19">
        <v>738</v>
      </c>
      <c r="K19" s="1">
        <f t="shared" si="1"/>
        <v>0.10149253731343277</v>
      </c>
      <c r="L19" s="7" cm="1">
        <f t="array" aca="1" ref="L19" ca="1">+_FV(B19,"Preço")</f>
        <v>1096.5</v>
      </c>
      <c r="M19" s="1">
        <f t="shared" ca="1" si="0"/>
        <v>0.63656716417910442</v>
      </c>
    </row>
    <row r="20" spans="2:13" x14ac:dyDescent="0.2">
      <c r="B20" t="e" vm="18">
        <v>#VALUE!</v>
      </c>
      <c r="C20" t="s">
        <v>445</v>
      </c>
      <c r="D20" t="s">
        <v>23</v>
      </c>
      <c r="E20" t="s">
        <v>452</v>
      </c>
      <c r="F20" t="s">
        <v>30</v>
      </c>
      <c r="G20">
        <v>163</v>
      </c>
      <c r="H20" s="2">
        <v>2126</v>
      </c>
      <c r="I20" s="1">
        <v>5.6300000000000003E-2</v>
      </c>
      <c r="J20">
        <v>165</v>
      </c>
      <c r="K20" s="1">
        <f t="shared" si="1"/>
        <v>1.2269938650306678E-2</v>
      </c>
      <c r="L20" s="7" cm="1">
        <f t="array" aca="1" ref="L20" ca="1">+_FV(B20,"Preço")</f>
        <v>264</v>
      </c>
      <c r="M20" s="1">
        <f t="shared" ca="1" si="0"/>
        <v>0.61963190184049077</v>
      </c>
    </row>
    <row r="21" spans="2:13" x14ac:dyDescent="0.2">
      <c r="B21" t="e" vm="19">
        <v>#VALUE!</v>
      </c>
      <c r="C21" t="s">
        <v>445</v>
      </c>
      <c r="D21" t="s">
        <v>22</v>
      </c>
      <c r="E21" t="s">
        <v>440</v>
      </c>
      <c r="F21" t="s">
        <v>31</v>
      </c>
      <c r="G21">
        <v>250</v>
      </c>
      <c r="H21" s="2">
        <v>1670</v>
      </c>
      <c r="I21" s="1">
        <v>4.3400000000000001E-2</v>
      </c>
      <c r="J21">
        <v>259</v>
      </c>
      <c r="K21" s="1">
        <f t="shared" si="1"/>
        <v>3.6000000000000032E-2</v>
      </c>
      <c r="L21" s="7" cm="1">
        <f t="array" aca="1" ref="L21" ca="1">+_FV(B21,"Preço")</f>
        <v>305.7</v>
      </c>
      <c r="M21" s="1">
        <f t="shared" ca="1" si="0"/>
        <v>0.22279999999999989</v>
      </c>
    </row>
    <row r="22" spans="2:13" x14ac:dyDescent="0.2">
      <c r="B22" t="e" vm="20">
        <v>#VALUE!</v>
      </c>
      <c r="C22" t="s">
        <v>444</v>
      </c>
      <c r="D22" t="s">
        <v>26</v>
      </c>
      <c r="E22" t="s">
        <v>439</v>
      </c>
      <c r="F22" t="s">
        <v>7</v>
      </c>
      <c r="G22">
        <v>62</v>
      </c>
      <c r="H22" s="2" t="s">
        <v>42</v>
      </c>
      <c r="I22" s="1">
        <v>6.3600000000000004E-2</v>
      </c>
      <c r="J22">
        <v>62</v>
      </c>
      <c r="K22" s="1">
        <f t="shared" si="1"/>
        <v>0</v>
      </c>
      <c r="L22" s="7" cm="1">
        <f t="array" aca="1" ref="L22" ca="1">+_FV(B22,"Preço")</f>
        <v>18.010000000000002</v>
      </c>
      <c r="M22" s="1">
        <f t="shared" ca="1" si="0"/>
        <v>-0.70951612903225802</v>
      </c>
    </row>
    <row r="24" spans="2:13" x14ac:dyDescent="0.2">
      <c r="D24" t="s">
        <v>42</v>
      </c>
    </row>
    <row r="25" spans="2:13" x14ac:dyDescent="0.2">
      <c r="D25" t="s">
        <v>42</v>
      </c>
    </row>
    <row r="26" spans="2:13" x14ac:dyDescent="0.2">
      <c r="D26" t="s">
        <v>42</v>
      </c>
    </row>
    <row r="27" spans="2:13" x14ac:dyDescent="0.2">
      <c r="D27" t="s">
        <v>42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AEA71-B538-45D9-83FD-B312D445AA48}">
  <dimension ref="B2:C7"/>
  <sheetViews>
    <sheetView workbookViewId="0"/>
  </sheetViews>
  <sheetFormatPr defaultRowHeight="14.25" x14ac:dyDescent="0.2"/>
  <sheetData>
    <row r="2" spans="2:3" x14ac:dyDescent="0.2">
      <c r="B2" t="s">
        <v>462</v>
      </c>
    </row>
    <row r="3" spans="2:3" x14ac:dyDescent="0.2">
      <c r="B3" t="s">
        <v>463</v>
      </c>
    </row>
    <row r="4" spans="2:3" x14ac:dyDescent="0.2">
      <c r="B4" t="s">
        <v>464</v>
      </c>
    </row>
    <row r="5" spans="2:3" x14ac:dyDescent="0.2">
      <c r="B5" t="s">
        <v>467</v>
      </c>
      <c r="C5" t="s">
        <v>468</v>
      </c>
    </row>
    <row r="6" spans="2:3" x14ac:dyDescent="0.2">
      <c r="B6" t="s">
        <v>466</v>
      </c>
    </row>
    <row r="7" spans="2:3" x14ac:dyDescent="0.2">
      <c r="B7" t="s">
        <v>469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4</vt:i4>
      </vt:variant>
    </vt:vector>
  </HeadingPairs>
  <TitlesOfParts>
    <vt:vector size="4" baseType="lpstr">
      <vt:lpstr>main</vt:lpstr>
      <vt:lpstr>Screener</vt:lpstr>
      <vt:lpstr>EU</vt:lpstr>
      <vt:lpstr>Folha1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Simão Clemente</dc:creator>
  <cp:lastModifiedBy>Simão Clemente</cp:lastModifiedBy>
  <dcterms:created xsi:type="dcterms:W3CDTF">2025-03-01T20:35:52Z</dcterms:created>
  <dcterms:modified xsi:type="dcterms:W3CDTF">2026-05-31T21:23:06Z</dcterms:modified>
</cp:coreProperties>
</file>