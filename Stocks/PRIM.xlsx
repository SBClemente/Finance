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ademiafaedupt-my.sharepoint.com/personal/sbclemente_academiafa_edu_pt/Documents/Gigs/WorkingFolder/Finance_Shared/Stocks/"/>
    </mc:Choice>
  </mc:AlternateContent>
  <xr:revisionPtr revIDLastSave="270" documentId="8_{FA6B7711-D306-41EB-8C0B-C4B71D8C46EF}" xr6:coauthVersionLast="47" xr6:coauthVersionMax="47" xr10:uidLastSave="{0A764B4A-4B69-4C4B-9E1F-A9E7734D45B7}"/>
  <bookViews>
    <workbookView xWindow="-120" yWindow="-120" windowWidth="29040" windowHeight="15720" xr2:uid="{03BD2B21-D6A9-48AB-9137-57CD30A5D9F5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3" i="1" l="1"/>
  <c r="O3" i="1" s="1"/>
  <c r="P3" i="1" s="1"/>
  <c r="Q3" i="1" s="1"/>
  <c r="M3" i="1"/>
  <c r="Z12" i="2" l="1"/>
  <c r="Y12" i="2"/>
  <c r="V12" i="2"/>
  <c r="W12" i="2" s="1"/>
  <c r="X12" i="2" s="1"/>
  <c r="U12" i="2"/>
  <c r="K3" i="2"/>
  <c r="J12" i="2"/>
  <c r="J10" i="2"/>
  <c r="J8" i="2"/>
  <c r="J5" i="2"/>
  <c r="R11" i="1"/>
  <c r="M6" i="1"/>
  <c r="N4" i="1"/>
  <c r="O4" i="1" s="1"/>
  <c r="O5" i="1" s="1"/>
  <c r="N5" i="1"/>
  <c r="M4" i="1"/>
  <c r="M5" i="1" s="1"/>
  <c r="N2" i="1"/>
  <c r="O2" i="1" s="1"/>
  <c r="P2" i="1" s="1"/>
  <c r="Q2" i="1" s="1"/>
  <c r="L12" i="1"/>
  <c r="M12" i="1" s="1"/>
  <c r="S54" i="2"/>
  <c r="R54" i="2"/>
  <c r="T54" i="2"/>
  <c r="S53" i="2"/>
  <c r="R53" i="2"/>
  <c r="T53" i="2"/>
  <c r="S32" i="2"/>
  <c r="S40" i="2" s="1"/>
  <c r="S28" i="2"/>
  <c r="S30" i="2" s="1"/>
  <c r="L7" i="1"/>
  <c r="T32" i="2"/>
  <c r="T40" i="2" s="1"/>
  <c r="T28" i="2"/>
  <c r="T22" i="2"/>
  <c r="P20" i="2"/>
  <c r="Q16" i="2"/>
  <c r="P16" i="2"/>
  <c r="Q5" i="2"/>
  <c r="Q8" i="2" s="1"/>
  <c r="S16" i="2"/>
  <c r="R16" i="2"/>
  <c r="T16" i="2"/>
  <c r="R9" i="2"/>
  <c r="S9" i="2"/>
  <c r="R5" i="2"/>
  <c r="R8" i="2" s="1"/>
  <c r="S5" i="2"/>
  <c r="S8" i="2" s="1"/>
  <c r="T9" i="2"/>
  <c r="T5" i="2"/>
  <c r="T8" i="2" s="1"/>
  <c r="R2" i="2"/>
  <c r="S2" i="2" s="1"/>
  <c r="T2" i="2" s="1"/>
  <c r="U2" i="2" s="1"/>
  <c r="V2" i="2" s="1"/>
  <c r="W2" i="2" s="1"/>
  <c r="X2" i="2" s="1"/>
  <c r="Y2" i="2" s="1"/>
  <c r="Z2" i="2" s="1"/>
  <c r="L5" i="1"/>
  <c r="AA12" i="2" l="1"/>
  <c r="AB12" i="2" s="1"/>
  <c r="AC12" i="2" s="1"/>
  <c r="AD12" i="2" s="1"/>
  <c r="AE12" i="2" s="1"/>
  <c r="AF12" i="2" s="1"/>
  <c r="AG12" i="2" s="1"/>
  <c r="AH12" i="2" s="1"/>
  <c r="AI12" i="2" s="1"/>
  <c r="AJ12" i="2" s="1"/>
  <c r="AK12" i="2" s="1"/>
  <c r="AL12" i="2" s="1"/>
  <c r="AM12" i="2" s="1"/>
  <c r="AN12" i="2" s="1"/>
  <c r="AO12" i="2" s="1"/>
  <c r="AP12" i="2" s="1"/>
  <c r="AQ12" i="2" s="1"/>
  <c r="AR12" i="2" s="1"/>
  <c r="AS12" i="2" s="1"/>
  <c r="AT12" i="2" s="1"/>
  <c r="AU12" i="2" s="1"/>
  <c r="AV12" i="2" s="1"/>
  <c r="AW12" i="2" s="1"/>
  <c r="AX12" i="2" s="1"/>
  <c r="N12" i="1"/>
  <c r="O12" i="1" s="1"/>
  <c r="P12" i="1" s="1"/>
  <c r="Q12" i="1" s="1"/>
  <c r="M13" i="1"/>
  <c r="M15" i="1"/>
  <c r="M16" i="1" s="1"/>
  <c r="N6" i="1"/>
  <c r="O6" i="1" s="1"/>
  <c r="P6" i="1" s="1"/>
  <c r="Q6" i="1" s="1"/>
  <c r="L15" i="1"/>
  <c r="L16" i="1" s="1"/>
  <c r="L8" i="1"/>
  <c r="M7" i="1"/>
  <c r="N7" i="1" s="1"/>
  <c r="O7" i="1" s="1"/>
  <c r="P7" i="1" s="1"/>
  <c r="Q7" i="1" s="1"/>
  <c r="N8" i="1"/>
  <c r="P4" i="1"/>
  <c r="R17" i="2"/>
  <c r="T17" i="2"/>
  <c r="S18" i="2"/>
  <c r="S17" i="2"/>
  <c r="T10" i="2"/>
  <c r="T12" i="2" s="1"/>
  <c r="S10" i="2"/>
  <c r="S12" i="2" s="1"/>
  <c r="T30" i="2"/>
  <c r="T42" i="2" s="1"/>
  <c r="T43" i="2" s="1"/>
  <c r="S42" i="2"/>
  <c r="S46" i="2" s="1"/>
  <c r="S45" i="2"/>
  <c r="S43" i="2"/>
  <c r="S19" i="2"/>
  <c r="T18" i="2"/>
  <c r="Q10" i="2"/>
  <c r="Q12" i="2" s="1"/>
  <c r="R18" i="2"/>
  <c r="R10" i="2"/>
  <c r="W16" i="2" l="1"/>
  <c r="W17" i="2" s="1"/>
  <c r="W18" i="2" s="1"/>
  <c r="M8" i="1"/>
  <c r="M14" i="1" s="1"/>
  <c r="O8" i="1"/>
  <c r="N15" i="1"/>
  <c r="N16" i="1" s="1"/>
  <c r="N13" i="1"/>
  <c r="N14" i="1"/>
  <c r="O13" i="1"/>
  <c r="O14" i="1"/>
  <c r="L14" i="1"/>
  <c r="T56" i="2"/>
  <c r="Q4" i="1"/>
  <c r="Q5" i="1" s="1"/>
  <c r="Q8" i="1" s="1"/>
  <c r="P5" i="1"/>
  <c r="P8" i="1" s="1"/>
  <c r="T46" i="2"/>
  <c r="T45" i="2"/>
  <c r="T20" i="2"/>
  <c r="T19" i="2"/>
  <c r="R12" i="2"/>
  <c r="S20" i="2" s="1"/>
  <c r="R19" i="2"/>
  <c r="Q20" i="2"/>
  <c r="Q9" i="1" l="1"/>
  <c r="L18" i="1" s="1"/>
  <c r="P13" i="1"/>
  <c r="O15" i="1"/>
  <c r="O16" i="1" s="1"/>
  <c r="R20" i="2"/>
  <c r="P14" i="1" l="1"/>
  <c r="Q13" i="1"/>
  <c r="P15" i="1"/>
  <c r="P16" i="1" s="1"/>
  <c r="Q15" i="1" l="1"/>
  <c r="Q16" i="1" s="1"/>
  <c r="R12" i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Q14" i="1"/>
  <c r="L19" i="1" l="1"/>
  <c r="L20" i="1" s="1"/>
</calcChain>
</file>

<file path=xl/sharedStrings.xml><?xml version="1.0" encoding="utf-8"?>
<sst xmlns="http://schemas.openxmlformats.org/spreadsheetml/2006/main" count="79" uniqueCount="65">
  <si>
    <t>Price</t>
  </si>
  <si>
    <t>MC</t>
  </si>
  <si>
    <t>Shares</t>
  </si>
  <si>
    <t>Cash</t>
  </si>
  <si>
    <t>Debt</t>
  </si>
  <si>
    <t>EV</t>
  </si>
  <si>
    <t>Q14</t>
  </si>
  <si>
    <t>Q224</t>
  </si>
  <si>
    <t>Q324</t>
  </si>
  <si>
    <t>Q424</t>
  </si>
  <si>
    <t>Q125</t>
  </si>
  <si>
    <t>Q225</t>
  </si>
  <si>
    <t>Q325</t>
  </si>
  <si>
    <t>Q425</t>
  </si>
  <si>
    <t xml:space="preserve"> </t>
  </si>
  <si>
    <t>Revenue</t>
  </si>
  <si>
    <t>COGS</t>
  </si>
  <si>
    <t>Gross Profit</t>
  </si>
  <si>
    <t>SGA</t>
  </si>
  <si>
    <t>Other</t>
  </si>
  <si>
    <t>Operating Income</t>
  </si>
  <si>
    <t>Interest Expense</t>
  </si>
  <si>
    <t>Pretax</t>
  </si>
  <si>
    <t>Tax</t>
  </si>
  <si>
    <t>NI</t>
  </si>
  <si>
    <t>EPS</t>
  </si>
  <si>
    <t>Gross Margin</t>
  </si>
  <si>
    <t>Operating Margin</t>
  </si>
  <si>
    <t>Tax Rate</t>
  </si>
  <si>
    <t>Revenue Growth</t>
  </si>
  <si>
    <t>NI Growth</t>
  </si>
  <si>
    <t>AR</t>
  </si>
  <si>
    <t>Contracts</t>
  </si>
  <si>
    <t>OCA</t>
  </si>
  <si>
    <t>PPE</t>
  </si>
  <si>
    <t>Leases</t>
  </si>
  <si>
    <t>Intangibles</t>
  </si>
  <si>
    <t>OLTA</t>
  </si>
  <si>
    <t>Assets</t>
  </si>
  <si>
    <t>AP</t>
  </si>
  <si>
    <t>Accrued</t>
  </si>
  <si>
    <t>Dividends</t>
  </si>
  <si>
    <t>DT</t>
  </si>
  <si>
    <t>ONCLL</t>
  </si>
  <si>
    <t>Liabilities</t>
  </si>
  <si>
    <t>S/E</t>
  </si>
  <si>
    <t>L+S/E</t>
  </si>
  <si>
    <t>ROA</t>
  </si>
  <si>
    <t>ROE</t>
  </si>
  <si>
    <t>CFFO</t>
  </si>
  <si>
    <t>CFFI</t>
  </si>
  <si>
    <t>CFFF</t>
  </si>
  <si>
    <t>SBC</t>
  </si>
  <si>
    <t>Purchases</t>
  </si>
  <si>
    <t>CFC</t>
  </si>
  <si>
    <t>uFCF</t>
  </si>
  <si>
    <t>EV/uFCF</t>
  </si>
  <si>
    <t>P/E</t>
  </si>
  <si>
    <t>E</t>
  </si>
  <si>
    <t>EV/E</t>
  </si>
  <si>
    <t>IRR</t>
  </si>
  <si>
    <t>VAL</t>
  </si>
  <si>
    <t>Per Share</t>
  </si>
  <si>
    <t>Val</t>
  </si>
  <si>
    <t>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</si>
</sst>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9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C94D1-2984-4389-A51D-3D825ADE3F80}">
  <dimension ref="K2:BJ26"/>
  <sheetViews>
    <sheetView tabSelected="1" topLeftCell="H1" workbookViewId="0">
      <selection activeCell="Q9" sqref="Q9"/>
    </sheetView>
  </sheetViews>
  <sheetFormatPr defaultRowHeight="14.25" x14ac:dyDescent="0.2"/>
  <cols>
    <col min="12" max="12" width="9.375" bestFit="1" customWidth="1"/>
  </cols>
  <sheetData>
    <row r="2" spans="11:62" x14ac:dyDescent="0.2">
      <c r="K2" s="1"/>
      <c r="L2" s="1" t="s">
        <v>13</v>
      </c>
      <c r="M2" s="1">
        <v>2026</v>
      </c>
      <c r="N2" s="1">
        <f t="shared" ref="N2:Q2" si="0">+M2+1</f>
        <v>2027</v>
      </c>
      <c r="O2" s="1">
        <f t="shared" si="0"/>
        <v>2028</v>
      </c>
      <c r="P2" s="1">
        <f t="shared" si="0"/>
        <v>2029</v>
      </c>
      <c r="Q2" s="1">
        <f t="shared" si="0"/>
        <v>2030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1:62" x14ac:dyDescent="0.2">
      <c r="K3" s="1" t="s">
        <v>0</v>
      </c>
      <c r="L3" s="1">
        <v>100</v>
      </c>
      <c r="M3" s="1">
        <f>+L3*1.1</f>
        <v>110.00000000000001</v>
      </c>
      <c r="N3" s="1">
        <f t="shared" ref="N3:Q3" si="1">+M3*1.1</f>
        <v>121.00000000000003</v>
      </c>
      <c r="O3" s="1">
        <f t="shared" si="1"/>
        <v>133.10000000000005</v>
      </c>
      <c r="P3" s="1">
        <f t="shared" si="1"/>
        <v>146.41000000000008</v>
      </c>
      <c r="Q3" s="1">
        <f t="shared" si="1"/>
        <v>161.0510000000001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1:62" x14ac:dyDescent="0.2">
      <c r="K4" s="1" t="s">
        <v>2</v>
      </c>
      <c r="L4" s="1">
        <v>54.2</v>
      </c>
      <c r="M4" s="1">
        <f>+L4*1.02</f>
        <v>55.284000000000006</v>
      </c>
      <c r="N4" s="1">
        <f t="shared" ref="N4:Q4" si="2">+M4*1.02</f>
        <v>56.389680000000006</v>
      </c>
      <c r="O4" s="1">
        <f t="shared" si="2"/>
        <v>57.51747360000001</v>
      </c>
      <c r="P4" s="1">
        <f t="shared" si="2"/>
        <v>58.667823072000012</v>
      </c>
      <c r="Q4" s="1">
        <f t="shared" si="2"/>
        <v>59.841179533440013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1:62" x14ac:dyDescent="0.2">
      <c r="K5" s="1" t="s">
        <v>1</v>
      </c>
      <c r="L5" s="1">
        <f>+L4*L3</f>
        <v>5420</v>
      </c>
      <c r="M5" s="1">
        <f t="shared" ref="M5:Q5" si="3">+M4*M3</f>
        <v>6081.2400000000016</v>
      </c>
      <c r="N5" s="1">
        <f t="shared" si="3"/>
        <v>6823.1512800000019</v>
      </c>
      <c r="O5" s="1">
        <f t="shared" si="3"/>
        <v>7655.5757361600045</v>
      </c>
      <c r="P5" s="1">
        <f t="shared" si="3"/>
        <v>8589.555975971527</v>
      </c>
      <c r="Q5" s="1">
        <f t="shared" si="3"/>
        <v>9637.4818050400536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1:62" x14ac:dyDescent="0.2">
      <c r="K6" s="1" t="s">
        <v>3</v>
      </c>
      <c r="L6" s="1">
        <v>535.5</v>
      </c>
      <c r="M6" s="1">
        <f>+L6*0.99</f>
        <v>530.14499999999998</v>
      </c>
      <c r="N6" s="1">
        <f t="shared" ref="N6:Q6" si="4">+M6*0.99</f>
        <v>524.84354999999994</v>
      </c>
      <c r="O6" s="1">
        <f t="shared" si="4"/>
        <v>519.59511449999991</v>
      </c>
      <c r="P6" s="1">
        <f t="shared" si="4"/>
        <v>514.39916335499993</v>
      </c>
      <c r="Q6" s="1">
        <f t="shared" si="4"/>
        <v>509.25517172144993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1:62" x14ac:dyDescent="0.2">
      <c r="K7" s="1" t="s">
        <v>4</v>
      </c>
      <c r="L7" s="1">
        <f>60.9+409</f>
        <v>469.9</v>
      </c>
      <c r="M7" s="1">
        <f>+L7*1.03</f>
        <v>483.99700000000001</v>
      </c>
      <c r="N7" s="1">
        <f t="shared" ref="N7:Q7" si="5">+M7*1.03</f>
        <v>498.51691000000005</v>
      </c>
      <c r="O7" s="1">
        <f t="shared" si="5"/>
        <v>513.47241730000007</v>
      </c>
      <c r="P7" s="1">
        <f t="shared" si="5"/>
        <v>528.87658981900006</v>
      </c>
      <c r="Q7" s="1">
        <f t="shared" si="5"/>
        <v>544.74288751357005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1:62" x14ac:dyDescent="0.2">
      <c r="K8" s="1" t="s">
        <v>5</v>
      </c>
      <c r="L8" s="1">
        <f>+L5-L6+L7</f>
        <v>5354.4</v>
      </c>
      <c r="M8" s="1">
        <f t="shared" ref="M8:Q8" si="6">+M5-M6+M7</f>
        <v>6035.0920000000015</v>
      </c>
      <c r="N8" s="1">
        <f t="shared" si="6"/>
        <v>6796.8246400000025</v>
      </c>
      <c r="O8" s="1">
        <f t="shared" si="6"/>
        <v>7649.453038960005</v>
      </c>
      <c r="P8" s="1">
        <f t="shared" si="6"/>
        <v>8604.033402435527</v>
      </c>
      <c r="Q8" s="1">
        <f t="shared" si="6"/>
        <v>9672.9695208321737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1:62" x14ac:dyDescent="0.2">
      <c r="K9" s="1"/>
      <c r="L9" s="1">
        <v>-5354</v>
      </c>
      <c r="M9" s="1">
        <v>0</v>
      </c>
      <c r="N9" s="1">
        <v>0</v>
      </c>
      <c r="O9" s="1">
        <v>0</v>
      </c>
      <c r="P9" s="1">
        <v>0</v>
      </c>
      <c r="Q9" s="1">
        <f>+Q8</f>
        <v>9672.9695208321737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1:62" x14ac:dyDescent="0.2"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1:62" x14ac:dyDescent="0.2">
      <c r="K11" s="1" t="s">
        <v>64</v>
      </c>
      <c r="L11" s="1" t="s">
        <v>14</v>
      </c>
      <c r="M11" s="1"/>
      <c r="N11" s="1"/>
      <c r="O11" s="1"/>
      <c r="P11" s="1"/>
      <c r="Q11" s="1"/>
      <c r="R11" s="1">
        <f>+model!T3*1.2</f>
        <v>9089.8799999999992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1:62" x14ac:dyDescent="0.2">
      <c r="K12" s="1" t="s">
        <v>58</v>
      </c>
      <c r="L12" s="1">
        <f>+model!T12</f>
        <v>274.89999999999952</v>
      </c>
      <c r="M12" s="1">
        <f>+L12*1.25</f>
        <v>343.62499999999943</v>
      </c>
      <c r="N12" s="1">
        <f t="shared" ref="N12" si="7">+M12*1.25</f>
        <v>429.53124999999932</v>
      </c>
      <c r="O12" s="1">
        <f>+N12*1.2</f>
        <v>515.4374999999992</v>
      </c>
      <c r="P12" s="1">
        <f t="shared" ref="P12" si="8">+O12*1.2</f>
        <v>618.52499999999907</v>
      </c>
      <c r="Q12" s="1">
        <f>+P12*1.15</f>
        <v>711.3037499999989</v>
      </c>
      <c r="R12" s="1">
        <f>+Q12*0.98</f>
        <v>697.07767499999886</v>
      </c>
      <c r="S12" s="1">
        <f t="shared" ref="S12:AI12" si="9">+R12*0.98</f>
        <v>683.13612149999892</v>
      </c>
      <c r="T12" s="1">
        <f t="shared" si="9"/>
        <v>669.47339906999889</v>
      </c>
      <c r="U12" s="1">
        <f t="shared" si="9"/>
        <v>656.08393108859889</v>
      </c>
      <c r="V12" s="1">
        <f t="shared" si="9"/>
        <v>642.96225246682695</v>
      </c>
      <c r="W12" s="1">
        <f t="shared" si="9"/>
        <v>630.1030074174904</v>
      </c>
      <c r="X12" s="1">
        <f t="shared" si="9"/>
        <v>617.50094726914062</v>
      </c>
      <c r="Y12" s="1">
        <f t="shared" si="9"/>
        <v>605.15092832375785</v>
      </c>
      <c r="Z12" s="1">
        <f t="shared" si="9"/>
        <v>593.0479097572827</v>
      </c>
      <c r="AA12" s="1">
        <f t="shared" si="9"/>
        <v>581.18695156213698</v>
      </c>
      <c r="AB12" s="1">
        <f t="shared" si="9"/>
        <v>569.56321253089425</v>
      </c>
      <c r="AC12" s="1">
        <f t="shared" si="9"/>
        <v>558.1719482802763</v>
      </c>
      <c r="AD12" s="1">
        <f t="shared" si="9"/>
        <v>547.00850931467073</v>
      </c>
      <c r="AE12" s="1">
        <f t="shared" si="9"/>
        <v>536.06833912837726</v>
      </c>
      <c r="AF12" s="1">
        <f t="shared" si="9"/>
        <v>525.34697234580972</v>
      </c>
      <c r="AG12" s="1">
        <f t="shared" si="9"/>
        <v>514.84003289889347</v>
      </c>
      <c r="AH12" s="1">
        <f t="shared" si="9"/>
        <v>504.54323224091559</v>
      </c>
      <c r="AI12" s="1">
        <f t="shared" si="9"/>
        <v>494.45236759609725</v>
      </c>
      <c r="BJ12" t="s">
        <v>14</v>
      </c>
    </row>
    <row r="13" spans="11:62" x14ac:dyDescent="0.2">
      <c r="K13" s="1"/>
      <c r="L13" s="1"/>
      <c r="M13" s="1">
        <f t="shared" ref="M13:Q13" si="10">+M12/L12-1</f>
        <v>0.25</v>
      </c>
      <c r="N13" s="1">
        <f t="shared" si="10"/>
        <v>0.25</v>
      </c>
      <c r="O13" s="1">
        <f t="shared" si="10"/>
        <v>0.19999999999999996</v>
      </c>
      <c r="P13" s="1">
        <f t="shared" si="10"/>
        <v>0.19999999999999996</v>
      </c>
      <c r="Q13" s="1">
        <f t="shared" si="10"/>
        <v>0.14999999999999991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1:62" x14ac:dyDescent="0.2">
      <c r="K14" s="1" t="s">
        <v>59</v>
      </c>
      <c r="L14" s="1">
        <f>+L8/L12</f>
        <v>19.47762822844674</v>
      </c>
      <c r="M14" s="1">
        <f t="shared" ref="M14:Q14" si="11">+M8/M12</f>
        <v>17.563017824663547</v>
      </c>
      <c r="N14" s="1">
        <f t="shared" si="11"/>
        <v>15.823818732630079</v>
      </c>
      <c r="O14" s="1">
        <f t="shared" si="11"/>
        <v>14.840699481430855</v>
      </c>
      <c r="P14" s="1">
        <f t="shared" si="11"/>
        <v>13.910566917158627</v>
      </c>
      <c r="Q14" s="1">
        <f t="shared" si="11"/>
        <v>13.598929459927898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1:62" x14ac:dyDescent="0.2">
      <c r="K15" s="1" t="s">
        <v>25</v>
      </c>
      <c r="L15" s="1">
        <f>+L12/L4</f>
        <v>5.0719557195571863</v>
      </c>
      <c r="M15" s="1">
        <f t="shared" ref="M15:Q15" si="12">+M12/M4</f>
        <v>6.2156320092612578</v>
      </c>
      <c r="N15" s="1">
        <f t="shared" si="12"/>
        <v>7.6171960897809541</v>
      </c>
      <c r="O15" s="1">
        <f t="shared" si="12"/>
        <v>8.9614071644481808</v>
      </c>
      <c r="P15" s="1">
        <f t="shared" si="12"/>
        <v>10.542831958174331</v>
      </c>
      <c r="Q15" s="1">
        <f t="shared" si="12"/>
        <v>11.886526227353412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1:62" x14ac:dyDescent="0.2">
      <c r="K16" s="1" t="s">
        <v>57</v>
      </c>
      <c r="L16" s="1">
        <f>+L3/L15</f>
        <v>19.716260458348525</v>
      </c>
      <c r="M16" s="1">
        <f t="shared" ref="M16:Q16" si="13">+M3/M15</f>
        <v>17.697315387413639</v>
      </c>
      <c r="N16" s="1">
        <f t="shared" si="13"/>
        <v>15.885110291742482</v>
      </c>
      <c r="O16" s="1">
        <f t="shared" si="13"/>
        <v>14.852578122779224</v>
      </c>
      <c r="P16" s="1">
        <f t="shared" si="13"/>
        <v>13.887160544798578</v>
      </c>
      <c r="Q16" s="1">
        <f t="shared" si="13"/>
        <v>13.549038375012177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8" spans="11:15" x14ac:dyDescent="0.2">
      <c r="K18" t="s">
        <v>60</v>
      </c>
      <c r="L18" s="2">
        <f>+IRR(L9:Q9)</f>
        <v>0.1255797999507231</v>
      </c>
    </row>
    <row r="19" spans="11:15" x14ac:dyDescent="0.2">
      <c r="K19" t="s">
        <v>61</v>
      </c>
      <c r="L19" s="3">
        <f>+NPV(0.08,M12:AI12)-L6+L7</f>
        <v>5887.6398670054677</v>
      </c>
    </row>
    <row r="20" spans="11:15" x14ac:dyDescent="0.2">
      <c r="K20" t="s">
        <v>62</v>
      </c>
      <c r="L20">
        <f>+L19/L4</f>
        <v>108.62804182666915</v>
      </c>
    </row>
    <row r="25" spans="11:15" x14ac:dyDescent="0.2">
      <c r="O25" s="1" t="s">
        <v>14</v>
      </c>
    </row>
    <row r="26" spans="11:15" x14ac:dyDescent="0.2">
      <c r="O2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830AA-3AB8-421C-9DBE-9C8101A9FCE9}">
  <dimension ref="B2:AX56"/>
  <sheetViews>
    <sheetView workbookViewId="0">
      <pane xSplit="2" ySplit="2" topLeftCell="I3" activePane="bottomRight" state="frozen"/>
      <selection pane="topRight" activeCell="C1" sqref="C1"/>
      <selection pane="bottomLeft" activeCell="A3" sqref="A3"/>
      <selection pane="bottomRight" activeCell="W21" sqref="W21"/>
    </sheetView>
  </sheetViews>
  <sheetFormatPr defaultRowHeight="14.25" x14ac:dyDescent="0.2"/>
  <cols>
    <col min="2" max="2" width="16.5" customWidth="1"/>
    <col min="23" max="23" width="9.375" bestFit="1" customWidth="1"/>
  </cols>
  <sheetData>
    <row r="2" spans="2:50" x14ac:dyDescent="0.2"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O2">
        <v>2020</v>
      </c>
      <c r="P2">
        <v>2021</v>
      </c>
      <c r="Q2">
        <v>2022</v>
      </c>
      <c r="R2">
        <f>+Q2+1</f>
        <v>2023</v>
      </c>
      <c r="S2">
        <f t="shared" ref="S2:Z2" si="0">+R2+1</f>
        <v>2024</v>
      </c>
      <c r="T2">
        <f t="shared" si="0"/>
        <v>2025</v>
      </c>
      <c r="U2">
        <f t="shared" si="0"/>
        <v>2026</v>
      </c>
      <c r="V2">
        <f t="shared" si="0"/>
        <v>2027</v>
      </c>
      <c r="W2">
        <f t="shared" si="0"/>
        <v>2028</v>
      </c>
      <c r="X2">
        <f t="shared" si="0"/>
        <v>2029</v>
      </c>
      <c r="Y2">
        <f t="shared" si="0"/>
        <v>2030</v>
      </c>
      <c r="Z2">
        <f t="shared" si="0"/>
        <v>2031</v>
      </c>
      <c r="AA2" t="s">
        <v>14</v>
      </c>
      <c r="AB2" t="s">
        <v>14</v>
      </c>
      <c r="AC2" t="s">
        <v>14</v>
      </c>
    </row>
    <row r="3" spans="2:50" x14ac:dyDescent="0.2">
      <c r="B3" t="s">
        <v>15</v>
      </c>
      <c r="J3">
        <v>1559.9</v>
      </c>
      <c r="K3">
        <f>+J3*4</f>
        <v>6239.6</v>
      </c>
      <c r="O3">
        <v>3491</v>
      </c>
      <c r="P3">
        <v>3497</v>
      </c>
      <c r="Q3" s="1">
        <v>4420.6000000000004</v>
      </c>
      <c r="R3">
        <v>5715.3</v>
      </c>
      <c r="S3">
        <v>6399.8</v>
      </c>
      <c r="T3">
        <v>7574.9</v>
      </c>
    </row>
    <row r="4" spans="2:50" x14ac:dyDescent="0.2">
      <c r="B4" t="s">
        <v>16</v>
      </c>
      <c r="J4">
        <v>1425.2</v>
      </c>
      <c r="Q4">
        <v>3963.7</v>
      </c>
      <c r="R4">
        <v>5127.8</v>
      </c>
      <c r="S4">
        <v>5663.6</v>
      </c>
      <c r="T4">
        <v>6761.8</v>
      </c>
    </row>
    <row r="5" spans="2:50" x14ac:dyDescent="0.2">
      <c r="B5" t="s">
        <v>17</v>
      </c>
      <c r="J5">
        <f>+J3-J4</f>
        <v>134.70000000000005</v>
      </c>
      <c r="Q5">
        <f>+Q3-Q4</f>
        <v>456.90000000000055</v>
      </c>
      <c r="R5">
        <f>+R3-R4</f>
        <v>587.5</v>
      </c>
      <c r="S5">
        <f>+S3-S4</f>
        <v>736.19999999999982</v>
      </c>
      <c r="T5">
        <f>+T3-T4</f>
        <v>813.09999999999945</v>
      </c>
    </row>
    <row r="6" spans="2:50" x14ac:dyDescent="0.2">
      <c r="B6" t="s">
        <v>18</v>
      </c>
      <c r="J6">
        <v>105</v>
      </c>
      <c r="Q6">
        <v>281.60000000000002</v>
      </c>
      <c r="R6">
        <v>328.7</v>
      </c>
      <c r="S6">
        <v>383.3</v>
      </c>
      <c r="T6">
        <v>399.2</v>
      </c>
    </row>
    <row r="7" spans="2:50" x14ac:dyDescent="0.2">
      <c r="B7" t="s">
        <v>19</v>
      </c>
      <c r="J7">
        <v>4.5</v>
      </c>
      <c r="Q7">
        <v>0</v>
      </c>
      <c r="R7">
        <v>5.7</v>
      </c>
      <c r="S7">
        <v>2.5</v>
      </c>
      <c r="T7">
        <v>2.4</v>
      </c>
    </row>
    <row r="8" spans="2:50" x14ac:dyDescent="0.2">
      <c r="B8" t="s">
        <v>20</v>
      </c>
      <c r="J8">
        <f>+J5-J6-J7</f>
        <v>25.200000000000045</v>
      </c>
      <c r="Q8">
        <f>+Q5-Q6-Q7</f>
        <v>175.30000000000052</v>
      </c>
      <c r="R8">
        <f>+R5-R6-R7</f>
        <v>253.10000000000002</v>
      </c>
      <c r="S8">
        <f>+S5-S6-S7</f>
        <v>350.39999999999981</v>
      </c>
      <c r="T8">
        <f>+T5-T6-T7</f>
        <v>411.49999999999949</v>
      </c>
    </row>
    <row r="9" spans="2:50" x14ac:dyDescent="0.2">
      <c r="B9" t="s">
        <v>21</v>
      </c>
      <c r="J9">
        <v>0.1</v>
      </c>
      <c r="Q9">
        <v>-36.1</v>
      </c>
      <c r="R9">
        <f>1.1+1.6-78.6</f>
        <v>-75.899999999999991</v>
      </c>
      <c r="S9">
        <f>2.7-0.1-65.3</f>
        <v>-62.699999999999996</v>
      </c>
      <c r="T9">
        <f>-0.1+1.3-28.7</f>
        <v>-27.5</v>
      </c>
    </row>
    <row r="10" spans="2:50" x14ac:dyDescent="0.2">
      <c r="B10" t="s">
        <v>22</v>
      </c>
      <c r="J10">
        <f>+J8+J9</f>
        <v>25.300000000000047</v>
      </c>
      <c r="Q10">
        <f>+Q8+Q9</f>
        <v>139.20000000000053</v>
      </c>
      <c r="R10">
        <f>+R8+R9</f>
        <v>177.20000000000005</v>
      </c>
      <c r="S10">
        <f>+S8+S9</f>
        <v>287.69999999999982</v>
      </c>
      <c r="T10">
        <f>+T8+T9</f>
        <v>383.99999999999949</v>
      </c>
    </row>
    <row r="11" spans="2:50" x14ac:dyDescent="0.2">
      <c r="B11" t="s">
        <v>23</v>
      </c>
      <c r="J11">
        <v>-2.5</v>
      </c>
      <c r="Q11">
        <v>-26.3</v>
      </c>
      <c r="R11">
        <v>-51.5</v>
      </c>
      <c r="S11">
        <v>-74</v>
      </c>
      <c r="T11">
        <v>-109.1</v>
      </c>
    </row>
    <row r="12" spans="2:50" x14ac:dyDescent="0.2">
      <c r="B12" t="s">
        <v>24</v>
      </c>
      <c r="J12">
        <f>+J10+J11</f>
        <v>22.800000000000047</v>
      </c>
      <c r="O12">
        <v>105</v>
      </c>
      <c r="P12">
        <v>115.7</v>
      </c>
      <c r="Q12">
        <f t="shared" ref="Q12:S12" si="1">+Q10+Q11</f>
        <v>112.90000000000053</v>
      </c>
      <c r="R12">
        <f t="shared" si="1"/>
        <v>125.70000000000005</v>
      </c>
      <c r="S12">
        <f t="shared" si="1"/>
        <v>213.69999999999982</v>
      </c>
      <c r="T12">
        <f>+T10+T11</f>
        <v>274.89999999999952</v>
      </c>
      <c r="U12">
        <f>+T12*1.05</f>
        <v>288.64499999999953</v>
      </c>
      <c r="V12">
        <f t="shared" ref="V12:X12" si="2">+U12*1.05</f>
        <v>303.07724999999954</v>
      </c>
      <c r="W12">
        <f t="shared" si="2"/>
        <v>318.23111249999954</v>
      </c>
      <c r="X12">
        <f t="shared" si="2"/>
        <v>334.14266812499955</v>
      </c>
      <c r="Y12">
        <f>+X12</f>
        <v>334.14266812499955</v>
      </c>
      <c r="Z12">
        <f t="shared" ref="Z12" si="3">+Y12</f>
        <v>334.14266812499955</v>
      </c>
      <c r="AA12">
        <f>+Z12*0.98</f>
        <v>327.45981476249955</v>
      </c>
      <c r="AB12">
        <f t="shared" ref="AB12:AX12" si="4">+AA12*0.98</f>
        <v>320.91061846724955</v>
      </c>
      <c r="AC12">
        <f t="shared" si="4"/>
        <v>314.49240609790456</v>
      </c>
      <c r="AD12">
        <f t="shared" si="4"/>
        <v>308.20255797594649</v>
      </c>
      <c r="AE12">
        <f t="shared" si="4"/>
        <v>302.03850681642757</v>
      </c>
      <c r="AF12">
        <f t="shared" si="4"/>
        <v>295.99773668009902</v>
      </c>
      <c r="AG12">
        <f t="shared" si="4"/>
        <v>290.07778194649705</v>
      </c>
      <c r="AH12">
        <f t="shared" si="4"/>
        <v>284.27622630756713</v>
      </c>
      <c r="AI12">
        <f t="shared" si="4"/>
        <v>278.59070178141576</v>
      </c>
      <c r="AJ12">
        <f t="shared" si="4"/>
        <v>273.01888774578742</v>
      </c>
      <c r="AK12">
        <f t="shared" si="4"/>
        <v>267.5585099908717</v>
      </c>
      <c r="AL12">
        <f t="shared" si="4"/>
        <v>262.20733979105427</v>
      </c>
      <c r="AM12">
        <f t="shared" si="4"/>
        <v>256.96319299523316</v>
      </c>
      <c r="AN12">
        <f t="shared" si="4"/>
        <v>251.82392913532848</v>
      </c>
      <c r="AO12">
        <f t="shared" si="4"/>
        <v>246.78745055262192</v>
      </c>
      <c r="AP12">
        <f t="shared" si="4"/>
        <v>241.85170154156947</v>
      </c>
      <c r="AQ12">
        <f t="shared" si="4"/>
        <v>237.01466751073806</v>
      </c>
      <c r="AR12">
        <f t="shared" si="4"/>
        <v>232.27437416052331</v>
      </c>
      <c r="AS12">
        <f t="shared" si="4"/>
        <v>227.62888667731283</v>
      </c>
      <c r="AT12">
        <f t="shared" si="4"/>
        <v>223.07630894376658</v>
      </c>
      <c r="AU12">
        <f t="shared" si="4"/>
        <v>218.61478276489123</v>
      </c>
      <c r="AV12">
        <f t="shared" si="4"/>
        <v>214.24248710959341</v>
      </c>
      <c r="AW12">
        <f t="shared" si="4"/>
        <v>209.95763736740153</v>
      </c>
      <c r="AX12">
        <f t="shared" si="4"/>
        <v>205.75848462005351</v>
      </c>
    </row>
    <row r="13" spans="2:50" x14ac:dyDescent="0.2">
      <c r="B13" t="s">
        <v>25</v>
      </c>
      <c r="Q13" t="s">
        <v>14</v>
      </c>
      <c r="R13">
        <v>53.3</v>
      </c>
      <c r="S13">
        <v>53.6</v>
      </c>
      <c r="T13">
        <v>54</v>
      </c>
    </row>
    <row r="14" spans="2:50" x14ac:dyDescent="0.2">
      <c r="B14" t="s">
        <v>2</v>
      </c>
    </row>
    <row r="16" spans="2:50" x14ac:dyDescent="0.2">
      <c r="B16" t="s">
        <v>29</v>
      </c>
      <c r="P16" s="2">
        <f t="shared" ref="P16:S16" si="5">+P3/O3-1</f>
        <v>1.7187052420510884E-3</v>
      </c>
      <c r="Q16" s="2">
        <f t="shared" si="5"/>
        <v>0.26411209608235642</v>
      </c>
      <c r="R16" s="2">
        <f t="shared" si="5"/>
        <v>0.29287879473374656</v>
      </c>
      <c r="S16" s="2">
        <f t="shared" si="5"/>
        <v>0.11976624149213522</v>
      </c>
      <c r="T16" s="2">
        <f>+T3/S3-1</f>
        <v>0.18361511297228028</v>
      </c>
      <c r="V16" t="s">
        <v>63</v>
      </c>
      <c r="W16" s="3">
        <f>+NPV(0.08,U12:AX12)</f>
        <v>3326.4737253041526</v>
      </c>
    </row>
    <row r="17" spans="2:23" x14ac:dyDescent="0.2">
      <c r="B17" t="s">
        <v>26</v>
      </c>
      <c r="R17" s="2">
        <f t="shared" ref="R17:S17" si="6">+R5/Q5-1</f>
        <v>0.28583935215583134</v>
      </c>
      <c r="S17" s="2">
        <f t="shared" si="6"/>
        <v>0.25310638297872301</v>
      </c>
      <c r="T17" s="2">
        <f>+T5/S5-1</f>
        <v>0.10445531105677763</v>
      </c>
      <c r="W17" s="1">
        <f>+W16-main!L6+main!L7</f>
        <v>3260.8737253041527</v>
      </c>
    </row>
    <row r="18" spans="2:23" x14ac:dyDescent="0.2">
      <c r="B18" t="s">
        <v>27</v>
      </c>
      <c r="R18" s="2">
        <f t="shared" ref="R18:S18" si="7">+R8/Q8-1</f>
        <v>0.44381061038219771</v>
      </c>
      <c r="S18" s="2">
        <f t="shared" si="7"/>
        <v>0.384433030422757</v>
      </c>
      <c r="T18" s="2">
        <f>+T8/S8-1</f>
        <v>0.17437214611872065</v>
      </c>
      <c r="W18">
        <f>+W17/main!L4</f>
        <v>60.163721869080305</v>
      </c>
    </row>
    <row r="19" spans="2:23" x14ac:dyDescent="0.2">
      <c r="B19" t="s">
        <v>28</v>
      </c>
      <c r="R19" s="2">
        <f t="shared" ref="R19:S19" si="8">+R11/R10</f>
        <v>-0.29063205417607219</v>
      </c>
      <c r="S19" s="2">
        <f t="shared" si="8"/>
        <v>-0.25721237400069535</v>
      </c>
      <c r="T19" s="2">
        <f>+T11/T10</f>
        <v>-0.28411458333333367</v>
      </c>
    </row>
    <row r="20" spans="2:23" x14ac:dyDescent="0.2">
      <c r="B20" t="s">
        <v>30</v>
      </c>
      <c r="P20" s="2">
        <f t="shared" ref="P20:S20" si="9">+P12/O12-1</f>
        <v>0.10190476190476194</v>
      </c>
      <c r="Q20" s="2">
        <f t="shared" si="9"/>
        <v>-2.4200518582536468E-2</v>
      </c>
      <c r="R20" s="2">
        <f t="shared" si="9"/>
        <v>0.11337466784764794</v>
      </c>
      <c r="S20" s="2">
        <f t="shared" si="9"/>
        <v>0.70007955449482684</v>
      </c>
      <c r="T20" s="2">
        <f>+T12/S12-1</f>
        <v>0.28638277959756553</v>
      </c>
    </row>
    <row r="22" spans="2:23" x14ac:dyDescent="0.2">
      <c r="B22" t="s">
        <v>3</v>
      </c>
      <c r="S22">
        <v>455.8</v>
      </c>
      <c r="T22" s="1">
        <f>+main!L6</f>
        <v>535.5</v>
      </c>
    </row>
    <row r="23" spans="2:23" x14ac:dyDescent="0.2">
      <c r="B23" t="s">
        <v>31</v>
      </c>
      <c r="S23">
        <v>834.4</v>
      </c>
      <c r="T23">
        <v>723.4</v>
      </c>
    </row>
    <row r="24" spans="2:23" x14ac:dyDescent="0.2">
      <c r="B24" t="s">
        <v>32</v>
      </c>
      <c r="R24" s="1"/>
      <c r="S24" s="1">
        <v>773.7</v>
      </c>
      <c r="T24" s="1">
        <v>936.9</v>
      </c>
      <c r="U24" s="1"/>
    </row>
    <row r="25" spans="2:23" x14ac:dyDescent="0.2">
      <c r="B25" t="s">
        <v>33</v>
      </c>
      <c r="S25">
        <v>95.6</v>
      </c>
      <c r="T25">
        <v>137.80000000000001</v>
      </c>
    </row>
    <row r="26" spans="2:23" x14ac:dyDescent="0.2">
      <c r="B26" t="s">
        <v>34</v>
      </c>
      <c r="S26">
        <v>488.2</v>
      </c>
      <c r="T26" s="1">
        <v>531.20000000000005</v>
      </c>
    </row>
    <row r="27" spans="2:23" x14ac:dyDescent="0.2">
      <c r="B27" t="s">
        <v>35</v>
      </c>
      <c r="S27">
        <v>461</v>
      </c>
      <c r="T27">
        <v>488.9</v>
      </c>
    </row>
    <row r="28" spans="2:23" x14ac:dyDescent="0.2">
      <c r="B28" t="s">
        <v>36</v>
      </c>
      <c r="S28">
        <f>207.9+856.9</f>
        <v>1064.8</v>
      </c>
      <c r="T28">
        <f>190.2+856.9</f>
        <v>1047.0999999999999</v>
      </c>
    </row>
    <row r="29" spans="2:23" x14ac:dyDescent="0.2">
      <c r="B29" t="s">
        <v>37</v>
      </c>
      <c r="S29">
        <v>22.4</v>
      </c>
      <c r="T29">
        <v>7</v>
      </c>
    </row>
    <row r="30" spans="2:23" x14ac:dyDescent="0.2">
      <c r="B30" t="s">
        <v>38</v>
      </c>
      <c r="S30" s="1">
        <f>+SUM(S22:S29)</f>
        <v>4195.8999999999996</v>
      </c>
      <c r="T30" s="1">
        <f>+SUM(T22:T29)</f>
        <v>4407.8</v>
      </c>
    </row>
    <row r="32" spans="2:23" x14ac:dyDescent="0.2">
      <c r="B32" t="s">
        <v>4</v>
      </c>
      <c r="S32">
        <f>74.6+660.2</f>
        <v>734.80000000000007</v>
      </c>
      <c r="T32" s="1">
        <f>+main!L7</f>
        <v>469.9</v>
      </c>
    </row>
    <row r="33" spans="2:20" x14ac:dyDescent="0.2">
      <c r="B33" t="s">
        <v>39</v>
      </c>
      <c r="S33">
        <v>624.29999999999995</v>
      </c>
      <c r="T33">
        <v>744.3</v>
      </c>
    </row>
    <row r="34" spans="2:20" x14ac:dyDescent="0.2">
      <c r="B34" t="s">
        <v>32</v>
      </c>
      <c r="S34">
        <v>617.4</v>
      </c>
      <c r="T34">
        <v>633.6</v>
      </c>
    </row>
    <row r="35" spans="2:20" x14ac:dyDescent="0.2">
      <c r="B35" t="s">
        <v>40</v>
      </c>
      <c r="S35">
        <v>350.1</v>
      </c>
      <c r="T35">
        <v>405.4</v>
      </c>
    </row>
    <row r="36" spans="2:20" x14ac:dyDescent="0.2">
      <c r="B36" t="s">
        <v>41</v>
      </c>
      <c r="S36">
        <v>4.3</v>
      </c>
      <c r="T36">
        <v>4.3</v>
      </c>
    </row>
    <row r="37" spans="2:20" x14ac:dyDescent="0.2">
      <c r="B37" t="s">
        <v>35</v>
      </c>
      <c r="S37">
        <v>333.4</v>
      </c>
      <c r="T37">
        <v>325.60000000000002</v>
      </c>
    </row>
    <row r="38" spans="2:20" x14ac:dyDescent="0.2">
      <c r="B38" t="s">
        <v>42</v>
      </c>
      <c r="S38">
        <v>64</v>
      </c>
      <c r="T38">
        <v>71.400000000000006</v>
      </c>
    </row>
    <row r="39" spans="2:20" x14ac:dyDescent="0.2">
      <c r="B39" t="s">
        <v>43</v>
      </c>
      <c r="S39">
        <v>58.1</v>
      </c>
      <c r="T39">
        <v>72.3</v>
      </c>
    </row>
    <row r="40" spans="2:20" x14ac:dyDescent="0.2">
      <c r="B40" t="s">
        <v>44</v>
      </c>
      <c r="S40" s="1">
        <f>+SUM(S32:S39)</f>
        <v>2786.4</v>
      </c>
      <c r="T40" s="1">
        <f>+SUM(T32:T39)</f>
        <v>2726.8</v>
      </c>
    </row>
    <row r="42" spans="2:20" x14ac:dyDescent="0.2">
      <c r="B42" t="s">
        <v>45</v>
      </c>
      <c r="S42" s="1">
        <f t="shared" ref="S42" si="10">+S30-S40</f>
        <v>1409.4999999999995</v>
      </c>
      <c r="T42" s="1">
        <f>+T30-T40</f>
        <v>1681</v>
      </c>
    </row>
    <row r="43" spans="2:20" x14ac:dyDescent="0.2">
      <c r="B43" t="s">
        <v>46</v>
      </c>
      <c r="S43" s="1">
        <f t="shared" ref="S43" si="11">+S40+S42</f>
        <v>4195.8999999999996</v>
      </c>
      <c r="T43" s="1">
        <f>+T40+T42</f>
        <v>4407.8</v>
      </c>
    </row>
    <row r="45" spans="2:20" x14ac:dyDescent="0.2">
      <c r="B45" t="s">
        <v>47</v>
      </c>
      <c r="S45" s="2">
        <f t="shared" ref="S45" si="12">+S12/S30</f>
        <v>5.0930670416358785E-2</v>
      </c>
      <c r="T45" s="2">
        <f>+T12/T30</f>
        <v>6.2366713553246404E-2</v>
      </c>
    </row>
    <row r="46" spans="2:20" x14ac:dyDescent="0.2">
      <c r="B46" t="s">
        <v>48</v>
      </c>
      <c r="S46" s="2">
        <f t="shared" ref="S46" si="13">+S12/S42</f>
        <v>0.15161404753458665</v>
      </c>
      <c r="T46" s="2">
        <f>+T12/T42</f>
        <v>0.16353361094586527</v>
      </c>
    </row>
    <row r="48" spans="2:20" x14ac:dyDescent="0.2">
      <c r="B48" t="s">
        <v>49</v>
      </c>
      <c r="R48">
        <v>198.5</v>
      </c>
      <c r="S48">
        <v>508.3</v>
      </c>
      <c r="T48">
        <v>470.4</v>
      </c>
    </row>
    <row r="49" spans="2:20" x14ac:dyDescent="0.2">
      <c r="B49" t="s">
        <v>52</v>
      </c>
      <c r="R49">
        <v>11.8</v>
      </c>
      <c r="S49">
        <v>15.1</v>
      </c>
      <c r="T49">
        <v>20.6</v>
      </c>
    </row>
    <row r="50" spans="2:20" x14ac:dyDescent="0.2">
      <c r="B50" t="s">
        <v>50</v>
      </c>
      <c r="R50">
        <v>-30</v>
      </c>
      <c r="S50">
        <v>-27.2</v>
      </c>
      <c r="T50">
        <v>-93.9</v>
      </c>
    </row>
    <row r="51" spans="2:20" x14ac:dyDescent="0.2">
      <c r="B51" t="s">
        <v>53</v>
      </c>
      <c r="R51">
        <v>-103</v>
      </c>
      <c r="S51">
        <v>-126.5</v>
      </c>
      <c r="T51">
        <v>-129.9</v>
      </c>
    </row>
    <row r="52" spans="2:20" x14ac:dyDescent="0.2">
      <c r="B52" t="s">
        <v>51</v>
      </c>
      <c r="R52">
        <v>-205.3</v>
      </c>
      <c r="S52">
        <v>-244.4</v>
      </c>
      <c r="T52">
        <v>-296.3</v>
      </c>
    </row>
    <row r="53" spans="2:20" x14ac:dyDescent="0.2">
      <c r="B53" t="s">
        <v>54</v>
      </c>
      <c r="R53">
        <f t="shared" ref="R53:S53" si="14">+R48+R50+R52</f>
        <v>-36.800000000000011</v>
      </c>
      <c r="S53">
        <f t="shared" si="14"/>
        <v>236.70000000000002</v>
      </c>
      <c r="T53">
        <f>+T48+T50+T52</f>
        <v>80.199999999999989</v>
      </c>
    </row>
    <row r="54" spans="2:20" x14ac:dyDescent="0.2">
      <c r="B54" t="s">
        <v>55</v>
      </c>
      <c r="R54">
        <f t="shared" ref="R54:S54" si="15">+R48-R49+R50</f>
        <v>156.69999999999999</v>
      </c>
      <c r="S54">
        <f t="shared" si="15"/>
        <v>466</v>
      </c>
      <c r="T54">
        <f>+T48-T49+T50</f>
        <v>355.9</v>
      </c>
    </row>
    <row r="56" spans="2:20" x14ac:dyDescent="0.2">
      <c r="B56" t="s">
        <v>56</v>
      </c>
      <c r="T56">
        <f>+main!L8/model!T54</f>
        <v>15.04467547063782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Simão Clemente</dc:creator>
  <cp:lastModifiedBy>Simão Clemente</cp:lastModifiedBy>
  <dcterms:created xsi:type="dcterms:W3CDTF">2026-05-05T17:38:34Z</dcterms:created>
  <dcterms:modified xsi:type="dcterms:W3CDTF">2026-05-06T17:43:10Z</dcterms:modified>
</cp:coreProperties>
</file>