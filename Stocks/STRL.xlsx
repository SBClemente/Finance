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cademiafaedupt-my.sharepoint.com/personal/sbclemente_academiafa_edu_pt/Documents/Gigs/WorkingFolder/Finance_Shared/Stocks/"/>
    </mc:Choice>
  </mc:AlternateContent>
  <xr:revisionPtr revIDLastSave="1146" documentId="8_{B545E1BF-2927-43D5-8405-594A178A0AC9}" xr6:coauthVersionLast="47" xr6:coauthVersionMax="47" xr10:uidLastSave="{2528B899-ACFF-44B4-AAA0-B5D89F350629}"/>
  <bookViews>
    <workbookView xWindow="-120" yWindow="-120" windowWidth="29040" windowHeight="15720" activeTab="1" xr2:uid="{1BEF828C-02E6-431E-A642-8952B3B3BABE}"/>
  </bookViews>
  <sheets>
    <sheet name="main" sheetId="1" r:id="rId1"/>
    <sheet name="mode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2" i="1" l="1"/>
  <c r="O3" i="1" s="1"/>
  <c r="Q19" i="2"/>
  <c r="R19" i="2"/>
  <c r="S13" i="2"/>
  <c r="Q59" i="2"/>
  <c r="P59" i="2"/>
  <c r="Q60" i="2"/>
  <c r="R60" i="2"/>
  <c r="R59" i="2"/>
  <c r="Q36" i="2"/>
  <c r="Q44" i="2" s="1"/>
  <c r="Q32" i="2"/>
  <c r="Q28" i="2"/>
  <c r="Q27" i="2"/>
  <c r="R36" i="2"/>
  <c r="R44" i="2" s="1"/>
  <c r="L6" i="1"/>
  <c r="R32" i="2"/>
  <c r="R28" i="2"/>
  <c r="R27" i="2"/>
  <c r="S18" i="2"/>
  <c r="T18" i="2" s="1"/>
  <c r="U18" i="2" s="1"/>
  <c r="V18" i="2" s="1"/>
  <c r="W18" i="2" s="1"/>
  <c r="X18" i="2" s="1"/>
  <c r="Q15" i="2"/>
  <c r="P13" i="2"/>
  <c r="P9" i="2"/>
  <c r="P11" i="2" s="1"/>
  <c r="P8" i="2"/>
  <c r="P22" i="2" s="1"/>
  <c r="Q2" i="2"/>
  <c r="R2" i="2" s="1"/>
  <c r="S2" i="2" s="1"/>
  <c r="T2" i="2" s="1"/>
  <c r="U2" i="2" s="1"/>
  <c r="V2" i="2" s="1"/>
  <c r="W2" i="2" s="1"/>
  <c r="X2" i="2" s="1"/>
  <c r="Y2" i="2" s="1"/>
  <c r="I21" i="2"/>
  <c r="H21" i="2"/>
  <c r="G21" i="2"/>
  <c r="E13" i="2"/>
  <c r="I13" i="2"/>
  <c r="D13" i="2"/>
  <c r="H13" i="2"/>
  <c r="C13" i="2"/>
  <c r="G13" i="2"/>
  <c r="F9" i="2"/>
  <c r="Q9" i="2" s="1"/>
  <c r="F7" i="2"/>
  <c r="Q7" i="2" s="1"/>
  <c r="F6" i="2"/>
  <c r="Q6" i="2" s="1"/>
  <c r="J15" i="2"/>
  <c r="R15" i="2" s="1"/>
  <c r="J9" i="2"/>
  <c r="R9" i="2" s="1"/>
  <c r="J7" i="2"/>
  <c r="R7" i="2" s="1"/>
  <c r="S7" i="2" s="1"/>
  <c r="T7" i="2" s="1"/>
  <c r="U7" i="2" s="1"/>
  <c r="V7" i="2" s="1"/>
  <c r="W7" i="2" s="1"/>
  <c r="X7" i="2" s="1"/>
  <c r="J6" i="2"/>
  <c r="R6" i="2" s="1"/>
  <c r="C10" i="2"/>
  <c r="C11" i="2" s="1"/>
  <c r="C8" i="2"/>
  <c r="C22" i="2" s="1"/>
  <c r="G10" i="2"/>
  <c r="G11" i="2" s="1"/>
  <c r="G8" i="2"/>
  <c r="G22" i="2" s="1"/>
  <c r="D10" i="2"/>
  <c r="D11" i="2" s="1"/>
  <c r="D8" i="2"/>
  <c r="D22" i="2" s="1"/>
  <c r="H10" i="2"/>
  <c r="H11" i="2" s="1"/>
  <c r="E8" i="2"/>
  <c r="E22" i="2" s="1"/>
  <c r="H8" i="2"/>
  <c r="H22" i="2" s="1"/>
  <c r="I8" i="2"/>
  <c r="E10" i="2"/>
  <c r="E11" i="2" s="1"/>
  <c r="I10" i="2"/>
  <c r="I11" i="2" s="1"/>
  <c r="F23" i="1" a="1"/>
  <c r="F23" i="1" s="1"/>
  <c r="G23" i="1" s="1"/>
  <c r="F11" i="1" a="1"/>
  <c r="F11" i="1" s="1"/>
  <c r="G11" i="1" s="1"/>
  <c r="D11" i="1" a="1"/>
  <c r="D11" i="1" s="1"/>
  <c r="F26" i="1" a="1"/>
  <c r="F26" i="1" s="1"/>
  <c r="G26" i="1" s="1"/>
  <c r="F25" i="1" a="1"/>
  <c r="F25" i="1" s="1"/>
  <c r="G25" i="1" s="1"/>
  <c r="F24" i="1" a="1"/>
  <c r="F24" i="1" s="1"/>
  <c r="G24" i="1" s="1"/>
  <c r="F22" i="1" a="1"/>
  <c r="F22" i="1" s="1"/>
  <c r="G22" i="1" s="1"/>
  <c r="F21" i="1" a="1"/>
  <c r="F21" i="1" s="1"/>
  <c r="G21" i="1" s="1"/>
  <c r="F20" i="1" a="1"/>
  <c r="F20" i="1" s="1"/>
  <c r="G20" i="1" s="1"/>
  <c r="F19" i="1" a="1"/>
  <c r="F19" i="1" s="1"/>
  <c r="G19" i="1" s="1"/>
  <c r="F18" i="1" a="1"/>
  <c r="F18" i="1" s="1"/>
  <c r="G18" i="1" s="1"/>
  <c r="F17" i="1" a="1"/>
  <c r="F17" i="1" s="1"/>
  <c r="G17" i="1" s="1"/>
  <c r="F16" i="1" a="1"/>
  <c r="F16" i="1" s="1"/>
  <c r="G16" i="1" s="1"/>
  <c r="F15" i="1" a="1"/>
  <c r="F15" i="1" s="1"/>
  <c r="G15" i="1" s="1"/>
  <c r="F14" i="1" a="1"/>
  <c r="F14" i="1" s="1"/>
  <c r="G14" i="1" s="1"/>
  <c r="F13" i="1" a="1"/>
  <c r="F13" i="1" s="1"/>
  <c r="G13" i="1" s="1"/>
  <c r="F12" i="1" a="1"/>
  <c r="F12" i="1" s="1"/>
  <c r="G12" i="1" s="1"/>
  <c r="D26" i="1" a="1"/>
  <c r="D26" i="1" s="1"/>
  <c r="D25" i="1" a="1"/>
  <c r="D25" i="1" s="1"/>
  <c r="D24" i="1" a="1"/>
  <c r="D24" i="1" s="1"/>
  <c r="D23" i="1" a="1"/>
  <c r="D23" i="1" s="1"/>
  <c r="D22" i="1" a="1"/>
  <c r="D22" i="1" s="1"/>
  <c r="D21" i="1" a="1"/>
  <c r="D21" i="1" s="1"/>
  <c r="D20" i="1" a="1"/>
  <c r="D20" i="1" s="1"/>
  <c r="D19" i="1" a="1"/>
  <c r="D19" i="1" s="1"/>
  <c r="D18" i="1" a="1"/>
  <c r="D18" i="1" s="1"/>
  <c r="D17" i="1" a="1"/>
  <c r="D17" i="1" s="1"/>
  <c r="D16" i="1" a="1"/>
  <c r="D16" i="1" s="1"/>
  <c r="D15" i="1" a="1"/>
  <c r="D15" i="1" s="1"/>
  <c r="D14" i="1" a="1"/>
  <c r="D14" i="1" s="1"/>
  <c r="D13" i="1" a="1"/>
  <c r="D13" i="1" s="1"/>
  <c r="D12" i="1" a="1"/>
  <c r="D12" i="1" s="1"/>
  <c r="I10" i="1"/>
  <c r="J10" i="1" s="1"/>
  <c r="K10" i="1" s="1"/>
  <c r="L10" i="1" s="1"/>
  <c r="L5" i="1"/>
  <c r="L4" i="1"/>
  <c r="L7" i="1" s="1"/>
  <c r="Q34" i="2" l="1"/>
  <c r="Q46" i="2" s="1"/>
  <c r="Q47" i="2" s="1"/>
  <c r="R34" i="2"/>
  <c r="R46" i="2" s="1"/>
  <c r="R47" i="2" s="1"/>
  <c r="Q8" i="2"/>
  <c r="Q22" i="2" s="1"/>
  <c r="Q21" i="2"/>
  <c r="R21" i="2"/>
  <c r="R8" i="2"/>
  <c r="S9" i="2"/>
  <c r="P12" i="2"/>
  <c r="J21" i="2"/>
  <c r="J10" i="2"/>
  <c r="J11" i="2" s="1"/>
  <c r="J8" i="2"/>
  <c r="J22" i="2" s="1"/>
  <c r="I12" i="2"/>
  <c r="I23" i="2" s="1"/>
  <c r="J13" i="2"/>
  <c r="R13" i="2" s="1"/>
  <c r="F10" i="2"/>
  <c r="F11" i="2" s="1"/>
  <c r="I22" i="2"/>
  <c r="F13" i="2"/>
  <c r="Q13" i="2" s="1"/>
  <c r="F8" i="2"/>
  <c r="F22" i="2" s="1"/>
  <c r="C12" i="2"/>
  <c r="G12" i="2"/>
  <c r="D12" i="2"/>
  <c r="E12" i="2"/>
  <c r="H12" i="2"/>
  <c r="Q10" i="2" l="1"/>
  <c r="Q11" i="2" s="1"/>
  <c r="Q12" i="2" s="1"/>
  <c r="Q23" i="2" s="1"/>
  <c r="T9" i="2"/>
  <c r="R22" i="2"/>
  <c r="P14" i="2"/>
  <c r="P23" i="2"/>
  <c r="S8" i="2"/>
  <c r="T6" i="2"/>
  <c r="U6" i="2" s="1"/>
  <c r="V6" i="2" s="1"/>
  <c r="W6" i="2" s="1"/>
  <c r="X6" i="2" s="1"/>
  <c r="S21" i="2"/>
  <c r="R10" i="2"/>
  <c r="I14" i="2"/>
  <c r="I16" i="2" s="1"/>
  <c r="J12" i="2"/>
  <c r="J14" i="2" s="1"/>
  <c r="F12" i="2"/>
  <c r="F23" i="2" s="1"/>
  <c r="H14" i="2"/>
  <c r="H23" i="2"/>
  <c r="E14" i="2"/>
  <c r="E23" i="2"/>
  <c r="D14" i="2"/>
  <c r="D23" i="2"/>
  <c r="G14" i="2"/>
  <c r="G23" i="2"/>
  <c r="C14" i="2"/>
  <c r="C23" i="2"/>
  <c r="F14" i="2" l="1"/>
  <c r="F24" i="2" s="1"/>
  <c r="Q14" i="2"/>
  <c r="Q24" i="2" s="1"/>
  <c r="S10" i="2"/>
  <c r="R11" i="2"/>
  <c r="R12" i="2" s="1"/>
  <c r="S22" i="2"/>
  <c r="P16" i="2"/>
  <c r="P24" i="2"/>
  <c r="U9" i="2"/>
  <c r="T8" i="2"/>
  <c r="T22" i="2" s="1"/>
  <c r="T21" i="2"/>
  <c r="U21" i="2"/>
  <c r="U8" i="2"/>
  <c r="J23" i="2"/>
  <c r="I24" i="2"/>
  <c r="H16" i="2"/>
  <c r="H24" i="2"/>
  <c r="J16" i="2"/>
  <c r="J24" i="2"/>
  <c r="I17" i="2"/>
  <c r="C16" i="2"/>
  <c r="C17" i="2" s="1"/>
  <c r="C24" i="2"/>
  <c r="G16" i="2"/>
  <c r="G24" i="2"/>
  <c r="D16" i="2"/>
  <c r="D17" i="2" s="1"/>
  <c r="D24" i="2"/>
  <c r="E16" i="2"/>
  <c r="E17" i="2" s="1"/>
  <c r="E24" i="2"/>
  <c r="P17" i="2" l="1"/>
  <c r="P52" i="2"/>
  <c r="F16" i="2"/>
  <c r="F17" i="2" s="1"/>
  <c r="Q17" i="2" s="1"/>
  <c r="Q16" i="2"/>
  <c r="Q52" i="2" s="1"/>
  <c r="V9" i="2"/>
  <c r="R14" i="2"/>
  <c r="R23" i="2"/>
  <c r="T10" i="2"/>
  <c r="S11" i="2"/>
  <c r="S12" i="2" s="1"/>
  <c r="U22" i="2"/>
  <c r="V21" i="2"/>
  <c r="V8" i="2"/>
  <c r="J17" i="2"/>
  <c r="H17" i="2"/>
  <c r="H25" i="2"/>
  <c r="G17" i="2"/>
  <c r="G25" i="2"/>
  <c r="I25" i="2"/>
  <c r="J25" i="2" l="1"/>
  <c r="Q25" i="2"/>
  <c r="Q50" i="2"/>
  <c r="Q49" i="2"/>
  <c r="S14" i="2"/>
  <c r="S23" i="2"/>
  <c r="R17" i="2"/>
  <c r="S17" i="2" s="1"/>
  <c r="U10" i="2"/>
  <c r="T11" i="2"/>
  <c r="T12" i="2" s="1"/>
  <c r="R16" i="2"/>
  <c r="R52" i="2" s="1"/>
  <c r="R24" i="2"/>
  <c r="W9" i="2"/>
  <c r="V22" i="2"/>
  <c r="W21" i="2"/>
  <c r="W8" i="2"/>
  <c r="S19" i="2" l="1"/>
  <c r="T17" i="2"/>
  <c r="R25" i="2"/>
  <c r="R50" i="2"/>
  <c r="R49" i="2"/>
  <c r="X9" i="2"/>
  <c r="T23" i="2"/>
  <c r="V10" i="2"/>
  <c r="U11" i="2"/>
  <c r="U12" i="2" s="1"/>
  <c r="S15" i="2"/>
  <c r="S24" i="2" s="1"/>
  <c r="W22" i="2"/>
  <c r="X21" i="2"/>
  <c r="X8" i="2"/>
  <c r="T19" i="2" l="1"/>
  <c r="U17" i="2"/>
  <c r="S16" i="2"/>
  <c r="S25" i="2"/>
  <c r="U23" i="2"/>
  <c r="W10" i="2"/>
  <c r="V11" i="2"/>
  <c r="V12" i="2" s="1"/>
  <c r="X22" i="2"/>
  <c r="U19" i="2" l="1"/>
  <c r="V17" i="2"/>
  <c r="S27" i="2"/>
  <c r="V23" i="2"/>
  <c r="X10" i="2"/>
  <c r="X11" i="2" s="1"/>
  <c r="X12" i="2" s="1"/>
  <c r="X23" i="2" s="1"/>
  <c r="W11" i="2"/>
  <c r="W12" i="2" s="1"/>
  <c r="V19" i="2" l="1"/>
  <c r="W17" i="2"/>
  <c r="T13" i="2"/>
  <c r="T14" i="2" s="1"/>
  <c r="W23" i="2"/>
  <c r="X17" i="2" l="1"/>
  <c r="X19" i="2" s="1"/>
  <c r="W19" i="2"/>
  <c r="T15" i="2"/>
  <c r="T24" i="2" s="1"/>
  <c r="T16" i="2"/>
  <c r="T25" i="2" l="1"/>
  <c r="T27" i="2"/>
  <c r="U13" i="2" l="1"/>
  <c r="U14" i="2" s="1"/>
  <c r="U15" i="2" l="1"/>
  <c r="U24" i="2" s="1"/>
  <c r="U16" i="2"/>
  <c r="U25" i="2" l="1"/>
  <c r="U27" i="2"/>
  <c r="V13" i="2" l="1"/>
  <c r="V14" i="2" s="1"/>
  <c r="V15" i="2" l="1"/>
  <c r="V24" i="2" s="1"/>
  <c r="V16" i="2" l="1"/>
  <c r="V25" i="2" l="1"/>
  <c r="V27" i="2"/>
  <c r="W13" i="2" l="1"/>
  <c r="W14" i="2" s="1"/>
  <c r="W15" i="2" l="1"/>
  <c r="W24" i="2" s="1"/>
  <c r="W16" i="2" l="1"/>
  <c r="W25" i="2" s="1"/>
  <c r="W27" i="2" l="1"/>
  <c r="X13" i="2" s="1"/>
  <c r="X14" i="2" s="1"/>
  <c r="X15" i="2" l="1"/>
  <c r="X24" i="2" s="1"/>
  <c r="X16" i="2" l="1"/>
  <c r="Y16" i="2"/>
  <c r="Z16" i="2" s="1"/>
  <c r="AA16" i="2" s="1"/>
  <c r="AB16" i="2" s="1"/>
  <c r="AC16" i="2" s="1"/>
  <c r="AD16" i="2" s="1"/>
  <c r="AE16" i="2" s="1"/>
  <c r="AF16" i="2" s="1"/>
  <c r="AG16" i="2" s="1"/>
  <c r="AH16" i="2" s="1"/>
  <c r="AI16" i="2" s="1"/>
  <c r="AJ16" i="2" s="1"/>
  <c r="AK16" i="2" s="1"/>
  <c r="AL16" i="2" s="1"/>
  <c r="AM16" i="2" s="1"/>
  <c r="AN16" i="2" s="1"/>
  <c r="AO16" i="2" s="1"/>
  <c r="AP16" i="2" s="1"/>
  <c r="AQ16" i="2" s="1"/>
  <c r="AR16" i="2" s="1"/>
  <c r="AS16" i="2" s="1"/>
  <c r="AT16" i="2" s="1"/>
  <c r="AU16" i="2" s="1"/>
  <c r="AV16" i="2" s="1"/>
  <c r="AW16" i="2" s="1"/>
  <c r="AX16" i="2" s="1"/>
  <c r="AY16" i="2" s="1"/>
  <c r="AZ16" i="2" s="1"/>
  <c r="BA16" i="2" s="1"/>
  <c r="BB16" i="2" s="1"/>
  <c r="BC16" i="2" s="1"/>
  <c r="BD16" i="2" s="1"/>
  <c r="BE16" i="2" s="1"/>
  <c r="BF16" i="2" s="1"/>
  <c r="BG16" i="2" s="1"/>
  <c r="BH16" i="2" s="1"/>
  <c r="BI16" i="2" s="1"/>
  <c r="BJ16" i="2" s="1"/>
  <c r="BK16" i="2" s="1"/>
  <c r="BL16" i="2" s="1"/>
  <c r="BM16" i="2" s="1"/>
  <c r="BN16" i="2" s="1"/>
  <c r="BO16" i="2" s="1"/>
  <c r="BP16" i="2" s="1"/>
  <c r="BQ16" i="2" s="1"/>
  <c r="BR16" i="2" s="1"/>
  <c r="BS16" i="2" s="1"/>
  <c r="BT16" i="2" s="1"/>
  <c r="BU16" i="2" s="1"/>
  <c r="BV16" i="2" s="1"/>
  <c r="BW16" i="2" s="1"/>
  <c r="BX16" i="2" s="1"/>
  <c r="BY16" i="2" s="1"/>
  <c r="BZ16" i="2" s="1"/>
  <c r="CA16" i="2" s="1"/>
  <c r="CB16" i="2" s="1"/>
  <c r="CC16" i="2" s="1"/>
  <c r="CD16" i="2" s="1"/>
  <c r="CE16" i="2" s="1"/>
  <c r="CF16" i="2" s="1"/>
  <c r="X25" i="2"/>
  <c r="X27" i="2"/>
  <c r="AA21" i="2" l="1"/>
  <c r="AA22" i="2" s="1"/>
  <c r="AA2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tc={AA14B904-F15E-4735-88F5-D356CA8CD3DA}</author>
  </authors>
  <commentList>
    <comment ref="L11" authorId="0" shapeId="0" xr:uid="{AA14B904-F15E-4735-88F5-D356CA8CD3D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Guidance (3.7-3.8Bi)</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futureMetadata>
  <cellMetadata count="1">
    <bk>
      <rc t="1" v="0"/>
    </bk>
  </cellMetadata>
  <valueMetadata count="16">
    <bk>
      <rc t="2" v="0"/>
    </bk>
    <bk>
      <rc t="2" v="1"/>
    </bk>
    <bk>
      <rc t="2" v="2"/>
    </bk>
    <bk>
      <rc t="2" v="3"/>
    </bk>
    <bk>
      <rc t="2" v="4"/>
    </bk>
    <bk>
      <rc t="2" v="5"/>
    </bk>
    <bk>
      <rc t="2" v="6"/>
    </bk>
    <bk>
      <rc t="2" v="7"/>
    </bk>
    <bk>
      <rc t="2" v="8"/>
    </bk>
    <bk>
      <rc t="2" v="9"/>
    </bk>
    <bk>
      <rc t="2" v="10"/>
    </bk>
    <bk>
      <rc t="2" v="11"/>
    </bk>
    <bk>
      <rc t="2" v="12"/>
    </bk>
    <bk>
      <rc t="2" v="13"/>
    </bk>
    <bk>
      <rc t="2" v="14"/>
    </bk>
    <bk>
      <rc t="2" v="15"/>
    </bk>
  </valueMetadata>
</metadata>
</file>

<file path=xl/sharedStrings.xml><?xml version="1.0" encoding="utf-8"?>
<sst xmlns="http://schemas.openxmlformats.org/spreadsheetml/2006/main" count="97" uniqueCount="74">
  <si>
    <t>Price</t>
  </si>
  <si>
    <t>Shares</t>
  </si>
  <si>
    <t>MC</t>
  </si>
  <si>
    <t>Cash</t>
  </si>
  <si>
    <t>Debt</t>
  </si>
  <si>
    <t>EV</t>
  </si>
  <si>
    <t>Q125</t>
  </si>
  <si>
    <t>Q225</t>
  </si>
  <si>
    <t>Q325</t>
  </si>
  <si>
    <t>Q425</t>
  </si>
  <si>
    <t>Q126</t>
  </si>
  <si>
    <t>Q124</t>
  </si>
  <si>
    <t>Q224</t>
  </si>
  <si>
    <t>Q324</t>
  </si>
  <si>
    <t>Q424</t>
  </si>
  <si>
    <t>Revenue</t>
  </si>
  <si>
    <t>Cost</t>
  </si>
  <si>
    <t>Gross Profit</t>
  </si>
  <si>
    <t>GA</t>
  </si>
  <si>
    <t>Other</t>
  </si>
  <si>
    <t>Operarting Income</t>
  </si>
  <si>
    <t>OPEX</t>
  </si>
  <si>
    <t>Interest Income</t>
  </si>
  <si>
    <t>PRETAX</t>
  </si>
  <si>
    <t>TAX</t>
  </si>
  <si>
    <t>NI</t>
  </si>
  <si>
    <t>EPS</t>
  </si>
  <si>
    <t xml:space="preserve"> </t>
  </si>
  <si>
    <t>Bioard</t>
  </si>
  <si>
    <t>William T. Bosway</t>
  </si>
  <si>
    <t>E-Infrastructure Solutions</t>
  </si>
  <si>
    <t>Transportation Solutions</t>
  </si>
  <si>
    <t>Building Solutions</t>
  </si>
  <si>
    <t>Peers</t>
  </si>
  <si>
    <t>Ticker</t>
  </si>
  <si>
    <t>Rev</t>
  </si>
  <si>
    <t>Revenue Growth %</t>
  </si>
  <si>
    <t>Gross %</t>
  </si>
  <si>
    <t>Operating %</t>
  </si>
  <si>
    <t>Tax Rate</t>
  </si>
  <si>
    <t>NI Growth</t>
  </si>
  <si>
    <t>AR</t>
  </si>
  <si>
    <t>PPE</t>
  </si>
  <si>
    <t>Leases</t>
  </si>
  <si>
    <t>Intagibles</t>
  </si>
  <si>
    <t>Other Current</t>
  </si>
  <si>
    <t>Other Ncurrent</t>
  </si>
  <si>
    <t>Assets</t>
  </si>
  <si>
    <t>AP</t>
  </si>
  <si>
    <t>Compensations</t>
  </si>
  <si>
    <t>CLeases</t>
  </si>
  <si>
    <t>NCLeases</t>
  </si>
  <si>
    <t>DT</t>
  </si>
  <si>
    <t>ONCLiabilities</t>
  </si>
  <si>
    <t>Liabilities</t>
  </si>
  <si>
    <t>S/E</t>
  </si>
  <si>
    <t>L+S/E</t>
  </si>
  <si>
    <t>CFFO</t>
  </si>
  <si>
    <t>CFFI</t>
  </si>
  <si>
    <t>CFFF</t>
  </si>
  <si>
    <t>SBC</t>
  </si>
  <si>
    <t>Capex</t>
  </si>
  <si>
    <t>CFC</t>
  </si>
  <si>
    <t>uFCF</t>
  </si>
  <si>
    <t>NPV</t>
  </si>
  <si>
    <t>Per Share</t>
  </si>
  <si>
    <t>Ratio</t>
  </si>
  <si>
    <t>ROA</t>
  </si>
  <si>
    <t>ROE</t>
  </si>
  <si>
    <t>Model NI</t>
  </si>
  <si>
    <t>Reported NI</t>
  </si>
  <si>
    <t>Buybacks</t>
  </si>
  <si>
    <t>Date</t>
  </si>
  <si>
    <t xml:space="preserve">EV/EBITDA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</si>
</sst>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0.00\ &quot;€&quot;;[Red]\-#,##0.00\ &quot;€&quot;"/>
    <numFmt numFmtId="164" formatCode="_([$$-409]* #,##0.00_);_([$$-409]* \(#,##0.00\);_([$$-409]* &quot;-&quot;??_);_(@_)"/>
    <numFmt numFmtId="165" formatCode="#,##0.0"/>
    <numFmt numFmtId="166" formatCode="0.0%"/>
  </numFmts>
  <fonts count="2" x14ac:knownFonts="1">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3" fontId="0" fillId="0" borderId="0" xfId="0" applyNumberFormat="1"/>
    <xf numFmtId="0" fontId="1" fillId="0" borderId="0" xfId="0" applyFont="1"/>
    <xf numFmtId="164" fontId="0" fillId="0" borderId="0" xfId="0" applyNumberFormat="1"/>
    <xf numFmtId="4" fontId="0" fillId="0" borderId="0" xfId="0" applyNumberFormat="1"/>
    <xf numFmtId="3" fontId="1" fillId="0" borderId="0" xfId="0" applyNumberFormat="1" applyFont="1"/>
    <xf numFmtId="9" fontId="0" fillId="0" borderId="0" xfId="0" applyNumberFormat="1"/>
    <xf numFmtId="8" fontId="0" fillId="0" borderId="0" xfId="0" applyNumberFormat="1"/>
    <xf numFmtId="166" fontId="0" fillId="0" borderId="0" xfId="0" applyNumberFormat="1"/>
    <xf numFmtId="165"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10/relationships/person" Target="persons/perso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17</xdr:col>
      <xdr:colOff>666750</xdr:colOff>
      <xdr:row>0</xdr:row>
      <xdr:rowOff>76200</xdr:rowOff>
    </xdr:from>
    <xdr:to>
      <xdr:col>18</xdr:col>
      <xdr:colOff>0</xdr:colOff>
      <xdr:row>62</xdr:row>
      <xdr:rowOff>9525</xdr:rowOff>
    </xdr:to>
    <xdr:cxnSp macro="">
      <xdr:nvCxnSpPr>
        <xdr:cNvPr id="3" name="Conexão reta 2">
          <a:extLst>
            <a:ext uri="{FF2B5EF4-FFF2-40B4-BE49-F238E27FC236}">
              <a16:creationId xmlns:a16="http://schemas.microsoft.com/office/drawing/2014/main" id="{7253091F-E1C3-1B30-7F57-BEAB0B8AA19E}"/>
            </a:ext>
          </a:extLst>
        </xdr:cNvPr>
        <xdr:cNvCxnSpPr/>
      </xdr:nvCxnSpPr>
      <xdr:spPr>
        <a:xfrm flipH="1">
          <a:off x="13068300" y="76200"/>
          <a:ext cx="19050" cy="10629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676275</xdr:colOff>
      <xdr:row>1</xdr:row>
      <xdr:rowOff>0</xdr:rowOff>
    </xdr:from>
    <xdr:to>
      <xdr:col>10</xdr:col>
      <xdr:colOff>9525</xdr:colOff>
      <xdr:row>62</xdr:row>
      <xdr:rowOff>114300</xdr:rowOff>
    </xdr:to>
    <xdr:cxnSp macro="">
      <xdr:nvCxnSpPr>
        <xdr:cNvPr id="8" name="Conexão reta 7">
          <a:extLst>
            <a:ext uri="{FF2B5EF4-FFF2-40B4-BE49-F238E27FC236}">
              <a16:creationId xmlns:a16="http://schemas.microsoft.com/office/drawing/2014/main" id="{B8A76F4E-DF3A-4F31-A994-C236E28C1404}"/>
            </a:ext>
          </a:extLst>
        </xdr:cNvPr>
        <xdr:cNvCxnSpPr/>
      </xdr:nvCxnSpPr>
      <xdr:spPr>
        <a:xfrm flipH="1">
          <a:off x="7591425" y="180975"/>
          <a:ext cx="19050" cy="10629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Simão Clemente" id="{BC9D69C5-DADE-4F8E-B125-5E0F8C9D88BC}" userId="S::SBClemente@academiafa.edu.pt::0a3b96b0-0a1c-4477-83a8-9643b485cb8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8">
  <rv s="0">
    <v>https://www.bing.com/financeapi/forcetrigger?t=a23qmw&amp;q=XNAS%3aSTRL&amp;form=skydnc</v>
    <v>Learn more on Bing</v>
  </rv>
  <rv s="1">
    <v>pt-BR</v>
    <v>a23qmw</v>
    <v>268435456</v>
    <v>1</v>
    <v>Da plataforma Refinitiv</v>
    <v>0</v>
    <v>1</v>
    <v>Sterling Infra (XNAS:STRL)</v>
    <v>3</v>
    <v>4</v>
    <v>Finance</v>
    <v>5</v>
    <v>893.13</v>
    <v>183.4</v>
    <v>XNAS</v>
    <v>30685950</v>
    <v>5.9789999999999999E-3</v>
    <v>5.04</v>
    <v>848</v>
    <v>1991</v>
    <v>776</v>
    <v>1.7448999999999999</v>
    <v>Nasdaq Stock Market</v>
    <v>16245139727</v>
    <v>Sterling Infrastructure, Inc. operates through its subsidiaries within three segments which include E-Infrastructure, Transportation and Building Solutions in the United States, primarily across the Southern, Northeastern, Mid-Atlantic and Rocky Mountain regions and the Pacific Islands. The E-Infrastructure segment provides site development services and electrical services for data centers, semiconductor fabrication, manufacturing, distribution centers, warehousing, power generation and more. The Transportation segment includes infrastructure and rehabilitation projects for highways, roads, bridges, airports, ports, rail and storm drainage systems. The Building segment includes residential and commercial concrete foundations for single-family and multifamily homes, parking structures, elevated slabs, other concrete work, plumbing services, and surveys for new single-family residential builds. Its geographic markets are Texas, Dallas-Fort Worth, Houston and surrounding communities.</v>
    <v>XNAS</v>
    <v>782.12</v>
    <v>4400</v>
    <v>46170.89616695547</v>
    <v>0</v>
    <v>663355</v>
    <v>USD</v>
    <v>Sterling Infra</v>
    <v>Sterling Infra</v>
    <v>75.364500000000007</v>
    <v>781.74</v>
    <v>842.96</v>
    <v>848</v>
    <v>1800 Hughes Landing Blvd., Suite 250, THE WOODLANDS, TX, 77380 US</v>
    <v>Construction &amp; Engineering</v>
    <v>STRL</v>
    <v>Ações</v>
    <v>Sterling Infra (XNAS:STRL)</v>
    <v>60.84</v>
    <v>7.7788999999999997E-2</v>
    <v>1074808</v>
  </rv>
  <rv s="2">
    <v>1</v>
  </rv>
  <rv s="0">
    <v>https://www.bing.com/financeapi/forcetrigger?t=a1ng7w&amp;q=XNYS%3aAMRC&amp;form=skydnc</v>
    <v>Learn more on Bing</v>
  </rv>
  <rv s="1">
    <v>pt-BR</v>
    <v>a1ng7w</v>
    <v>268435456</v>
    <v>1</v>
    <v>Da plataforma Refinitiv</v>
    <v>0</v>
    <v>1</v>
    <v>Ameresco (XNYS:AMRC)</v>
    <v>3</v>
    <v>4</v>
    <v>Finance</v>
    <v>5</v>
    <v>44.93</v>
    <v>12.96</v>
    <v>XNYS</v>
    <v>52951420</v>
    <v>9.300000000000001E-3</v>
    <v>0.34</v>
    <v>36.92</v>
    <v>2000</v>
    <v>35.270000000000003</v>
    <v>2.5769000000000002</v>
    <v>New York Stock Exchange</v>
    <v>1934315372</v>
    <v>Ameresco, Inc. is an energy infrastructure solutions provider. The Company's portfolio includes implementing smart energy efficiency solutions, upgrading aging infrastructure, and developing, constructing, and operating distributed energy resources. Its North America Regions, U.S. Federal and Europe segments include the design, engineering and installation of equipment and other measures to improve the efficiency and control the operation of a facility's energy infrastructure, renewable energy solutions and services and the development and construction of small-scale plants. Its Renewable Fuels segment, formerly Alternative Fuels segment, sells electricity and processed renewable natural gas (RNG) derived from biomethane from small-scale plants that it owns and operates and provides operations and maintenance services for customer-owned small-scale plants. The Company's All Other segment offers consulting services and the sale of solar photovoltaic energy products and systems.</v>
    <v>XNYS</v>
    <v>35.94</v>
    <v>1601</v>
    <v>46170.893479606253</v>
    <v>3</v>
    <v>618993</v>
    <v>USD</v>
    <v>Ameresco</v>
    <v>Ameresco</v>
    <v>62.960999999999999</v>
    <v>35.6</v>
    <v>36.53</v>
    <v>36.9</v>
    <v>111 Speen St, FRAMINGHAM, MA, 01701-2000 US</v>
    <v>Renewable Energy</v>
    <v>AMRC</v>
    <v>Ações</v>
    <v>Ameresco (XNYS:AMRC)</v>
    <v>0.59</v>
    <v>1.6416E-2</v>
    <v>457780</v>
  </rv>
  <rv s="2">
    <v>4</v>
  </rv>
  <rv s="0">
    <v>https://www.bing.com/financeapi/forcetrigger?t=bn68c7&amp;q=XNYS%3aACA&amp;form=skydnc</v>
    <v>Learn more on Bing</v>
  </rv>
  <rv s="1">
    <v>pt-BR</v>
    <v>bn68c7</v>
    <v>268435456</v>
    <v>1</v>
    <v>Da plataforma Refinitiv</v>
    <v>0</v>
    <v>1</v>
    <v>Arcosa (XNYS:ACA)</v>
    <v>3</v>
    <v>4</v>
    <v>Finance</v>
    <v>6</v>
    <v>135.58000000000001</v>
    <v>81.91</v>
    <v>XNYS</v>
    <v>49096360</v>
    <v>0</v>
    <v>0</v>
    <v>128.85</v>
    <v>2018</v>
    <v>120.76</v>
    <v>1.0649</v>
    <v>New York Stock Exchange</v>
    <v>6242111210</v>
    <v>Arcosa, Inc. is a provider of infrastructure-related products and solutions. The Company’s two principal business segments include Construction Products and Engineered Structures. The Construction Products segment primarily produces and sells natural and recycled aggregates, specialty materials, asphalt mix, and construction site support equipment, including trench shields and shoring products. It also produces recycled aggregates in the U.S. with operations in Texas, New Jersey, California, Florida, and Arizona. The Engineered Structures segment primarily manufactures and sells steel and concrete structures for infrastructure businesses, including utility structures for electricity transmission and distribution, structural wind towers, traffic and lighting structures, and telecommunication structures. These products share similar manufacturing competencies and steel sourcing requirements and can be manufactured across our North American footprint.</v>
    <v>XNYS</v>
    <v>126.74</v>
    <v>6390</v>
    <v>46170.873542407033</v>
    <v>6</v>
    <v>292059</v>
    <v>USD</v>
    <v>Arcosa</v>
    <v>Arcosa</v>
    <v>30.029800000000002</v>
    <v>128.85</v>
    <v>127.14</v>
    <v>127.14</v>
    <v>500 N Akard St Ste 400, DALLAS, TX, 75201-3332 US</v>
    <v>Construction &amp; Engineering</v>
    <v>ACA</v>
    <v>Ações</v>
    <v>Arcosa (XNYS:ACA)</v>
    <v>0.4</v>
    <v>3.156E-3</v>
    <v>247376</v>
  </rv>
  <rv s="2">
    <v>7</v>
  </rv>
  <rv s="0">
    <v>https://www.bing.com/financeapi/forcetrigger?t=a1nuhw&amp;q=XNAS%3aASTE&amp;form=skydnc</v>
    <v>Learn more on Bing</v>
  </rv>
  <rv s="1">
    <v>pt-BR</v>
    <v>a1nuhw</v>
    <v>268435456</v>
    <v>1</v>
    <v>Da plataforma Refinitiv</v>
    <v>0</v>
    <v>1</v>
    <v>Astec Industries (XNAS:ASTE)</v>
    <v>3</v>
    <v>4</v>
    <v>Finance</v>
    <v>6</v>
    <v>65.69</v>
    <v>36.430100000000003</v>
    <v>XNAS</v>
    <v>22992630</v>
    <v>-1.9391000000000002E-2</v>
    <v>-0.98</v>
    <v>51.35</v>
    <v>1972</v>
    <v>50.18</v>
    <v>1.3996</v>
    <v>Nasdaq Stock Market</v>
    <v>1162047520</v>
    <v>Astec Industries, Inc. is a manufacturer of specialized equipment for asphalt road building, aggregate processing and concrete production. The Company’s manufacturing operations are divided into two business segments: Infrastructure Solutions and Materials Solutions. The Infrastructure Solutions segment designs, engineers, manufactures and markets a complete line of asphalt plants, concrete plants and their related components and ancillary equipment, including industrial automation controls and telematics platforms, as well as asphalt road construction equipment, industrial thermal systems, land clearing, recycling and other heavy equipment. The Materials Solutions segment designs and manufactures heavy rock processing equipment, in addition to servicing and supplying parts for the aggregate, mining, recycling, ports and bulk handling markets. It also operates a line of controls and automation products designed to deliver enhanced productivity through improved equipment performance.</v>
    <v>XNAS</v>
    <v>51.07</v>
    <v>4468</v>
    <v>46170.8700196875</v>
    <v>9</v>
    <v>241766</v>
    <v>USD</v>
    <v>Astec Industries</v>
    <v>Astec Industries</v>
    <v>45.404699999999998</v>
    <v>50.69</v>
    <v>50.54</v>
    <v>49.56</v>
    <v>1725 Shepherd Rd, CHATTANOOGA, TN, 37421 US</v>
    <v>Machinery, Equipment &amp; Components</v>
    <v>ASTE</v>
    <v>Ações</v>
    <v>Astec Industries (XNAS:ASTE)</v>
    <v>-0.53</v>
    <v>-1.0378E-2</v>
    <v>151339</v>
  </rv>
  <rv s="2">
    <v>10</v>
  </rv>
  <rv s="0">
    <v>https://www.bing.com/financeapi/forcetrigger?t=a1ubgh&amp;q=XNYS%3aGTLS&amp;form=skydnc</v>
    <v>Learn more on Bing</v>
  </rv>
  <rv s="3">
    <v>pt-BR</v>
    <v>a1ubgh</v>
    <v>268435456</v>
    <v>1</v>
    <v>Da plataforma Refinitiv</v>
    <v>7</v>
    <v>8</v>
    <v>Chart Industries (XNYS:GTLS)</v>
    <v>3</v>
    <v>9</v>
    <v>Finance</v>
    <v>6</v>
    <v>208.76499999999999</v>
    <v>140.5</v>
    <v>XNYS</v>
    <v>47869080</v>
    <v>0</v>
    <v>0</v>
    <v>207.96</v>
    <v>1992</v>
    <v>207.5</v>
    <v>1.5369999999999999</v>
    <v>New York Stock Exchange</v>
    <v>9954853876</v>
    <v>Chart Industries, Inc. is engaged in the designing, engineering, and manufacturing of process technologies and equipment for gas and liquid molecule handling for the Nexus of Clean-clean power, clean water, clean food, and clean industrials, regardless of molecule. The Company's Cryo Tank Solutions segment designs and manufactures and supplies bulk, microbulk and mobile equipment used in the storage, distribution, vaporization, and application of industrial gases and certain hydrocarbons. Its Heat Transfer Systems segment facilitates natural gas, petrochemical processing, petroleum refining, power generation and industrial gas companies in the production or processing of their products. Its Specialty Products segment supplies highly engineered equipment and process technologies used in specialty end-market applications for hydrogen and helium, LNG, biofuels, carbon capture, food and beverage, metals and mining, aerospace, space exploration, lasers, and water treatment, among others.</v>
    <v>XNYS</v>
    <v>207.71</v>
    <v>11777</v>
    <v>46170.873539883592</v>
    <v>12</v>
    <v>1080150</v>
    <v>USD</v>
    <v>Chart Industries</v>
    <v>Chart Industries</v>
    <v>207.71</v>
    <v>207.96</v>
    <v>207.96</v>
    <v>8665 New Trails Drive, Suite 100, THE WOODLANDS, TX, 77381 US</v>
    <v>Machinery, Equipment &amp; Components</v>
    <v>GTLS</v>
    <v>Ações</v>
    <v>Chart Industries (XNYS:GTLS)</v>
    <v>0.25</v>
    <v>1.204E-3</v>
    <v>999225</v>
  </rv>
  <rv s="2">
    <v>13</v>
  </rv>
  <rv s="0">
    <v>https://www.bing.com/financeapi/forcetrigger?t=a1pwnm&amp;q=XNAS%3aCMCO&amp;form=skydnc</v>
    <v>Learn more on Bing</v>
  </rv>
  <rv s="1">
    <v>pt-BR</v>
    <v>a1pwnm</v>
    <v>268435456</v>
    <v>1</v>
    <v>Da plataforma Refinitiv</v>
    <v>0</v>
    <v>1</v>
    <v>Columbus McKin (XNAS:CMCO)</v>
    <v>3</v>
    <v>4</v>
    <v>Finance</v>
    <v>5</v>
    <v>24.4</v>
    <v>13.31</v>
    <v>XNAS</v>
    <v>28739370</v>
    <v>0</v>
    <v>0</v>
    <v>16.22</v>
    <v>1929</v>
    <v>15.74</v>
    <v>1.3898999999999999</v>
    <v>Nasdaq Stock Market</v>
    <v>462991250</v>
    <v>Columbus McKinnon Corporation is a designer, manufacturer and marketer of intelligent motion solutions for material handling. Its key products include hoists, crane components, precision conveyor systems, rigging tools, light rail workstations and digital power and motion control systems. The Company focuses on commercial and industrial applications that require the safety and quality provided by its design and engineering know-how. Its products include a wide variety of electric, air-powered, lever, and hand hoists, hoist trolleys, explosion-protected hoists, winches, and aluminum work stations; alloy and carbon steel chain; forged attachments, such as hooks, shackles, textile slings, clamps, and load binders; mechanical and electromechanical actuators and rotary unions; below-the-hook special purpose lifters; and power and motion control systems, among others. Its target market verticals include manufacturing, transportation, energy and utilities, aerospace, and others.</v>
    <v>XNAS</v>
    <v>16.28</v>
    <v>3478</v>
    <v>46170.898305925781</v>
    <v>15</v>
    <v>305730</v>
    <v>USD</v>
    <v>Columbus McKin</v>
    <v>Columbus McKin</v>
    <v>77.489199999999997</v>
    <v>16.12</v>
    <v>16.11</v>
    <v>16.11</v>
    <v>13320 Ballantyne Corporate Place, Suite D, CHARLOTTE, NC, 28277 US</v>
    <v>Machinery, Equipment &amp; Components</v>
    <v>CMCO</v>
    <v>Ações</v>
    <v>Columbus McKin (XNAS:CMCO)</v>
    <v>-0.17</v>
    <v>-1.0442E-2</v>
    <v>276372</v>
  </rv>
  <rv s="2">
    <v>16</v>
  </rv>
  <rv s="0">
    <v>https://www.bing.com/financeapi/forcetrigger?t=a1sxp2&amp;q=XNYS%3aFIX&amp;form=skydnc</v>
    <v>Learn more on Bing</v>
  </rv>
  <rv s="1">
    <v>pt-BR</v>
    <v>a1sxp2</v>
    <v>268435456</v>
    <v>1</v>
    <v>Da plataforma Refinitiv</v>
    <v>0</v>
    <v>1</v>
    <v>Comfort Sys (XNYS:FIX)</v>
    <v>3</v>
    <v>4</v>
    <v>Finance</v>
    <v>5</v>
    <v>2073.9883</v>
    <v>465.05</v>
    <v>XNYS</v>
    <v>35202420</v>
    <v>5.6599999999999992E-3</v>
    <v>10.5</v>
    <v>1880.49</v>
    <v>1996</v>
    <v>1810.5709999999999</v>
    <v>1.6758</v>
    <v>New York Stock Exchange</v>
    <v>65337803665</v>
    <v>Comfort Systems USA, Inc. is a provider of commercial, industrial and institutional heating, ventilation, air conditioning (HVAC), mechanical and electrical contracting services. Its segments include Mechanical and Electrical. The Mechanical segment includes HVAC, plumbing, piping, and controls, as well as off-site construction, monitoring and fire protection. It also installs connecting and distribution elements, such as piping and ducting. The Electrical segment includes installation and servicing of electrical systems. It builds, installs, maintains, repairs and replaces mechanical, electrical and plumbing systems throughout its over 50 operating units with 190 locations in 142 cities throughout the United States. It is engaged in offering engineering, design-assist and turnkey, direct hire construction services of modular systems serving the advanced technology, power and industrial sectors. It also provides mechanical construction services to the commercial and industrial sectors.</v>
    <v>XNYS</v>
    <v>1867.09</v>
    <v>22700</v>
    <v>46170.900810613282</v>
    <v>18</v>
    <v>420585</v>
    <v>USD</v>
    <v>Comfort Sys</v>
    <v>Comfort Sys</v>
    <v>53.5715</v>
    <v>1866.92</v>
    <v>1856.06</v>
    <v>1865.65</v>
    <v>9753 Katy Freeway, Suite 700, HOUSTON, TX, 77024 US</v>
    <v>Construction &amp; Engineering</v>
    <v>FIX</v>
    <v>Ações</v>
    <v>Comfort Sys (XNYS:FIX)</v>
    <v>-11.03</v>
    <v>-5.9080000000000001E-3</v>
    <v>344969</v>
  </rv>
  <rv s="2">
    <v>19</v>
  </rv>
  <rv s="0">
    <v>https://www.bing.com/financeapi/forcetrigger?t=aztv8m&amp;q=XNAS%3aROAD&amp;form=skydnc</v>
    <v>Learn more on Bing</v>
  </rv>
  <rv s="1">
    <v>pt-BR</v>
    <v>aztv8m</v>
    <v>268435456</v>
    <v>1</v>
    <v>Da plataforma Refinitiv</v>
    <v>0</v>
    <v>1</v>
    <v>CPI. (XNAS:ROAD)</v>
    <v>3</v>
    <v>4</v>
    <v>Finance</v>
    <v>6</v>
    <v>151</v>
    <v>93.22</v>
    <v>XNAS</v>
    <v>56534740</v>
    <v>5.8270000000000001E-4</v>
    <v>7.0000000000000007E-2</v>
    <v>120.41500000000001</v>
    <v>2007</v>
    <v>112.6</v>
    <v>0.88929999999999998</v>
    <v>Nasdaq Stock Market</v>
    <v>6791518316</v>
    <v>Construction Partners, Inc. is a vertically integrated civil infrastructure company operating in local markets throughout the Sunbelt in Alabama, Florida, Georgia, North Carolina, Oklahoma, South Carolina, Tennessee and Texas. Through its wholly owned subsidiaries, the Company provides a variety of products and services to both public and private infrastructure projects, with an emphasis on highways, roads, bridges, airports and commercial and residential developments. Its primary operations consist of manufacturing and distributing hot mix asphalt (HMA) for both internal use and sales to third parties in connection with construction projects; paving activities, including the construction of roadway base layers and application of asphalt pavement; site development, including the installation of utility and drainage systems, and mining aggregates, such as sand, gravel and construction stone, that are used as raw materials in the production of HMA and for sales to third parties.</v>
    <v>XNAS</v>
    <v>116.29</v>
    <v>1639</v>
    <v>46170.888350635934</v>
    <v>21</v>
    <v>547835</v>
    <v>USD</v>
    <v>CPI.</v>
    <v>CPI.</v>
    <v>52.700200000000002</v>
    <v>115.12</v>
    <v>120.13</v>
    <v>120.2</v>
    <v>290 Healthwest Dr Ste 2, DOTHAN, AL, 36303-2051 US</v>
    <v>Construction &amp; Engineering</v>
    <v>ROAD</v>
    <v>Ações</v>
    <v>CPI. (XNAS:ROAD)</v>
    <v>3.84</v>
    <v>3.3020999999999995E-2</v>
    <v>521956</v>
  </rv>
  <rv s="2">
    <v>22</v>
  </rv>
  <rv s="0">
    <v>https://www.bing.com/financeapi/forcetrigger?t=a1rif2&amp;q=XNYS%3aDY&amp;form=skydnc</v>
    <v>Learn more on Bing</v>
  </rv>
  <rv s="1">
    <v>pt-BR</v>
    <v>a1rif2</v>
    <v>268435456</v>
    <v>1</v>
    <v>Da plataforma Refinitiv</v>
    <v>0</v>
    <v>1</v>
    <v>Dycom Industries (XNYS:DY)</v>
    <v>3</v>
    <v>4</v>
    <v>Finance</v>
    <v>5</v>
    <v>566.46500000000003</v>
    <v>225.3</v>
    <v>XNYS</v>
    <v>30018600</v>
    <v>-3.1580000000000002E-3</v>
    <v>-1.69</v>
    <v>551.86</v>
    <v>1969</v>
    <v>523.77</v>
    <v>1.5005999999999999</v>
    <v>New York Stock Exchange</v>
    <v>16071358068</v>
    <v>Dycom Industries, Inc. is a provider of specialty contracting services focused on the digital infrastructure, telecommunications and utilities industries throughout the United States. These services include program management, planning, engineering and design; aerial, underground, and wireless construction; maintenance; and fulfillment services for telecommunications and digital infrastructure providers. The Company also provides electrical contracting services for data centers and other vital industries, underground facility locating services for various utilities, including telecommunications providers, as well as other construction and maintenance services for electric and gas utilities. It provides engineering services to telecommunications providers, including the planning and design of aerial, underground, and buried fiber optic, copper, and coaxial cable systems that extend from the telephone company hub location, or cable operator headend, to a consumer’s home or business.</v>
    <v>XNYS</v>
    <v>529.13</v>
    <v>19556</v>
    <v>46170.900524582816</v>
    <v>24</v>
    <v>448591</v>
    <v>USD</v>
    <v>Dycom Industries</v>
    <v>Dycom Industries</v>
    <v>51.109299999999998</v>
    <v>523.77</v>
    <v>535.38</v>
    <v>533.51</v>
    <v>11780 US Highway 1 Suite 600, FL, 33408 US</v>
    <v>Construction &amp; Engineering</v>
    <v>DY</v>
    <v>Ações</v>
    <v>Dycom Industries (XNYS:DY)</v>
    <v>6.25</v>
    <v>1.1812E-2</v>
    <v>1284646</v>
  </rv>
  <rv s="2">
    <v>25</v>
  </rv>
  <rv s="0">
    <v>https://www.bing.com/financeapi/forcetrigger?t=a1sia2&amp;q=XNYS%3aEXP&amp;form=skydnc</v>
    <v>Learn more on Bing</v>
  </rv>
  <rv s="1">
    <v>pt-BR</v>
    <v>a1sia2</v>
    <v>268435456</v>
    <v>1</v>
    <v>Da plataforma Refinitiv</v>
    <v>0</v>
    <v>1</v>
    <v>EAGLE MATERIALS INC. (XNYS:EXP)</v>
    <v>3</v>
    <v>4</v>
    <v>Finance</v>
    <v>6</v>
    <v>243.64</v>
    <v>171.99</v>
    <v>XNYS</v>
    <v>30948150</v>
    <v>0</v>
    <v>0</v>
    <v>220.03</v>
    <v>1994</v>
    <v>211.1</v>
    <v>1.3740000000000001</v>
    <v>New York Stock Exchange</v>
    <v>6776406924</v>
    <v>Eagle Materials Inc. É um fabricante de materiais de construção pesados e materiais de construção leves nos Estados Unidos. Seus produtos preliminares são o cimento Portland e o Wallboard da gipsita, que são usados na construção, na expansão e na reparação de estradas, nas estradas e nas estruturas residenciais, comerciais e industriais. Seus segmentos incluem Cimento; segmentos de Concreto e Agregados; Wallboard de Gesso e Papelão Reciclado. O seu negócio está organizado em dois setores: Materiais Pesados, que inclui os segmentos Cimento e Betão e Agregados; e Materiais Leves, que inclui os segmentos de Papel de Parede de Gesso e Papel Reciclado. Fabrica e vende seus produtos através de uma rede de aproximadamente 70 instalações em 21 estados. Opera aproximadamente oito fábricas de cimento, duas instalações de moagem de escória e 30 terminais de distribuição de cimento. Opera mais de 25 fábricas de concreto pré-misturado, sete fábricas de processamento de agregados, cinco fábricas de gesso cartonado e uma fábrica de papelão reciclado</v>
    <v>XNYS</v>
    <v>214.74</v>
    <v>2800</v>
    <v>46170.840334803128</v>
    <v>27</v>
    <v>381993</v>
    <v>USD</v>
    <v>EAGLE MATERIALS INC.</v>
    <v>EAGLE MATERIALS INC.</v>
    <v>16.371200000000002</v>
    <v>214.05</v>
    <v>218.96</v>
    <v>218.96</v>
    <v>5960 Berkshire Lane, Suite 900, DALLAS, TX, 75225 US</v>
    <v>Construction Materials</v>
    <v>EXP</v>
    <v>Ações</v>
    <v>EAGLE MATERIALS INC. (XNYS:EXP)</v>
    <v>4.22</v>
    <v>1.9651999999999999E-2</v>
    <v>304523</v>
  </rv>
  <rv s="2">
    <v>28</v>
  </rv>
  <rv s="0">
    <v>https://www.bing.com/financeapi/forcetrigger?t=a1rwjc&amp;q=XNYS%3aEME&amp;form=skydnc</v>
    <v>Learn more on Bing</v>
  </rv>
  <rv s="1">
    <v>pt-BR</v>
    <v>a1rwjc</v>
    <v>268435456</v>
    <v>1</v>
    <v>Da plataforma Refinitiv</v>
    <v>0</v>
    <v>1</v>
    <v>EMCOR Grp (XNYS:EME)</v>
    <v>3</v>
    <v>4</v>
    <v>Finance</v>
    <v>5</v>
    <v>951.96</v>
    <v>455.14010000000002</v>
    <v>XNYS</v>
    <v>44440280</v>
    <v>1.0077000000000001E-2</v>
    <v>8.5500000000000007</v>
    <v>863.65499999999997</v>
    <v>1987</v>
    <v>839</v>
    <v>1.1391</v>
    <v>New York Stock Exchange</v>
    <v>37716910038</v>
    <v>EMCOR Group, Inc. is a specialty contractor in the United States and a provider of electrical and mechanical construction and facilities services, building services, and industrial services. The Company’s services are provided to a range of commercial, technology, manufacturing, industrial, healthcare, utility, and institutional customers through approximately 100 operating subsidiaries. Such operating subsidiaries are organized into the various reportable segments, including the United States electrical construction and facilities services, United States mechanical construction and facilities services, United States building services, and United States industrial services. Its electrical and mechanical construction services primarily involve the design, integration, installation, start-up, operation and maintenance, and provision of services relating to roadway and transit lighting and signaling and fiber optic lines, and fire protection and suppression systems.</v>
    <v>XNYS</v>
    <v>855.26</v>
    <v>44000</v>
    <v>46170.898965960158</v>
    <v>30</v>
    <v>366341</v>
    <v>USD</v>
    <v>EMCOR Grp</v>
    <v>EMCOR Grp</v>
    <v>28.473400000000002</v>
    <v>856.07</v>
    <v>848.71</v>
    <v>857</v>
    <v>301 Merritt Seven, NORWALK, CT, 06851-1092 US</v>
    <v>Construction &amp; Engineering</v>
    <v>EME</v>
    <v>Ações</v>
    <v>EMCOR Grp (XNYS:EME)</v>
    <v>-6.55</v>
    <v>-7.6580000000000007E-3</v>
    <v>335219</v>
  </rv>
  <rv s="2">
    <v>31</v>
  </rv>
  <rv s="0">
    <v>https://www.bing.com/financeapi/forcetrigger?t=a1ud3m&amp;q=XNYS%3aGVA&amp;form=skydnc</v>
    <v>Learn more on Bing</v>
  </rv>
  <rv s="1">
    <v>pt-BR</v>
    <v>a1ud3m</v>
    <v>268435456</v>
    <v>1</v>
    <v>Da plataforma Refinitiv</v>
    <v>0</v>
    <v>1</v>
    <v>Granite Constr (XNYS:GVA)</v>
    <v>3</v>
    <v>4</v>
    <v>Finance</v>
    <v>6</v>
    <v>145</v>
    <v>87.72</v>
    <v>XNYS</v>
    <v>43746700</v>
    <v>0</v>
    <v>0</v>
    <v>140</v>
    <v>1990</v>
    <v>135.85</v>
    <v>1.3311999999999999</v>
    <v>New York Stock Exchange</v>
    <v>6006859377</v>
    <v>Granite Construction Incorporated is a diversified construction and construction materials company in the United States as well as a full-suite civil construction provider. The Company's segments include Construction and Materials. The Construction segment is focused on construction and rehabilitation of roads, pavement preservation, bridges, rail lines, airports, marine ports, dams, reservoirs, aqueducts, infrastructure and site development for use by the general public and water-related construction for municipal agencies, commercial water suppliers, industrial facilities and energy companies. It also provides construction of various complex projects including infrastructure/site development, mining, public safety, tunnel, solar, battery storage and other power-related projects. The Materials segment is focused on production of aggregates, asphalt concrete, liquid asphalt and recycled materials production for internal use in its construction projects and for sale to third parties.</v>
    <v>XNYS</v>
    <v>134.65</v>
    <v>2500</v>
    <v>46170.871899814061</v>
    <v>33</v>
    <v>749213</v>
    <v>USD</v>
    <v>Granite Constr</v>
    <v>Granite Constr</v>
    <v>38.835900000000002</v>
    <v>136.58000000000001</v>
    <v>137.31</v>
    <v>137.31</v>
    <v>585 W Beach St, WATSONVILLE, CA, 95076 US</v>
    <v>Construction &amp; Engineering</v>
    <v>GVA</v>
    <v>Ações</v>
    <v>Granite Constr (XNYS:GVA)</v>
    <v>2.66</v>
    <v>1.9755000000000002E-2</v>
    <v>608658</v>
  </rv>
  <rv s="2">
    <v>34</v>
  </rv>
  <rv s="0">
    <v>https://www.bing.com/financeapi/forcetrigger?t=a1vbsm&amp;q=XNAS%3aIESC&amp;form=skydnc</v>
    <v>Learn more on Bing</v>
  </rv>
  <rv s="1">
    <v>pt-BR</v>
    <v>a1vbsm</v>
    <v>268435456</v>
    <v>1</v>
    <v>Da plataforma Refinitiv</v>
    <v>0</v>
    <v>1</v>
    <v>IES Hldg (XNAS:IESC)</v>
    <v>3</v>
    <v>4</v>
    <v>Finance</v>
    <v>6</v>
    <v>713.81500000000005</v>
    <v>246.43</v>
    <v>XNAS</v>
    <v>19923890</v>
    <v>4.3490000000000004E-3</v>
    <v>3.04</v>
    <v>702.09</v>
    <v>1997</v>
    <v>665</v>
    <v>1.7987</v>
    <v>Nasdaq Stock Market</v>
    <v>13926002154</v>
    <v>IES Holdings, Inc. designs and installs integrated electrical and technology systems and provides infrastructure products and services to a variety of end markets, including data centers, residential housing, and commercial and industrial facilities. Its Communications segment is a national provider of technology infrastructure services, including the design, build and maintenance of communications infrastructure. Its Residential segment is a regional provider of electrical installation services for single-family housing and multifamily apartment complexes. Its Infrastructure Solutions segment is a provider of electro-mechanical solutions for industrial operations, including apparatus repair and custom-engineered products. It is also a steel fabricator and service provider to the industrial, energy and government sectors. Its Commercial &amp; Industrial segment is a provider of electrical and mechanical design, construction and maintenance services to the commercial and industrial markets.</v>
    <v>XNAS</v>
    <v>694.2</v>
    <v>10262</v>
    <v>46170.888928367967</v>
    <v>36</v>
    <v>222710</v>
    <v>USD</v>
    <v>IES Hldg</v>
    <v>IES Hldg</v>
    <v>37.048299999999998</v>
    <v>690.57</v>
    <v>698.96</v>
    <v>702</v>
    <v>13131 DAIRY ASHFORD ROAD, SUITE 500, HOUSTON, TX, 77478 US</v>
    <v>Construction &amp; Engineering</v>
    <v>IESC</v>
    <v>Ações</v>
    <v>IES Hldg (XNAS:IESC)</v>
    <v>4.76</v>
    <v>6.8569999999999994E-3</v>
    <v>237680</v>
  </rv>
  <rv s="2">
    <v>37</v>
  </rv>
  <rv s="0">
    <v>https://www.bing.com/financeapi/forcetrigger?t=a1y8cw&amp;q=XNAS%3aMYRG&amp;form=skydnc</v>
    <v>Learn more on Bing</v>
  </rv>
  <rv s="1">
    <v>pt-BR</v>
    <v>a1y8cw</v>
    <v>268435456</v>
    <v>1</v>
    <v>Da plataforma Refinitiv</v>
    <v>0</v>
    <v>1</v>
    <v>MYR Group (XNAS:MYRG)</v>
    <v>3</v>
    <v>4</v>
    <v>Finance</v>
    <v>6</v>
    <v>484.71</v>
    <v>154.62</v>
    <v>XNAS</v>
    <v>15571040</v>
    <v>2.2550000000000001E-3</v>
    <v>1.08</v>
    <v>484.71</v>
    <v>1982</v>
    <v>459.79770000000002</v>
    <v>1.3239000000000001</v>
    <v>Nasdaq Stock Market</v>
    <v>7457438187</v>
    <v>MYR Group Inc. is a holding company. The Company, through its subsidiaries, provides specialty electrical construction services, which serve the electric utility infrastructure, commercial and industrial construction markets. It operates through two electrical contracting service segments: Transmission and Distribution (T&amp;D) and Commercial and Industrial (C&amp;I). Its T&amp;D segment provides services on electric transmission and distribution networks, substation facilities, which include design, engineering, procurement, construction, upgrade and maintenance and repair services, with a focus on construction, maintenance and repair. It also provides restoration services in response to hurricanes, ice storms or other storm related events. Its C&amp;I segment provides services including design, installation, maintenance and repair of commercial and industrial wiring, the installation of intelligent transportation systems, roadway lighting, signalization and electric vehicle charging infrastructure.</v>
    <v>XNAS</v>
    <v>471.99</v>
    <v>9000</v>
    <v>46170.880685103904</v>
    <v>39</v>
    <v>307289</v>
    <v>USD</v>
    <v>MYR Group</v>
    <v>MYR Group</v>
    <v>52.028300000000002</v>
    <v>476.04</v>
    <v>478.93</v>
    <v>480.01</v>
    <v>12121 Grant Street, Suite 610, THORNTON, CO, 80241 US</v>
    <v>Construction &amp; Engineering</v>
    <v>MYRG</v>
    <v>Ações</v>
    <v>MYR Group (XNAS:MYRG)</v>
    <v>6.94</v>
    <v>1.4704E-2</v>
    <v>308951</v>
  </rv>
  <rv s="2">
    <v>40</v>
  </rv>
  <rv s="0">
    <v>https://www.bing.com/financeapi/forcetrigger?t=a216ww&amp;q=XNAS%3aPRIM&amp;form=skydnc</v>
    <v>Learn more on Bing</v>
  </rv>
  <rv s="1">
    <v>pt-BR</v>
    <v>a216ww</v>
    <v>268435456</v>
    <v>1</v>
    <v>Da plataforma Refinitiv</v>
    <v>0</v>
    <v>1</v>
    <v>Primoris Serv (XNYS:PRIM)</v>
    <v>3</v>
    <v>4</v>
    <v>Finance</v>
    <v>6</v>
    <v>205.5</v>
    <v>70.680000000000007</v>
    <v>XNYS</v>
    <v>54254940</v>
    <v>2.6775000000000004E-2</v>
    <v>3.39</v>
    <v>130.72499999999999</v>
    <v>2006</v>
    <v>124.4</v>
    <v>1.4080999999999999</v>
    <v>New York Stock Exchange</v>
    <v>11004662067</v>
    <v>Primoris Services Corporation is a provider of critical infrastructure services to the utility, energy, and renewables markets throughout the United States and Canada. It provides a range of construction, maintenance, replacement, fabrication, and engineering services to a diversified base of customers through its two segments: Utilities, and Energy. Utilities segment offers services, including the installation and maintenance of new and existing natural gas and electric utility distribution and transmission systems, and communications systems. Energy segment operates throughout the United States and Canada and specializes in a range of services that include engineering, procurement, construction, and maintenance services for entities in the energy, renewable energy and energy storage, renewable fuels, and petroleum and petrochemical industries, as well as state departments of transportation. It provides services to a diversified base of customers, under a range of contracting options.</v>
    <v>XNYS</v>
    <v>130.63</v>
    <v>3055</v>
    <v>46170.869548066403</v>
    <v>42</v>
    <v>2292227</v>
    <v>USD</v>
    <v>Primoris Serv</v>
    <v>Primoris Serv</v>
    <v>27.9801</v>
    <v>129.91999999999999</v>
    <v>126.61</v>
    <v>130</v>
    <v>2300 N. Field Street, Suite 1900, DALLAS, TX, 75201 US</v>
    <v>Construction &amp; Engineering</v>
    <v>PRIM</v>
    <v>Ações</v>
    <v>Primoris Serv (XNYS:PRIM)</v>
    <v>-4.0199999999999996</v>
    <v>-3.0773999999999999E-2</v>
    <v>2066322</v>
  </rv>
  <rv s="2">
    <v>43</v>
  </rv>
  <rv s="0">
    <v>https://www.bing.com/financeapi/forcetrigger?t=a21gh7&amp;q=XNYS%3aPWR&amp;form=skydnc</v>
    <v>Learn more on Bing</v>
  </rv>
  <rv s="1">
    <v>pt-BR</v>
    <v>a21gh7</v>
    <v>268435456</v>
    <v>1</v>
    <v>Da plataforma Refinitiv</v>
    <v>0</v>
    <v>1</v>
    <v>QUANTA SERVICES, INC. (XNYS:PWR)</v>
    <v>3</v>
    <v>4</v>
    <v>Finance</v>
    <v>5</v>
    <v>788.75</v>
    <v>336.57</v>
    <v>XNYS</v>
    <v>150060200</v>
    <v>6.0270000000000002E-3</v>
    <v>4.4000000000000004</v>
    <v>739.8</v>
    <v>1997</v>
    <v>718.7</v>
    <v>1.2229000000000001</v>
    <v>New York Stock Exchange</v>
    <v>109590464661</v>
    <v>Quanta Services, Inc. Fornece soluções especializadas de infraestrutura para a utilidade, energia renovável, tecnologia, comunicações, pipeline, e indústrias de energia nos Estados Unidos, Canadá, Austrália e selecionar outros mercados internacionais. A Empresa fornece serviços de engenharia, aquisição, construção, atualização e reparação e manutenção de infra-estruturas dentro de cada uma dessas indústrias, incluindo redes de transmissão e distribuição de energia elétrica; instalações de subestações; instalações de geração e transmissão eólica e solar e armazenamento de baterias; sistemas elétricos para instalações de data center, comerciais e industriais; redes de operadores de comunicações e cabos multisistemas de energia; sistemas de gás; sistemas e instalações de transmissão de dutos e instalações industriais a jusante. Atua através de três segmentos: Soluções de Infraestrutura de Energia Elétrica, Soluções de Infraestrutura de Energia Renovável e Soluções Subterrâneas de Utilidades e Infraestrutura.</v>
    <v>XNYS</v>
    <v>733.62</v>
    <v>69500</v>
    <v>46170.901307626562</v>
    <v>45</v>
    <v>1235282</v>
    <v>USD</v>
    <v>QUANTA SERVICES, INC.</v>
    <v>QUANTA SERVICES, INC.</v>
    <v>100.2003</v>
    <v>737.74</v>
    <v>730.31</v>
    <v>734.5</v>
    <v>2727 NORTH LOOP WEST, HOUSTON, TX, 77008 US</v>
    <v>Construction &amp; Engineering</v>
    <v>PWR</v>
    <v>Ações</v>
    <v>QUANTA SERVICES, INC. (XNYS:PWR)</v>
    <v>-3.31</v>
    <v>-4.5119999999999995E-3</v>
    <v>719908</v>
  </rv>
  <rv s="2">
    <v>46</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Preço (Horário prolongado)"/>
    <k n="Sede" t="s"/>
    <k n="Setor" t="s"/>
    <k n="Símbolo do ticker" t="s"/>
    <k n="Tipo de instrumento" t="s"/>
    <k n="UniqueName" t="s"/>
    <k n="Variação"/>
    <k n="Variação (%)"/>
    <k n="Volume"/>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eração % (Horário prolongado)"/>
    <k n="Alteração (Horário prolongad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ndência"/>
    <k n="Preço"/>
    <k n="Preço (Horário prolongado)"/>
    <k n="Sede" t="s"/>
    <k n="Setor" t="s"/>
    <k n="Símbolo do ticker" t="s"/>
    <k n="Tipo de instrumento" t="s"/>
    <k n="UniqueName" t="s"/>
    <k n="Variação"/>
    <k n="Variação (%)"/>
    <k n="Volume"/>
  </s>
</rvStructures>
</file>

<file path=xl/richData/rdsupportingpropertybag.xml><?xml version="1.0" encoding="utf-8"?>
<supportingPropertyBags xmlns="http://schemas.microsoft.com/office/spreadsheetml/2017/richdata2">
  <spbArrays count="2">
    <a count="46">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5">
      <v t="s">%EntityServiceId</v>
      <v t="s">_Format</v>
      <v t="s">%IsRefreshable</v>
      <v t="s">_CanonicalPropertyNames</v>
      <v t="s">%EntityCulture</v>
      <v t="s">%EntityId</v>
      <v t="s">_Icon</v>
      <v t="s">_Display</v>
      <v t="s">Nome</v>
      <v t="s">_SubLabel</v>
      <v t="s">Preço</v>
      <v t="s">Preço (Horário prolongado)</v>
      <v t="s">Bolsa</v>
      <v t="s">Nome oficial</v>
      <v t="s">Hora da última transação</v>
      <v t="s">Símbolo do ticker</v>
      <v t="s">Abreviatura do câmbio</v>
      <v t="s">Variação</v>
      <v t="s">Alteração (Horário prolongado)</v>
      <v t="s">Variação (%)</v>
      <v t="s">Alteração % (Horário prolongado)</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ExchangeID</v>
      <v t="s">%ProviderInfo</v>
    </a>
  </spbArrays>
  <spbData count="10">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0</v>
      <v>Name</v>
      <v>LearnMoreOnLink</v>
    </spb>
    <spb s="2">
      <v>0</v>
      <v>0</v>
      <v>0</v>
    </spb>
    <spb s="3">
      <v>2</v>
      <v>2</v>
      <v>2</v>
      <v>2</v>
    </spb>
    <spb s="4">
      <v>1</v>
      <v>2</v>
      <v>1</v>
      <v>3</v>
      <v>2</v>
      <v>2</v>
      <v>4</v>
      <v>2</v>
      <v>2</v>
      <v>4</v>
      <v>5</v>
      <v>4</v>
      <v>6</v>
      <v>2</v>
      <v>2</v>
      <v>7</v>
      <v>4</v>
      <v>2</v>
      <v>8</v>
      <v>9</v>
      <v>2</v>
      <v>2</v>
      <v>5</v>
    </spb>
    <spb s="5">
      <v xml:space="preserve">no fechamento </v>
      <v xml:space="preserve">do fechamento anterior </v>
      <v>Origem : Nasdaq Última venda</v>
      <v xml:space="preserve">do fechamento anterior </v>
      <v>GMT</v>
      <v>Tempo Real Nasdaq Última venda</v>
      <v xml:space="preserve">do fechamento </v>
      <v xml:space="preserve">do fechamento </v>
    </spb>
    <spb s="5">
      <v xml:space="preserve">no fechamento </v>
      <v xml:space="preserve">do fechamento anterior </v>
      <v>Origem : Nasdaq</v>
      <v xml:space="preserve">do fechamento anterior </v>
      <v>GMT</v>
      <v>Atraso de 15 minutos</v>
      <v xml:space="preserve">do fechamento </v>
      <v xml:space="preserve">do fechamento </v>
    </spb>
    <spb s="6">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v>Price (Extended hours)</v>
      <v>Change (Extended hours)</v>
      <v>Change % (Extended hours)</v>
    </spb>
    <spb s="1">
      <v>1</v>
      <v>Name</v>
      <v>LearnMoreOnLink</v>
    </spb>
    <spb s="7">
      <v>2</v>
      <v>1</v>
      <v>3</v>
      <v>2</v>
      <v>2</v>
      <v>4</v>
      <v>2</v>
      <v>2</v>
      <v>4</v>
      <v>5</v>
      <v>4</v>
      <v>6</v>
      <v>2</v>
      <v>2</v>
      <v>7</v>
      <v>4</v>
      <v>2</v>
      <v>8</v>
      <v>9</v>
      <v>2</v>
      <v>2</v>
      <v>5</v>
    </spb>
  </spbData>
</supportingPropertyBags>
</file>

<file path=xl/richData/rdsupportingpropertybagstructure.xml><?xml version="1.0" encoding="utf-8"?>
<spbStructures xmlns="http://schemas.microsoft.com/office/spreadsheetml/2017/richdata2" count="8">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
    <k n="Preço" t="s"/>
    <k n="Variação" t="s"/>
    <k n="ExchangeID" t="s"/>
    <k n="Variação (%)" t="s"/>
    <k n="Hora da última transação" t="s"/>
    <k n="Preço (Horário prolongado)" t="s"/>
    <k n="Alteração (Horário prolongado)" t="s"/>
    <k n="Alteração % (Horário prolongado)" t="s"/>
  </s>
  <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k n="Preço (Horário prolongado)" t="s"/>
    <k n="Alteração (Horário prolongado)" t="s"/>
    <k n="Alteração % (Horário prolongado)" t="s"/>
  </s>
  <s>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k n="Preço (Horário prolongado)" t="i"/>
    <k n="Alteração (Horário prolongado)" t="i"/>
    <k n="Alteração % (Horário prolongado)"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5">
      <rpv i="0">#,##0.00</rpv>
    </rSty>
    <rSty dxfid="1">
      <rpv i="0">_([$$-en-US]* #,##0.00_);_([$$-en-US]* (#,##0.00);_([$$-en-US]* "-"??_);_(@_)</rpv>
    </rSty>
    <rSty>
      <rpv i="1">1</rpv>
    </rSty>
    <rSty dxfid="4">
      <rpv i="0">#,##0</rpv>
    </rSty>
    <rSty dxfid="3"/>
    <rSty dxfid="0">
      <rpv i="0">0.00</rpv>
    </rSty>
    <rSty dxfid="6">
      <rpv i="0">0</rpv>
    </rSty>
    <rSty dxfid="1">
      <rpv i="0">_([$$-en-US]* #,##0_);_([$$-en-US]* (#,##0);_([$$-en-US]* "-"_);_(@_)</rpv>
    </rSty>
    <rSty dxfid="2"/>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11" dT="2026-05-04T21:44:09.71" personId="{BC9D69C5-DADE-4F8E-B125-5E0F8C9D88BC}" id="{AA14B904-F15E-4735-88F5-D356CA8CD3DA}">
    <text>Guidance (3.7-3.8Bi)</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D2876-11C6-4479-82E5-BD92235AB8B2}">
  <dimension ref="B2:O26"/>
  <sheetViews>
    <sheetView workbookViewId="0">
      <selection activeCell="F29" sqref="F29"/>
    </sheetView>
  </sheetViews>
  <sheetFormatPr defaultRowHeight="14.25" x14ac:dyDescent="0.2"/>
  <cols>
    <col min="3" max="3" width="36.75" bestFit="1" customWidth="1"/>
    <col min="5" max="5" width="12.625" customWidth="1"/>
    <col min="6" max="6" width="13" customWidth="1"/>
    <col min="13" max="13" width="13.5" bestFit="1" customWidth="1"/>
    <col min="14" max="14" width="11.5" customWidth="1"/>
  </cols>
  <sheetData>
    <row r="2" spans="2:15" ht="15" x14ac:dyDescent="0.25">
      <c r="C2" s="2" t="s">
        <v>28</v>
      </c>
      <c r="K2" t="s">
        <v>0</v>
      </c>
      <c r="L2" s="1">
        <v>519</v>
      </c>
      <c r="N2" t="s">
        <v>5</v>
      </c>
      <c r="O2" s="1">
        <v>17000</v>
      </c>
    </row>
    <row r="3" spans="2:15" x14ac:dyDescent="0.2">
      <c r="B3">
        <v>2024</v>
      </c>
      <c r="C3" t="s">
        <v>29</v>
      </c>
      <c r="K3" t="s">
        <v>1</v>
      </c>
      <c r="L3" s="1">
        <v>30.7</v>
      </c>
      <c r="N3" t="s">
        <v>73</v>
      </c>
      <c r="O3">
        <f>+O2/L12</f>
        <v>11.486486486486486</v>
      </c>
    </row>
    <row r="4" spans="2:15" x14ac:dyDescent="0.2">
      <c r="K4" t="s">
        <v>2</v>
      </c>
      <c r="L4" s="1">
        <f>+L3*L2</f>
        <v>15933.3</v>
      </c>
    </row>
    <row r="5" spans="2:15" x14ac:dyDescent="0.2">
      <c r="K5" t="s">
        <v>3</v>
      </c>
      <c r="L5" s="1">
        <f>390.721+501.163+105.813</f>
        <v>997.697</v>
      </c>
    </row>
    <row r="6" spans="2:15" x14ac:dyDescent="0.2">
      <c r="K6" t="s">
        <v>4</v>
      </c>
      <c r="L6">
        <f>652.357+15.146+275.903</f>
        <v>943.40599999999995</v>
      </c>
    </row>
    <row r="7" spans="2:15" x14ac:dyDescent="0.2">
      <c r="K7" t="s">
        <v>5</v>
      </c>
      <c r="L7" s="1">
        <f>+L4-L5+L6</f>
        <v>15879.008999999998</v>
      </c>
    </row>
    <row r="9" spans="2:15" x14ac:dyDescent="0.2">
      <c r="H9" t="s">
        <v>35</v>
      </c>
    </row>
    <row r="10" spans="2:15" ht="15" x14ac:dyDescent="0.25">
      <c r="B10" t="s">
        <v>72</v>
      </c>
      <c r="C10" s="2" t="s">
        <v>33</v>
      </c>
      <c r="D10" t="s">
        <v>34</v>
      </c>
      <c r="F10" t="s">
        <v>0</v>
      </c>
      <c r="G10" t="s">
        <v>66</v>
      </c>
      <c r="H10">
        <v>2022</v>
      </c>
      <c r="I10">
        <f>+H10+1</f>
        <v>2023</v>
      </c>
      <c r="J10">
        <f>+I10+1</f>
        <v>2024</v>
      </c>
      <c r="K10">
        <f>+J10+1</f>
        <v>2025</v>
      </c>
      <c r="L10">
        <f>+K10+1</f>
        <v>2026</v>
      </c>
    </row>
    <row r="11" spans="2:15" ht="15" x14ac:dyDescent="0.25">
      <c r="B11" s="10">
        <v>46143</v>
      </c>
      <c r="C11" t="e" vm="1">
        <v>#VALUE!</v>
      </c>
      <c r="D11" t="str" cm="1">
        <f t="array" aca="1" ref="D11" ca="1">+_FV(C11,"Símbolo do ticker",TRUE)</f>
        <v>STRL</v>
      </c>
      <c r="E11">
        <v>515.62</v>
      </c>
      <c r="F11" s="3" cm="1">
        <f t="array" aca="1" ref="F11" ca="1">+_FV(C11,"Preço")</f>
        <v>842.96</v>
      </c>
      <c r="G11" s="6">
        <f ca="1">+F11/E11-1</f>
        <v>0.63484736821690402</v>
      </c>
      <c r="H11" s="1">
        <v>1769.4</v>
      </c>
      <c r="I11" s="1">
        <v>1972.2</v>
      </c>
      <c r="J11" s="1">
        <v>2115.8000000000002</v>
      </c>
      <c r="K11" s="1">
        <v>2490</v>
      </c>
      <c r="L11" s="5">
        <v>3700</v>
      </c>
    </row>
    <row r="12" spans="2:15" x14ac:dyDescent="0.2">
      <c r="B12" s="10">
        <v>46143</v>
      </c>
      <c r="C12" t="e" vm="2">
        <v>#VALUE!</v>
      </c>
      <c r="D12" t="str" cm="1">
        <f t="array" aca="1" ref="D12" ca="1">+_FV(C12,"Símbolo do ticker",TRUE)</f>
        <v>AMRC</v>
      </c>
      <c r="E12">
        <v>29.59</v>
      </c>
      <c r="F12" s="3" cm="1">
        <f t="array" aca="1" ref="F12" ca="1">+_FV(C12,"Preço")</f>
        <v>36.53</v>
      </c>
      <c r="G12" s="6">
        <f t="shared" ref="G12:G26" ca="1" si="0">+F12/E12-1</f>
        <v>0.2345386955052382</v>
      </c>
      <c r="H12" s="1">
        <v>1824.4</v>
      </c>
      <c r="I12" s="1">
        <v>1374.6</v>
      </c>
      <c r="J12" s="1">
        <v>1769.9</v>
      </c>
      <c r="K12" s="1"/>
      <c r="L12">
        <f>+L11*0.4</f>
        <v>1480</v>
      </c>
    </row>
    <row r="13" spans="2:15" x14ac:dyDescent="0.2">
      <c r="B13" s="10">
        <v>46143</v>
      </c>
      <c r="C13" t="e" vm="3">
        <v>#VALUE!</v>
      </c>
      <c r="D13" t="str" cm="1">
        <f t="array" aca="1" ref="D13" ca="1">+_FV(C13,"Símbolo do ticker",TRUE)</f>
        <v>ACA</v>
      </c>
      <c r="E13">
        <v>126.47</v>
      </c>
      <c r="F13" s="3" cm="1">
        <f t="array" aca="1" ref="F13" ca="1">+_FV(C13,"Preço")</f>
        <v>127.14</v>
      </c>
      <c r="G13" s="6">
        <f t="shared" ca="1" si="0"/>
        <v>5.2976990590654083E-3</v>
      </c>
      <c r="H13" s="1">
        <v>2242.8000000000002</v>
      </c>
      <c r="I13" s="1">
        <v>2307.9</v>
      </c>
      <c r="J13" s="1">
        <v>2569.9</v>
      </c>
      <c r="K13" s="1">
        <v>2883.4</v>
      </c>
    </row>
    <row r="14" spans="2:15" x14ac:dyDescent="0.2">
      <c r="B14" s="10">
        <v>46143</v>
      </c>
      <c r="C14" t="e" vm="4">
        <v>#VALUE!</v>
      </c>
      <c r="D14" t="str" cm="1">
        <f t="array" aca="1" ref="D14" ca="1">+_FV(C14,"Símbolo do ticker",TRUE)</f>
        <v>ASTE</v>
      </c>
      <c r="E14">
        <v>65.02</v>
      </c>
      <c r="F14" s="3" cm="1">
        <f t="array" aca="1" ref="F14" ca="1">+_FV(C14,"Preço")</f>
        <v>50.54</v>
      </c>
      <c r="G14" s="6">
        <f t="shared" ca="1" si="0"/>
        <v>-0.22270070747462312</v>
      </c>
      <c r="H14" s="1">
        <v>1274.5</v>
      </c>
      <c r="I14" s="1">
        <v>1338.2</v>
      </c>
      <c r="J14" s="1">
        <v>1305.0999999999999</v>
      </c>
      <c r="K14" s="1">
        <v>1410.4</v>
      </c>
    </row>
    <row r="15" spans="2:15" x14ac:dyDescent="0.2">
      <c r="B15" s="10">
        <v>46143</v>
      </c>
      <c r="C15" t="e" vm="5">
        <v>#VALUE!</v>
      </c>
      <c r="D15" t="str" cm="1">
        <f t="array" aca="1" ref="D15" ca="1">+_FV(C15,"Símbolo do ticker",TRUE)</f>
        <v>GTLS</v>
      </c>
      <c r="E15">
        <v>207.9</v>
      </c>
      <c r="F15" s="3" cm="1">
        <f t="array" aca="1" ref="F15" ca="1">+_FV(C15,"Preço")</f>
        <v>207.96</v>
      </c>
      <c r="G15" s="6">
        <f t="shared" ca="1" si="0"/>
        <v>2.8860028860022702E-4</v>
      </c>
      <c r="H15" s="1">
        <v>1612.4</v>
      </c>
      <c r="I15" s="1">
        <v>3352.5</v>
      </c>
      <c r="J15" s="1">
        <v>4160.3</v>
      </c>
      <c r="K15" s="1">
        <v>4264</v>
      </c>
    </row>
    <row r="16" spans="2:15" x14ac:dyDescent="0.2">
      <c r="B16" s="10">
        <v>46143</v>
      </c>
      <c r="C16" t="e" vm="6">
        <v>#VALUE!</v>
      </c>
      <c r="D16" t="str" cm="1">
        <f t="array" aca="1" ref="D16" ca="1">+_FV(C16,"Símbolo do ticker",TRUE)</f>
        <v>CMCO</v>
      </c>
      <c r="E16">
        <v>15.45</v>
      </c>
      <c r="F16" s="3" cm="1">
        <f t="array" aca="1" ref="F16" ca="1">+_FV(C16,"Preço")</f>
        <v>16.11</v>
      </c>
      <c r="G16" s="6">
        <f t="shared" ca="1" si="0"/>
        <v>4.2718446601941684E-2</v>
      </c>
      <c r="H16" s="1">
        <v>906.6</v>
      </c>
      <c r="I16" s="1">
        <v>936.2</v>
      </c>
      <c r="J16" s="1">
        <v>1013.5</v>
      </c>
      <c r="K16" s="1">
        <v>963</v>
      </c>
    </row>
    <row r="17" spans="2:11" x14ac:dyDescent="0.2">
      <c r="B17" s="10">
        <v>46143</v>
      </c>
      <c r="C17" t="e" vm="7">
        <v>#VALUE!</v>
      </c>
      <c r="D17" t="str" cm="1">
        <f t="array" aca="1" ref="D17" ca="1">+_FV(C17,"Símbolo do ticker",TRUE)</f>
        <v>FIX</v>
      </c>
      <c r="E17">
        <v>1840.25</v>
      </c>
      <c r="F17" s="3" cm="1">
        <f t="array" aca="1" ref="F17" ca="1">+_FV(C17,"Preço")</f>
        <v>1856.06</v>
      </c>
      <c r="G17" s="6">
        <f t="shared" ca="1" si="0"/>
        <v>8.5912240184757849E-3</v>
      </c>
      <c r="H17" s="1">
        <v>4140.3999999999996</v>
      </c>
      <c r="I17" s="1">
        <v>5206.8</v>
      </c>
      <c r="J17" s="1">
        <v>7027.5</v>
      </c>
      <c r="K17" s="1">
        <v>9101.6</v>
      </c>
    </row>
    <row r="18" spans="2:11" x14ac:dyDescent="0.2">
      <c r="B18" s="10">
        <v>46143</v>
      </c>
      <c r="C18" t="e" vm="8">
        <v>#VALUE!</v>
      </c>
      <c r="D18" t="str" cm="1">
        <f t="array" aca="1" ref="D18" ca="1">+_FV(C18,"Símbolo do ticker",TRUE)</f>
        <v>ROAD</v>
      </c>
      <c r="E18">
        <v>123.66</v>
      </c>
      <c r="F18" s="3" cm="1">
        <f t="array" aca="1" ref="F18" ca="1">+_FV(C18,"Preço")</f>
        <v>120.13</v>
      </c>
      <c r="G18" s="6">
        <f t="shared" ca="1" si="0"/>
        <v>-2.8546013262170433E-2</v>
      </c>
      <c r="H18" s="1">
        <v>1301.7</v>
      </c>
      <c r="I18" s="1">
        <v>1563.5</v>
      </c>
      <c r="J18" s="1">
        <v>1823.9</v>
      </c>
      <c r="K18" s="1">
        <v>2812.4</v>
      </c>
    </row>
    <row r="19" spans="2:11" x14ac:dyDescent="0.2">
      <c r="B19" s="10">
        <v>46143</v>
      </c>
      <c r="C19" t="e" vm="9">
        <v>#VALUE!</v>
      </c>
      <c r="D19" t="str" cm="1">
        <f t="array" aca="1" ref="D19" ca="1">+_FV(C19,"Símbolo do ticker",TRUE)</f>
        <v>DY</v>
      </c>
      <c r="E19">
        <v>414.1</v>
      </c>
      <c r="F19" s="3" cm="1">
        <f t="array" aca="1" ref="F19" ca="1">+_FV(C19,"Preço")</f>
        <v>535.38</v>
      </c>
      <c r="G19" s="6">
        <f t="shared" ca="1" si="0"/>
        <v>0.2928761168799805</v>
      </c>
      <c r="H19" s="1">
        <v>3808.5</v>
      </c>
      <c r="I19" s="1">
        <v>4175.6000000000004</v>
      </c>
      <c r="J19" s="1">
        <v>4702</v>
      </c>
      <c r="K19" s="1">
        <v>5545.9</v>
      </c>
    </row>
    <row r="20" spans="2:11" x14ac:dyDescent="0.2">
      <c r="B20" s="10">
        <v>46143</v>
      </c>
      <c r="C20" t="e" vm="10">
        <v>#VALUE!</v>
      </c>
      <c r="D20" t="str" cm="1">
        <f t="array" aca="1" ref="D20" ca="1">+_FV(C20,"Símbolo do ticker",TRUE)</f>
        <v>EXP</v>
      </c>
      <c r="E20">
        <v>210.11</v>
      </c>
      <c r="F20" s="3" cm="1">
        <f t="array" aca="1" ref="F20" ca="1">+_FV(C20,"Preço")</f>
        <v>218.96</v>
      </c>
      <c r="G20" s="6">
        <f t="shared" ca="1" si="0"/>
        <v>4.2120793869877549E-2</v>
      </c>
      <c r="H20" s="1">
        <v>1861.5</v>
      </c>
      <c r="I20" s="1">
        <v>2148.1</v>
      </c>
      <c r="J20" s="1">
        <v>2259.3000000000002</v>
      </c>
      <c r="K20" s="1">
        <v>2260.5</v>
      </c>
    </row>
    <row r="21" spans="2:11" x14ac:dyDescent="0.2">
      <c r="B21" s="10">
        <v>46143</v>
      </c>
      <c r="C21" t="e" vm="11">
        <v>#VALUE!</v>
      </c>
      <c r="D21" t="str" cm="1">
        <f t="array" aca="1" ref="D21" ca="1">+_FV(C21,"Símbolo do ticker",TRUE)</f>
        <v>EME</v>
      </c>
      <c r="E21">
        <v>891.67</v>
      </c>
      <c r="F21" s="3" cm="1">
        <f t="array" aca="1" ref="F21" ca="1">+_FV(C21,"Preço")</f>
        <v>848.71</v>
      </c>
      <c r="G21" s="6">
        <f t="shared" ca="1" si="0"/>
        <v>-4.8179259142956399E-2</v>
      </c>
      <c r="H21" s="1">
        <v>11076.1</v>
      </c>
      <c r="I21" s="1">
        <v>12582.9</v>
      </c>
      <c r="J21" s="1">
        <v>14556.1</v>
      </c>
      <c r="K21" s="1">
        <v>16986.400000000001</v>
      </c>
    </row>
    <row r="22" spans="2:11" x14ac:dyDescent="0.2">
      <c r="B22" s="10">
        <v>46143</v>
      </c>
      <c r="C22" t="e" vm="12">
        <v>#VALUE!</v>
      </c>
      <c r="D22" t="str" cm="1">
        <f t="array" aca="1" ref="D22" ca="1">+_FV(C22,"Símbolo do ticker",TRUE)</f>
        <v>GVA</v>
      </c>
      <c r="E22">
        <v>137.07</v>
      </c>
      <c r="F22" s="3" cm="1">
        <f t="array" aca="1" ref="F22" ca="1">+_FV(C22,"Preço")</f>
        <v>137.31</v>
      </c>
      <c r="G22" s="6">
        <f t="shared" ca="1" si="0"/>
        <v>1.7509301816591716E-3</v>
      </c>
      <c r="H22" s="1">
        <v>3301.3</v>
      </c>
      <c r="I22" s="1">
        <v>3509.1</v>
      </c>
      <c r="J22" s="1">
        <v>4007.6</v>
      </c>
      <c r="K22" s="1">
        <v>4424.3999999999996</v>
      </c>
    </row>
    <row r="23" spans="2:11" x14ac:dyDescent="0.2">
      <c r="B23" s="10">
        <v>46143</v>
      </c>
      <c r="C23" t="e" vm="13">
        <v>#VALUE!</v>
      </c>
      <c r="D23" t="str" cm="1">
        <f t="array" aca="1" ref="D23" ca="1">+_FV(C23,"Símbolo do ticker",TRUE)</f>
        <v>IESC</v>
      </c>
      <c r="E23">
        <v>644.08000000000004</v>
      </c>
      <c r="F23" s="3" cm="1">
        <f t="array" aca="1" ref="F23" ca="1">+_FV(C23,"Preço")</f>
        <v>698.96</v>
      </c>
      <c r="G23" s="6">
        <f t="shared" ca="1" si="0"/>
        <v>8.520680660787483E-2</v>
      </c>
      <c r="H23" s="1">
        <v>2166.8000000000002</v>
      </c>
      <c r="I23" s="1">
        <v>2377.1999999999998</v>
      </c>
      <c r="J23" s="1">
        <v>3371.5</v>
      </c>
      <c r="K23" s="1"/>
    </row>
    <row r="24" spans="2:11" x14ac:dyDescent="0.2">
      <c r="B24" s="10">
        <v>46143</v>
      </c>
      <c r="C24" t="e" vm="14">
        <v>#VALUE!</v>
      </c>
      <c r="D24" t="str" cm="1">
        <f t="array" aca="1" ref="D24" ca="1">+_FV(C24,"Símbolo do ticker",TRUE)</f>
        <v>MYRG</v>
      </c>
      <c r="E24">
        <v>404.81</v>
      </c>
      <c r="F24" s="3" cm="1">
        <f t="array" aca="1" ref="F24" ca="1">+_FV(C24,"Preço")</f>
        <v>478.93</v>
      </c>
      <c r="G24" s="6">
        <f t="shared" ca="1" si="0"/>
        <v>0.18309824362046401</v>
      </c>
      <c r="H24" s="1">
        <v>3008.5</v>
      </c>
      <c r="I24" s="1">
        <v>3643.9</v>
      </c>
      <c r="J24" s="1">
        <v>3362.3</v>
      </c>
      <c r="K24" s="1">
        <v>3657.9</v>
      </c>
    </row>
    <row r="25" spans="2:11" x14ac:dyDescent="0.2">
      <c r="B25" s="10">
        <v>46143</v>
      </c>
      <c r="C25" t="e" vm="15">
        <v>#VALUE!</v>
      </c>
      <c r="D25" t="str" cm="1">
        <f t="array" aca="1" ref="D25" ca="1">+_FV(C25,"Símbolo do ticker",TRUE)</f>
        <v>PRIM</v>
      </c>
      <c r="E25">
        <v>181.15</v>
      </c>
      <c r="F25" s="3" cm="1">
        <f t="array" aca="1" ref="F25" ca="1">+_FV(C25,"Preço")</f>
        <v>126.61</v>
      </c>
      <c r="G25" s="6">
        <f t="shared" ca="1" si="0"/>
        <v>-0.30107645597571076</v>
      </c>
      <c r="H25" s="1">
        <v>4420.6000000000004</v>
      </c>
      <c r="I25" s="1">
        <v>5715.3</v>
      </c>
      <c r="J25" s="1">
        <v>6366.8</v>
      </c>
      <c r="K25" s="1">
        <v>7574.9</v>
      </c>
    </row>
    <row r="26" spans="2:11" x14ac:dyDescent="0.2">
      <c r="B26" s="10">
        <v>46143</v>
      </c>
      <c r="C26" t="e" vm="16">
        <v>#VALUE!</v>
      </c>
      <c r="D26" t="str" cm="1">
        <f t="array" aca="1" ref="D26" ca="1">+_FV(C26,"Símbolo do ticker",TRUE)</f>
        <v>PWR</v>
      </c>
      <c r="E26">
        <v>727.77</v>
      </c>
      <c r="F26" s="3" cm="1">
        <f t="array" aca="1" ref="F26" ca="1">+_FV(C26,"Preço")</f>
        <v>730.31</v>
      </c>
      <c r="G26" s="6">
        <f t="shared" ca="1" si="0"/>
        <v>3.4901136348022277E-3</v>
      </c>
      <c r="H26" s="1">
        <v>17073.900000000001</v>
      </c>
      <c r="I26" s="1">
        <v>20882.2</v>
      </c>
      <c r="J26" s="1">
        <v>23672.799999999999</v>
      </c>
      <c r="K26" s="1">
        <v>28479.7</v>
      </c>
    </row>
  </sheetData>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0FAB3-F254-44FD-9E3E-562A7C271EDC}">
  <dimension ref="B2:CF60"/>
  <sheetViews>
    <sheetView tabSelected="1" zoomScale="94" zoomScaleNormal="115" workbookViewId="0">
      <pane xSplit="2" ySplit="2" topLeftCell="E3" activePane="bottomRight" state="frozen"/>
      <selection pane="topRight" activeCell="C1" sqref="C1"/>
      <selection pane="bottomLeft" activeCell="A3" sqref="A3"/>
      <selection pane="bottomRight" activeCell="T6" sqref="T6"/>
    </sheetView>
  </sheetViews>
  <sheetFormatPr defaultRowHeight="14.25" x14ac:dyDescent="0.2"/>
  <cols>
    <col min="2" max="2" width="18.75" customWidth="1"/>
    <col min="27" max="27" width="10.375" bestFit="1" customWidth="1"/>
  </cols>
  <sheetData>
    <row r="2" spans="2:84" x14ac:dyDescent="0.2">
      <c r="C2" t="s">
        <v>11</v>
      </c>
      <c r="D2" t="s">
        <v>12</v>
      </c>
      <c r="E2" t="s">
        <v>13</v>
      </c>
      <c r="F2" t="s">
        <v>14</v>
      </c>
      <c r="G2" t="s">
        <v>6</v>
      </c>
      <c r="H2" t="s">
        <v>7</v>
      </c>
      <c r="I2" t="s">
        <v>8</v>
      </c>
      <c r="J2" t="s">
        <v>9</v>
      </c>
      <c r="K2" t="s">
        <v>10</v>
      </c>
      <c r="P2">
        <v>2023</v>
      </c>
      <c r="Q2">
        <f t="shared" ref="Q2:Y2" si="0">+P2+1</f>
        <v>2024</v>
      </c>
      <c r="R2">
        <f t="shared" si="0"/>
        <v>2025</v>
      </c>
      <c r="S2">
        <f t="shared" si="0"/>
        <v>2026</v>
      </c>
      <c r="T2">
        <f t="shared" si="0"/>
        <v>2027</v>
      </c>
      <c r="U2">
        <f t="shared" si="0"/>
        <v>2028</v>
      </c>
      <c r="V2">
        <f t="shared" si="0"/>
        <v>2029</v>
      </c>
      <c r="W2">
        <f t="shared" si="0"/>
        <v>2030</v>
      </c>
      <c r="X2">
        <f t="shared" si="0"/>
        <v>2031</v>
      </c>
      <c r="Y2">
        <f t="shared" si="0"/>
        <v>2032</v>
      </c>
    </row>
    <row r="3" spans="2:84" x14ac:dyDescent="0.2">
      <c r="B3" t="s">
        <v>30</v>
      </c>
    </row>
    <row r="4" spans="2:84" x14ac:dyDescent="0.2">
      <c r="B4" t="s">
        <v>31</v>
      </c>
    </row>
    <row r="5" spans="2:84" x14ac:dyDescent="0.2">
      <c r="B5" t="s">
        <v>32</v>
      </c>
      <c r="C5" t="s">
        <v>27</v>
      </c>
      <c r="D5" t="s">
        <v>27</v>
      </c>
      <c r="E5" t="s">
        <v>27</v>
      </c>
      <c r="G5" t="s">
        <v>27</v>
      </c>
      <c r="H5" t="s">
        <v>27</v>
      </c>
      <c r="I5" t="s">
        <v>27</v>
      </c>
      <c r="S5" t="s">
        <v>27</v>
      </c>
    </row>
    <row r="6" spans="2:84" s="2" customFormat="1" ht="15" x14ac:dyDescent="0.25">
      <c r="B6" s="2" t="s">
        <v>15</v>
      </c>
      <c r="C6" s="5">
        <v>440.36</v>
      </c>
      <c r="D6" s="5">
        <v>582.822</v>
      </c>
      <c r="E6" s="5">
        <v>593.74</v>
      </c>
      <c r="F6" s="5">
        <f>2115.756-E6-D6-C6</f>
        <v>498.83399999999983</v>
      </c>
      <c r="G6" s="5">
        <v>430.94900000000001</v>
      </c>
      <c r="H6" s="5">
        <v>614.46799999999996</v>
      </c>
      <c r="I6" s="5">
        <v>689.01900000000001</v>
      </c>
      <c r="J6" s="5">
        <f>2490.049-I6-H6-G6</f>
        <v>755.61299999999983</v>
      </c>
      <c r="P6" s="5">
        <v>1972</v>
      </c>
      <c r="Q6" s="5">
        <f>+SUM(C6:F6)</f>
        <v>2115.7559999999999</v>
      </c>
      <c r="R6" s="5">
        <f>+SUM(G6:J6)</f>
        <v>2490.049</v>
      </c>
      <c r="S6" s="5">
        <v>3700</v>
      </c>
      <c r="T6" s="5">
        <f t="shared" ref="T6:X6" si="1">+S6*1.15</f>
        <v>4255</v>
      </c>
      <c r="U6" s="5">
        <f t="shared" si="1"/>
        <v>4893.25</v>
      </c>
      <c r="V6" s="5">
        <f t="shared" si="1"/>
        <v>5627.2374999999993</v>
      </c>
      <c r="W6" s="5">
        <f t="shared" si="1"/>
        <v>6471.323124999999</v>
      </c>
      <c r="X6" s="5">
        <f t="shared" si="1"/>
        <v>7442.0215937499979</v>
      </c>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row>
    <row r="7" spans="2:84" x14ac:dyDescent="0.2">
      <c r="B7" t="s">
        <v>16</v>
      </c>
      <c r="C7" s="1">
        <v>-363.45600000000002</v>
      </c>
      <c r="D7" s="1">
        <v>-470.07900000000001</v>
      </c>
      <c r="E7" s="1">
        <v>-463.94200000000001</v>
      </c>
      <c r="F7" s="1">
        <f>-1689.633-E7-D7-C7</f>
        <v>-392.15600000000006</v>
      </c>
      <c r="G7" s="1">
        <v>-336.10899999999998</v>
      </c>
      <c r="H7" s="1">
        <v>-471.32799999999997</v>
      </c>
      <c r="I7" s="1">
        <v>-518.803</v>
      </c>
      <c r="J7" s="1">
        <f>-1917.735-I7-H7-G7</f>
        <v>-591.49499999999989</v>
      </c>
      <c r="P7" s="1">
        <v>-1634.6</v>
      </c>
      <c r="Q7" s="1">
        <f>+SUM(C7:F7)</f>
        <v>-1689.6330000000003</v>
      </c>
      <c r="R7" s="1">
        <f>+SUM(G7:J7)</f>
        <v>-1917.7349999999997</v>
      </c>
      <c r="S7" s="1">
        <f>+R7*1.1</f>
        <v>-2109.5084999999999</v>
      </c>
      <c r="T7" s="1">
        <f t="shared" ref="T7:V7" si="2">+S7*1.1</f>
        <v>-2320.4593500000001</v>
      </c>
      <c r="U7" s="1">
        <f t="shared" si="2"/>
        <v>-2552.5052850000002</v>
      </c>
      <c r="V7" s="1">
        <f t="shared" si="2"/>
        <v>-2807.7558135000004</v>
      </c>
      <c r="W7" s="1">
        <f>+V7*1.1</f>
        <v>-3088.5313948500007</v>
      </c>
      <c r="X7" s="1">
        <f>+W7*1.1</f>
        <v>-3397.3845343350008</v>
      </c>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row>
    <row r="8" spans="2:84" x14ac:dyDescent="0.2">
      <c r="B8" t="s">
        <v>17</v>
      </c>
      <c r="C8" s="1">
        <f t="shared" ref="C8:J8" si="3">+C6+C7</f>
        <v>76.903999999999996</v>
      </c>
      <c r="D8" s="1">
        <f t="shared" si="3"/>
        <v>112.74299999999999</v>
      </c>
      <c r="E8" s="1">
        <f t="shared" si="3"/>
        <v>129.798</v>
      </c>
      <c r="F8" s="1">
        <f t="shared" si="3"/>
        <v>106.67799999999977</v>
      </c>
      <c r="G8" s="1">
        <f t="shared" si="3"/>
        <v>94.840000000000032</v>
      </c>
      <c r="H8" s="1">
        <f t="shared" si="3"/>
        <v>143.13999999999999</v>
      </c>
      <c r="I8" s="1">
        <f t="shared" si="3"/>
        <v>170.21600000000001</v>
      </c>
      <c r="J8" s="1">
        <f t="shared" si="3"/>
        <v>164.11799999999994</v>
      </c>
      <c r="P8" s="1">
        <f>+P6+P7</f>
        <v>337.40000000000009</v>
      </c>
      <c r="Q8" s="1">
        <f>+Q6+Q7</f>
        <v>426.12299999999959</v>
      </c>
      <c r="R8" s="1">
        <f>+R6+R7</f>
        <v>572.31400000000031</v>
      </c>
      <c r="S8" s="1">
        <f t="shared" ref="S8:X8" si="4">+S6+S7</f>
        <v>1590.4915000000001</v>
      </c>
      <c r="T8" s="1">
        <f t="shared" si="4"/>
        <v>1934.5406499999999</v>
      </c>
      <c r="U8" s="1">
        <f t="shared" si="4"/>
        <v>2340.7447149999998</v>
      </c>
      <c r="V8" s="1">
        <f t="shared" si="4"/>
        <v>2819.4816864999989</v>
      </c>
      <c r="W8" s="1">
        <f t="shared" si="4"/>
        <v>3382.7917301499983</v>
      </c>
      <c r="X8" s="1">
        <f t="shared" si="4"/>
        <v>4044.6370594149971</v>
      </c>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row>
    <row r="9" spans="2:84" x14ac:dyDescent="0.2">
      <c r="B9" t="s">
        <v>18</v>
      </c>
      <c r="C9" s="1">
        <v>-37.298000000000002</v>
      </c>
      <c r="D9" s="1">
        <v>-27.856000000000002</v>
      </c>
      <c r="E9" s="1">
        <v>-30.672000000000001</v>
      </c>
      <c r="F9" s="1">
        <f>-118.424-E9-D9-C9</f>
        <v>-22.598000000000006</v>
      </c>
      <c r="G9" s="1">
        <v>-34.631</v>
      </c>
      <c r="H9" s="1">
        <v>-33.987000000000002</v>
      </c>
      <c r="I9" s="1">
        <v>-37.585000000000001</v>
      </c>
      <c r="J9" s="1">
        <f>-154.814-I9-H9-G9</f>
        <v>-48.61099999999999</v>
      </c>
      <c r="P9" s="1">
        <f>-98.7-15.2</f>
        <v>-113.9</v>
      </c>
      <c r="Q9" s="1">
        <f>+SUM(C9:F9)</f>
        <v>-118.42400000000001</v>
      </c>
      <c r="R9" s="1">
        <f>+SUM(G9:J9)</f>
        <v>-154.81399999999999</v>
      </c>
      <c r="S9" s="1">
        <f>+R9*1.05</f>
        <v>-162.5547</v>
      </c>
      <c r="T9" s="1">
        <f t="shared" ref="T9:X9" si="5">+S9*1.05</f>
        <v>-170.682435</v>
      </c>
      <c r="U9" s="1">
        <f t="shared" si="5"/>
        <v>-179.21655675</v>
      </c>
      <c r="V9" s="1">
        <f t="shared" si="5"/>
        <v>-188.1773845875</v>
      </c>
      <c r="W9" s="1">
        <f t="shared" si="5"/>
        <v>-197.586253816875</v>
      </c>
      <c r="X9" s="1">
        <f t="shared" si="5"/>
        <v>-207.46556650771876</v>
      </c>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row>
    <row r="10" spans="2:84" x14ac:dyDescent="0.2">
      <c r="B10" t="s">
        <v>19</v>
      </c>
      <c r="C10" s="1">
        <f>-1-2.148</f>
        <v>-3.1480000000000001</v>
      </c>
      <c r="D10" s="1">
        <f>-1-6.772</f>
        <v>-7.7720000000000002</v>
      </c>
      <c r="E10" s="1">
        <f>-1-6.283</f>
        <v>-7.2830000000000004</v>
      </c>
      <c r="F10" s="1">
        <f>-4.756-20.863-E10-D10-C10</f>
        <v>-7.4159999999999986</v>
      </c>
      <c r="G10" s="1">
        <f>-1.343-1.892</f>
        <v>-3.2349999999999999</v>
      </c>
      <c r="H10" s="1">
        <f>-1.343+3.785</f>
        <v>2.4420000000000002</v>
      </c>
      <c r="I10" s="1">
        <f>-1.343+5.405</f>
        <v>4.0620000000000003</v>
      </c>
      <c r="J10" s="1">
        <f>0.731+18.2-I10-H10-G10</f>
        <v>15.661999999999999</v>
      </c>
      <c r="P10" s="1">
        <v>-17.7</v>
      </c>
      <c r="Q10" s="1">
        <f>+SUM(C10:F10)</f>
        <v>-25.619</v>
      </c>
      <c r="R10" s="1">
        <f>+SUM(G10:J10)</f>
        <v>18.931000000000001</v>
      </c>
      <c r="S10" s="1">
        <f>+R10*1.03</f>
        <v>19.498930000000001</v>
      </c>
      <c r="T10" s="1">
        <f t="shared" ref="T10:X10" si="6">+S10*1.03</f>
        <v>20.083897900000004</v>
      </c>
      <c r="U10" s="1">
        <f t="shared" si="6"/>
        <v>20.686414837000004</v>
      </c>
      <c r="V10" s="1">
        <f t="shared" si="6"/>
        <v>21.307007282110007</v>
      </c>
      <c r="W10" s="1">
        <f t="shared" si="6"/>
        <v>21.946217500573308</v>
      </c>
      <c r="X10" s="1">
        <f t="shared" si="6"/>
        <v>22.604604025590508</v>
      </c>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row>
    <row r="11" spans="2:84" x14ac:dyDescent="0.2">
      <c r="B11" t="s">
        <v>21</v>
      </c>
      <c r="C11" s="1">
        <f t="shared" ref="C11:J11" si="7">+C9+C10</f>
        <v>-40.446000000000005</v>
      </c>
      <c r="D11" s="1">
        <f t="shared" si="7"/>
        <v>-35.628</v>
      </c>
      <c r="E11" s="1">
        <f t="shared" si="7"/>
        <v>-37.954999999999998</v>
      </c>
      <c r="F11" s="1">
        <f t="shared" si="7"/>
        <v>-30.014000000000003</v>
      </c>
      <c r="G11" s="1">
        <f t="shared" si="7"/>
        <v>-37.866</v>
      </c>
      <c r="H11" s="1">
        <f t="shared" si="7"/>
        <v>-31.545000000000002</v>
      </c>
      <c r="I11" s="1">
        <f t="shared" si="7"/>
        <v>-33.523000000000003</v>
      </c>
      <c r="J11" s="1">
        <f t="shared" si="7"/>
        <v>-32.948999999999991</v>
      </c>
      <c r="P11" s="1">
        <f>+P9+P10</f>
        <v>-131.6</v>
      </c>
      <c r="Q11" s="1">
        <f>+Q9+Q10</f>
        <v>-144.04300000000001</v>
      </c>
      <c r="R11" s="1">
        <f>+R9+R10</f>
        <v>-135.88299999999998</v>
      </c>
      <c r="S11" s="1">
        <f t="shared" ref="S11:X11" si="8">+S9+S10</f>
        <v>-143.05577</v>
      </c>
      <c r="T11" s="1">
        <f t="shared" si="8"/>
        <v>-150.59853709999999</v>
      </c>
      <c r="U11" s="1">
        <f t="shared" si="8"/>
        <v>-158.53014191299999</v>
      </c>
      <c r="V11" s="1">
        <f t="shared" si="8"/>
        <v>-166.87037730538998</v>
      </c>
      <c r="W11" s="1">
        <f t="shared" si="8"/>
        <v>-175.64003631630169</v>
      </c>
      <c r="X11" s="1">
        <f t="shared" si="8"/>
        <v>-184.86096248212826</v>
      </c>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row>
    <row r="12" spans="2:84" x14ac:dyDescent="0.2">
      <c r="B12" t="s">
        <v>20</v>
      </c>
      <c r="C12" s="1">
        <f t="shared" ref="C12:J12" si="9">+C8+C11</f>
        <v>36.457999999999991</v>
      </c>
      <c r="D12" s="1">
        <f t="shared" si="9"/>
        <v>77.114999999999995</v>
      </c>
      <c r="E12" s="1">
        <f t="shared" si="9"/>
        <v>91.843000000000004</v>
      </c>
      <c r="F12" s="1">
        <f t="shared" si="9"/>
        <v>76.66399999999976</v>
      </c>
      <c r="G12" s="1">
        <f t="shared" si="9"/>
        <v>56.974000000000032</v>
      </c>
      <c r="H12" s="1">
        <f t="shared" si="9"/>
        <v>111.59499999999998</v>
      </c>
      <c r="I12" s="1">
        <f t="shared" si="9"/>
        <v>136.69300000000001</v>
      </c>
      <c r="J12" s="1">
        <f t="shared" si="9"/>
        <v>131.16899999999995</v>
      </c>
      <c r="P12" s="1">
        <f>+P8+P11</f>
        <v>205.8000000000001</v>
      </c>
      <c r="Q12" s="1">
        <f>+Q8+Q11</f>
        <v>282.07999999999959</v>
      </c>
      <c r="R12" s="1">
        <f>+R8+R11</f>
        <v>436.43100000000032</v>
      </c>
      <c r="S12" s="1">
        <f t="shared" ref="S12:X12" si="10">+S8+S11</f>
        <v>1447.4357300000001</v>
      </c>
      <c r="T12" s="1">
        <f t="shared" si="10"/>
        <v>1783.9421129</v>
      </c>
      <c r="U12" s="1">
        <f t="shared" si="10"/>
        <v>2182.2145730869997</v>
      </c>
      <c r="V12" s="1">
        <f t="shared" si="10"/>
        <v>2652.611309194609</v>
      </c>
      <c r="W12" s="1">
        <f t="shared" si="10"/>
        <v>3207.1516938336968</v>
      </c>
      <c r="X12" s="1">
        <f t="shared" si="10"/>
        <v>3859.7760969328688</v>
      </c>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row>
    <row r="13" spans="2:84" x14ac:dyDescent="0.2">
      <c r="B13" t="s">
        <v>22</v>
      </c>
      <c r="C13" s="1">
        <f>5.902-6.664</f>
        <v>-0.76199999999999957</v>
      </c>
      <c r="D13" s="1">
        <f>6.305-6.513</f>
        <v>-0.20800000000000018</v>
      </c>
      <c r="E13" s="1">
        <f>7.591-6.286</f>
        <v>1.3050000000000006</v>
      </c>
      <c r="F13" s="1">
        <f>27.622-25.255-E13-D13-C13</f>
        <v>2.032</v>
      </c>
      <c r="G13" s="1">
        <f>6.827-5.232</f>
        <v>1.5949999999999998</v>
      </c>
      <c r="H13" s="1">
        <f>6.901-4.995</f>
        <v>1.9059999999999997</v>
      </c>
      <c r="I13" s="1">
        <f>5.677-4.14</f>
        <v>1.5369999999999999</v>
      </c>
      <c r="J13" s="1">
        <f>22.347-19.786-I13-H13-G13</f>
        <v>-2.4769999999999994</v>
      </c>
      <c r="P13" s="1">
        <f>14.4-29.3</f>
        <v>-14.9</v>
      </c>
      <c r="Q13" s="1">
        <f>+SUM(C13:F13)</f>
        <v>2.3670000000000009</v>
      </c>
      <c r="R13" s="1">
        <f>+SUM(G13:J13)</f>
        <v>2.5609999999999999</v>
      </c>
      <c r="S13" s="1">
        <f>+R27*0.05</f>
        <v>29.884399999999999</v>
      </c>
      <c r="T13" s="1">
        <f t="shared" ref="T13:X13" si="11">+S27*0.05</f>
        <v>117.063806795</v>
      </c>
      <c r="U13" s="1">
        <f t="shared" si="11"/>
        <v>219.57682262045751</v>
      </c>
      <c r="V13" s="1">
        <f t="shared" si="11"/>
        <v>340.2790442741499</v>
      </c>
      <c r="W13" s="1">
        <f t="shared" si="11"/>
        <v>482.48747856675811</v>
      </c>
      <c r="X13" s="1">
        <f t="shared" si="11"/>
        <v>650.0543278056748</v>
      </c>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row>
    <row r="14" spans="2:84" x14ac:dyDescent="0.2">
      <c r="B14" t="s">
        <v>23</v>
      </c>
      <c r="C14" s="1">
        <f t="shared" ref="C14:J14" si="12">+C12+C13</f>
        <v>35.695999999999991</v>
      </c>
      <c r="D14" s="1">
        <f t="shared" si="12"/>
        <v>76.906999999999996</v>
      </c>
      <c r="E14" s="1">
        <f t="shared" si="12"/>
        <v>93.14800000000001</v>
      </c>
      <c r="F14" s="1">
        <f t="shared" si="12"/>
        <v>78.695999999999756</v>
      </c>
      <c r="G14" s="1">
        <f t="shared" si="12"/>
        <v>58.569000000000031</v>
      </c>
      <c r="H14" s="1">
        <f t="shared" si="12"/>
        <v>113.50099999999999</v>
      </c>
      <c r="I14" s="1">
        <f t="shared" si="12"/>
        <v>138.23000000000002</v>
      </c>
      <c r="J14" s="1">
        <f t="shared" si="12"/>
        <v>128.69199999999995</v>
      </c>
      <c r="P14" s="1">
        <f>+P12+P13</f>
        <v>190.90000000000009</v>
      </c>
      <c r="Q14" s="1">
        <f>+Q12-Q13</f>
        <v>279.71299999999957</v>
      </c>
      <c r="R14" s="1">
        <f>+R12-R13</f>
        <v>433.87000000000035</v>
      </c>
      <c r="S14" s="1">
        <f t="shared" ref="S14:X14" si="13">+S12-S13</f>
        <v>1417.5513300000002</v>
      </c>
      <c r="T14" s="1">
        <f t="shared" si="13"/>
        <v>1666.8783061049999</v>
      </c>
      <c r="U14" s="1">
        <f t="shared" si="13"/>
        <v>1962.6377504665422</v>
      </c>
      <c r="V14" s="1">
        <f t="shared" si="13"/>
        <v>2312.3322649204592</v>
      </c>
      <c r="W14" s="1">
        <f t="shared" si="13"/>
        <v>2724.6642152669388</v>
      </c>
      <c r="X14" s="1">
        <f t="shared" si="13"/>
        <v>3209.721769127194</v>
      </c>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row>
    <row r="15" spans="2:84" x14ac:dyDescent="0.2">
      <c r="B15" t="s">
        <v>24</v>
      </c>
      <c r="C15" s="1">
        <v>-7.6040000000000001</v>
      </c>
      <c r="D15" s="1">
        <v>-17.952000000000002</v>
      </c>
      <c r="E15" s="1">
        <v>-23.404</v>
      </c>
      <c r="F15" s="1">
        <v>-15.08</v>
      </c>
      <c r="G15" s="1">
        <v>-15.08</v>
      </c>
      <c r="H15" s="1">
        <v>-27.361999999999998</v>
      </c>
      <c r="I15" s="1">
        <v>-30.516999999999999</v>
      </c>
      <c r="J15" s="1">
        <f>-98.752-I15-H15-G15</f>
        <v>-25.793000000000006</v>
      </c>
      <c r="P15" s="1">
        <v>-47.7</v>
      </c>
      <c r="Q15" s="1">
        <f>+SUM(C15:F15)</f>
        <v>-64.040000000000006</v>
      </c>
      <c r="R15" s="1">
        <f>+SUM(G15:J15)</f>
        <v>-98.75200000000001</v>
      </c>
      <c r="S15" s="1">
        <f>+S14*0.23</f>
        <v>326.03680590000005</v>
      </c>
      <c r="T15" s="1">
        <f t="shared" ref="T15:X15" si="14">+T14*0.23</f>
        <v>383.38201040414998</v>
      </c>
      <c r="U15" s="1">
        <f t="shared" si="14"/>
        <v>451.40668260730473</v>
      </c>
      <c r="V15" s="1">
        <f t="shared" si="14"/>
        <v>531.83642093170567</v>
      </c>
      <c r="W15" s="1">
        <f t="shared" si="14"/>
        <v>626.67276951139593</v>
      </c>
      <c r="X15" s="1">
        <f t="shared" si="14"/>
        <v>738.23600689925468</v>
      </c>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row>
    <row r="16" spans="2:84" s="2" customFormat="1" ht="15" x14ac:dyDescent="0.25">
      <c r="B16" s="2" t="s">
        <v>25</v>
      </c>
      <c r="C16" s="5">
        <f t="shared" ref="C16:J16" si="15">+C14+C15</f>
        <v>28.091999999999992</v>
      </c>
      <c r="D16" s="5">
        <f t="shared" si="15"/>
        <v>58.954999999999998</v>
      </c>
      <c r="E16" s="5">
        <f t="shared" si="15"/>
        <v>69.744000000000014</v>
      </c>
      <c r="F16" s="5">
        <f t="shared" si="15"/>
        <v>63.615999999999758</v>
      </c>
      <c r="G16" s="5">
        <f t="shared" si="15"/>
        <v>43.489000000000033</v>
      </c>
      <c r="H16" s="5">
        <f t="shared" si="15"/>
        <v>86.138999999999996</v>
      </c>
      <c r="I16" s="5">
        <f t="shared" si="15"/>
        <v>107.71300000000002</v>
      </c>
      <c r="J16" s="5">
        <f t="shared" si="15"/>
        <v>102.89899999999994</v>
      </c>
      <c r="P16" s="5">
        <f>+P14+P15</f>
        <v>143.2000000000001</v>
      </c>
      <c r="Q16" s="5">
        <f>+Q14+Q15</f>
        <v>215.67299999999955</v>
      </c>
      <c r="R16" s="5">
        <f>+R14+R15</f>
        <v>335.11800000000034</v>
      </c>
      <c r="S16" s="5">
        <f t="shared" ref="S16:X16" si="16">+S14+S15</f>
        <v>1743.5881359000002</v>
      </c>
      <c r="T16" s="5">
        <f t="shared" si="16"/>
        <v>2050.26031650915</v>
      </c>
      <c r="U16" s="5">
        <f t="shared" si="16"/>
        <v>2414.0444330738469</v>
      </c>
      <c r="V16" s="5">
        <f t="shared" si="16"/>
        <v>2844.1686858521648</v>
      </c>
      <c r="W16" s="5">
        <f t="shared" si="16"/>
        <v>3351.3369847783347</v>
      </c>
      <c r="X16" s="5">
        <f t="shared" si="16"/>
        <v>3947.9577760264488</v>
      </c>
      <c r="Y16" s="5">
        <f>+X16*0.98</f>
        <v>3868.9986205059199</v>
      </c>
      <c r="Z16" s="5">
        <f t="shared" ref="Z16:CF16" si="17">+Y16*0.98</f>
        <v>3791.6186480958013</v>
      </c>
      <c r="AA16" s="5">
        <f t="shared" si="17"/>
        <v>3715.7862751338853</v>
      </c>
      <c r="AB16" s="5">
        <f t="shared" si="17"/>
        <v>3641.4705496312076</v>
      </c>
      <c r="AC16" s="5">
        <f t="shared" si="17"/>
        <v>3568.6411386385835</v>
      </c>
      <c r="AD16" s="5">
        <f t="shared" si="17"/>
        <v>3497.2683158658119</v>
      </c>
      <c r="AE16" s="5">
        <f t="shared" si="17"/>
        <v>3427.3229495484957</v>
      </c>
      <c r="AF16" s="5">
        <f t="shared" si="17"/>
        <v>3358.7764905575259</v>
      </c>
      <c r="AG16" s="5">
        <f t="shared" si="17"/>
        <v>3291.6009607463752</v>
      </c>
      <c r="AH16" s="5">
        <f t="shared" si="17"/>
        <v>3225.7689415314476</v>
      </c>
      <c r="AI16" s="5">
        <f t="shared" si="17"/>
        <v>3161.2535627008187</v>
      </c>
      <c r="AJ16" s="5">
        <f t="shared" si="17"/>
        <v>3098.0284914468025</v>
      </c>
      <c r="AK16" s="5">
        <f t="shared" si="17"/>
        <v>3036.0679216178664</v>
      </c>
      <c r="AL16" s="5">
        <f t="shared" si="17"/>
        <v>2975.3465631855092</v>
      </c>
      <c r="AM16" s="5">
        <f t="shared" si="17"/>
        <v>2915.8396319217991</v>
      </c>
      <c r="AN16" s="5">
        <f t="shared" si="17"/>
        <v>2857.5228392833628</v>
      </c>
      <c r="AO16" s="5">
        <f t="shared" si="17"/>
        <v>2800.3723824976955</v>
      </c>
      <c r="AP16" s="5">
        <f t="shared" si="17"/>
        <v>2744.3649348477416</v>
      </c>
      <c r="AQ16" s="5">
        <f t="shared" si="17"/>
        <v>2689.4776361507866</v>
      </c>
      <c r="AR16" s="5">
        <f t="shared" si="17"/>
        <v>2635.6880834277708</v>
      </c>
      <c r="AS16" s="5">
        <f t="shared" si="17"/>
        <v>2582.9743217592154</v>
      </c>
      <c r="AT16" s="5">
        <f t="shared" si="17"/>
        <v>2531.3148353240313</v>
      </c>
      <c r="AU16" s="5">
        <f t="shared" si="17"/>
        <v>2480.6885386175504</v>
      </c>
      <c r="AV16" s="5">
        <f t="shared" si="17"/>
        <v>2431.0747678451994</v>
      </c>
      <c r="AW16" s="5">
        <f t="shared" si="17"/>
        <v>2382.4532724882952</v>
      </c>
      <c r="AX16" s="5">
        <f t="shared" si="17"/>
        <v>2334.8042070385291</v>
      </c>
      <c r="AY16" s="5">
        <f t="shared" si="17"/>
        <v>2288.1081228977582</v>
      </c>
      <c r="AZ16" s="5">
        <f t="shared" si="17"/>
        <v>2242.3459604398031</v>
      </c>
      <c r="BA16" s="5">
        <f t="shared" si="17"/>
        <v>2197.4990412310071</v>
      </c>
      <c r="BB16" s="5">
        <f t="shared" si="17"/>
        <v>2153.5490604063871</v>
      </c>
      <c r="BC16" s="5">
        <f t="shared" si="17"/>
        <v>2110.4780791982594</v>
      </c>
      <c r="BD16" s="5">
        <f t="shared" si="17"/>
        <v>2068.2685176142941</v>
      </c>
      <c r="BE16" s="5">
        <f t="shared" si="17"/>
        <v>2026.9031472620081</v>
      </c>
      <c r="BF16" s="5">
        <f t="shared" si="17"/>
        <v>1986.3650843167679</v>
      </c>
      <c r="BG16" s="5">
        <f t="shared" si="17"/>
        <v>1946.6377826304326</v>
      </c>
      <c r="BH16" s="5">
        <f t="shared" si="17"/>
        <v>1907.705026977824</v>
      </c>
      <c r="BI16" s="5">
        <f t="shared" si="17"/>
        <v>1869.5509264382674</v>
      </c>
      <c r="BJ16" s="5">
        <f t="shared" si="17"/>
        <v>1832.159907909502</v>
      </c>
      <c r="BK16" s="5">
        <f t="shared" si="17"/>
        <v>1795.516709751312</v>
      </c>
      <c r="BL16" s="5">
        <f t="shared" si="17"/>
        <v>1759.6063755562857</v>
      </c>
      <c r="BM16" s="5">
        <f t="shared" si="17"/>
        <v>1724.4142480451599</v>
      </c>
      <c r="BN16" s="5">
        <f t="shared" si="17"/>
        <v>1689.9259630842566</v>
      </c>
      <c r="BO16" s="5">
        <f t="shared" si="17"/>
        <v>1656.1274438225714</v>
      </c>
      <c r="BP16" s="5">
        <f t="shared" si="17"/>
        <v>1623.00489494612</v>
      </c>
      <c r="BQ16" s="5">
        <f t="shared" si="17"/>
        <v>1590.5447970471976</v>
      </c>
      <c r="BR16" s="5">
        <f t="shared" si="17"/>
        <v>1558.7339011062536</v>
      </c>
      <c r="BS16" s="5">
        <f t="shared" si="17"/>
        <v>1527.5592230841285</v>
      </c>
      <c r="BT16" s="5">
        <f t="shared" si="17"/>
        <v>1497.0080386224458</v>
      </c>
      <c r="BU16" s="5">
        <f t="shared" si="17"/>
        <v>1467.0678778499969</v>
      </c>
      <c r="BV16" s="5">
        <f t="shared" si="17"/>
        <v>1437.7265202929968</v>
      </c>
      <c r="BW16" s="5">
        <f t="shared" si="17"/>
        <v>1408.9719898871369</v>
      </c>
      <c r="BX16" s="5">
        <f t="shared" si="17"/>
        <v>1380.7925500893941</v>
      </c>
      <c r="BY16" s="5">
        <f t="shared" si="17"/>
        <v>1353.1766990876063</v>
      </c>
      <c r="BZ16" s="5">
        <f t="shared" si="17"/>
        <v>1326.113165105854</v>
      </c>
      <c r="CA16" s="5">
        <f t="shared" si="17"/>
        <v>1299.5909018037369</v>
      </c>
      <c r="CB16" s="5">
        <f t="shared" si="17"/>
        <v>1273.599083767662</v>
      </c>
      <c r="CC16" s="5">
        <f t="shared" si="17"/>
        <v>1248.1271020923089</v>
      </c>
      <c r="CD16" s="5">
        <f t="shared" si="17"/>
        <v>1223.1645600504626</v>
      </c>
      <c r="CE16" s="5">
        <f t="shared" si="17"/>
        <v>1198.7012688494533</v>
      </c>
      <c r="CF16" s="5">
        <f t="shared" si="17"/>
        <v>1174.7272434724641</v>
      </c>
    </row>
    <row r="17" spans="2:84" x14ac:dyDescent="0.2">
      <c r="B17" t="s">
        <v>26</v>
      </c>
      <c r="C17" s="4">
        <f t="shared" ref="C17:J17" si="18">+C16/C18</f>
        <v>0.90686638473706271</v>
      </c>
      <c r="D17" s="4">
        <f t="shared" si="18"/>
        <v>1.9070647603027753</v>
      </c>
      <c r="E17" s="4">
        <f t="shared" si="18"/>
        <v>2.2692044899951203</v>
      </c>
      <c r="F17" s="4">
        <f t="shared" si="18"/>
        <v>2.0825612989818887</v>
      </c>
      <c r="G17" s="4">
        <f t="shared" si="18"/>
        <v>1.4236749926343022</v>
      </c>
      <c r="H17" s="4">
        <f t="shared" si="18"/>
        <v>2.832774269928966</v>
      </c>
      <c r="I17" s="4">
        <f t="shared" si="18"/>
        <v>3.5293751433533216</v>
      </c>
      <c r="J17" s="4">
        <f t="shared" si="18"/>
        <v>3.3690982908781328</v>
      </c>
      <c r="P17" s="1">
        <f>+P16/P18</f>
        <v>4.6561534709803318</v>
      </c>
      <c r="Q17" s="1">
        <f>+AVERAGE(C17:F17)</f>
        <v>1.7914242335042116</v>
      </c>
      <c r="R17" s="1">
        <f>AVERAGE(G17:J17)</f>
        <v>2.7887306741986806</v>
      </c>
      <c r="S17" s="9">
        <f>+R17*0.99</f>
        <v>2.7608433674566939</v>
      </c>
      <c r="T17" s="9">
        <f t="shared" ref="T17:U17" si="19">+S17*0.99</f>
        <v>2.7332349337821271</v>
      </c>
      <c r="U17" s="9">
        <f t="shared" si="19"/>
        <v>2.7059025844443059</v>
      </c>
      <c r="V17" s="9">
        <f>+U17</f>
        <v>2.7059025844443059</v>
      </c>
      <c r="W17" s="9">
        <f t="shared" ref="W17:X17" si="20">+V17</f>
        <v>2.7059025844443059</v>
      </c>
      <c r="X17" s="9">
        <f t="shared" si="20"/>
        <v>2.7059025844443059</v>
      </c>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row>
    <row r="18" spans="2:84" x14ac:dyDescent="0.2">
      <c r="B18" t="s">
        <v>1</v>
      </c>
      <c r="C18" s="1">
        <v>30.977</v>
      </c>
      <c r="D18" s="1">
        <v>30.914000000000001</v>
      </c>
      <c r="E18" s="1">
        <v>30.734999999999999</v>
      </c>
      <c r="F18" s="1">
        <v>30.547000000000001</v>
      </c>
      <c r="G18" s="1">
        <v>30.547000000000001</v>
      </c>
      <c r="H18" s="1">
        <v>30.408000000000001</v>
      </c>
      <c r="I18" s="1">
        <v>30.518999999999998</v>
      </c>
      <c r="J18" s="1">
        <v>30.542000000000002</v>
      </c>
      <c r="P18" s="1">
        <v>30.754999999999999</v>
      </c>
      <c r="Q18" s="1">
        <v>30.83</v>
      </c>
      <c r="R18" s="1">
        <v>30.542000000000002</v>
      </c>
      <c r="S18" s="1">
        <f>+R18</f>
        <v>30.542000000000002</v>
      </c>
      <c r="T18" s="1">
        <f t="shared" ref="T18:X18" si="21">+S18</f>
        <v>30.542000000000002</v>
      </c>
      <c r="U18" s="1">
        <f t="shared" si="21"/>
        <v>30.542000000000002</v>
      </c>
      <c r="V18" s="1">
        <f t="shared" si="21"/>
        <v>30.542000000000002</v>
      </c>
      <c r="W18" s="1">
        <f t="shared" si="21"/>
        <v>30.542000000000002</v>
      </c>
      <c r="X18" s="1">
        <f t="shared" si="21"/>
        <v>30.542000000000002</v>
      </c>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row>
    <row r="19" spans="2:84" x14ac:dyDescent="0.2">
      <c r="B19" t="s">
        <v>71</v>
      </c>
      <c r="Q19" s="8">
        <f t="shared" ref="Q19" si="22">+Q18/P18-1</f>
        <v>2.4386278653876214E-3</v>
      </c>
      <c r="R19" s="8">
        <f>+R18/Q18-1</f>
        <v>-9.3415504378850933E-3</v>
      </c>
      <c r="S19" s="6">
        <f>+S17/R17-1</f>
        <v>-1.0000000000000009E-2</v>
      </c>
      <c r="T19" s="6">
        <f t="shared" ref="T19:X19" si="23">+T17/S17-1</f>
        <v>-9.9999999999998979E-3</v>
      </c>
      <c r="U19" s="6">
        <f t="shared" si="23"/>
        <v>-1.0000000000000009E-2</v>
      </c>
      <c r="V19" s="6">
        <f t="shared" si="23"/>
        <v>0</v>
      </c>
      <c r="W19" s="6">
        <f t="shared" si="23"/>
        <v>0</v>
      </c>
      <c r="X19" s="6">
        <f t="shared" si="23"/>
        <v>0</v>
      </c>
    </row>
    <row r="20" spans="2:84" x14ac:dyDescent="0.2">
      <c r="Q20" s="8"/>
      <c r="R20" s="8"/>
      <c r="S20" s="6"/>
      <c r="T20" s="6"/>
      <c r="U20" s="6"/>
      <c r="V20" s="6"/>
      <c r="W20" s="6"/>
      <c r="X20" s="6"/>
    </row>
    <row r="21" spans="2:84" x14ac:dyDescent="0.2">
      <c r="B21" t="s">
        <v>36</v>
      </c>
      <c r="C21" s="6" t="s">
        <v>27</v>
      </c>
      <c r="D21" s="6" t="s">
        <v>27</v>
      </c>
      <c r="E21" s="6" t="s">
        <v>27</v>
      </c>
      <c r="F21" s="6" t="s">
        <v>27</v>
      </c>
      <c r="G21" s="6">
        <f>+G6/C6-1</f>
        <v>-2.13711508765555E-2</v>
      </c>
      <c r="H21" s="6">
        <f>+H6/D6-1</f>
        <v>5.429788168600358E-2</v>
      </c>
      <c r="I21" s="6">
        <f>+I6/E6-1</f>
        <v>0.16047259743321995</v>
      </c>
      <c r="J21" s="6">
        <f>+J6/F6-1</f>
        <v>0.5147584166275756</v>
      </c>
      <c r="P21" s="6" t="s">
        <v>27</v>
      </c>
      <c r="Q21" s="6">
        <f t="shared" ref="Q21:X21" si="24">+Q6/P6-1</f>
        <v>7.2898580121703693E-2</v>
      </c>
      <c r="R21" s="6">
        <f t="shared" si="24"/>
        <v>0.17690745057558632</v>
      </c>
      <c r="S21" s="6">
        <f t="shared" si="24"/>
        <v>0.48591453421197728</v>
      </c>
      <c r="T21" s="6">
        <f t="shared" si="24"/>
        <v>0.14999999999999991</v>
      </c>
      <c r="U21" s="6">
        <f t="shared" si="24"/>
        <v>0.14999999999999991</v>
      </c>
      <c r="V21" s="6">
        <f t="shared" si="24"/>
        <v>0.14999999999999991</v>
      </c>
      <c r="W21" s="6">
        <f t="shared" si="24"/>
        <v>0.14999999999999991</v>
      </c>
      <c r="X21" s="6">
        <f t="shared" si="24"/>
        <v>0.14999999999999991</v>
      </c>
      <c r="Z21" t="s">
        <v>64</v>
      </c>
      <c r="AA21" s="7">
        <f>NPV(0.08,S16:CF16)-main!L5+main!L6</f>
        <v>36403.159756691639</v>
      </c>
    </row>
    <row r="22" spans="2:84" x14ac:dyDescent="0.2">
      <c r="B22" t="s">
        <v>37</v>
      </c>
      <c r="C22" s="6">
        <f t="shared" ref="C22:J22" si="25">+C8/C6</f>
        <v>0.17463893178308657</v>
      </c>
      <c r="D22" s="6">
        <f t="shared" si="25"/>
        <v>0.19344328113900985</v>
      </c>
      <c r="E22" s="6">
        <f t="shared" si="25"/>
        <v>0.21861083976151177</v>
      </c>
      <c r="F22" s="6">
        <f t="shared" si="25"/>
        <v>0.2138547091818116</v>
      </c>
      <c r="G22" s="6">
        <f t="shared" si="25"/>
        <v>0.2200724447672463</v>
      </c>
      <c r="H22" s="6">
        <f t="shared" si="25"/>
        <v>0.23294947824785017</v>
      </c>
      <c r="I22" s="6">
        <f t="shared" si="25"/>
        <v>0.24704108304705677</v>
      </c>
      <c r="J22" s="6">
        <f t="shared" si="25"/>
        <v>0.21719848652683316</v>
      </c>
      <c r="P22" s="6">
        <f>+P8/P6</f>
        <v>0.17109533468559843</v>
      </c>
      <c r="Q22" s="6">
        <f>+Q8/Q6</f>
        <v>0.20140460431165014</v>
      </c>
      <c r="R22" s="6">
        <f>+R8/R6</f>
        <v>0.22984045695486327</v>
      </c>
      <c r="S22" s="6">
        <f t="shared" ref="S22:X22" si="26">+S8/S6</f>
        <v>0.42986256756756758</v>
      </c>
      <c r="T22" s="6">
        <f t="shared" si="26"/>
        <v>0.45465115158636898</v>
      </c>
      <c r="U22" s="6">
        <f t="shared" si="26"/>
        <v>0.47836197108261375</v>
      </c>
      <c r="V22" s="6">
        <f t="shared" si="26"/>
        <v>0.50104188538336958</v>
      </c>
      <c r="W22" s="6">
        <f t="shared" si="26"/>
        <v>0.52273571645365779</v>
      </c>
      <c r="X22" s="6">
        <f t="shared" si="26"/>
        <v>0.54348633747741182</v>
      </c>
      <c r="Z22" t="s">
        <v>65</v>
      </c>
      <c r="AA22">
        <f>+AA21/main!L3</f>
        <v>1185.7706761137342</v>
      </c>
    </row>
    <row r="23" spans="2:84" x14ac:dyDescent="0.2">
      <c r="B23" t="s">
        <v>38</v>
      </c>
      <c r="C23" s="6">
        <f t="shared" ref="C23:J23" si="27">+C12/C6</f>
        <v>8.2791352529748369E-2</v>
      </c>
      <c r="D23" s="6">
        <f t="shared" si="27"/>
        <v>0.13231312476193416</v>
      </c>
      <c r="E23" s="6">
        <f t="shared" si="27"/>
        <v>0.15468555259878061</v>
      </c>
      <c r="F23" s="6">
        <f t="shared" si="27"/>
        <v>0.15368639667705045</v>
      </c>
      <c r="G23" s="6">
        <f t="shared" si="27"/>
        <v>0.1322058990739044</v>
      </c>
      <c r="H23" s="6">
        <f t="shared" si="27"/>
        <v>0.18161238664991503</v>
      </c>
      <c r="I23" s="6">
        <f t="shared" si="27"/>
        <v>0.19838785287488445</v>
      </c>
      <c r="J23" s="6">
        <f t="shared" si="27"/>
        <v>0.17359283125091809</v>
      </c>
      <c r="P23" s="6">
        <f>+P12/P6</f>
        <v>0.10436105476673432</v>
      </c>
      <c r="Q23" s="6">
        <f>+Q12/Q6</f>
        <v>0.13332350233202675</v>
      </c>
      <c r="R23" s="6">
        <f>+R12/R6</f>
        <v>0.17527004488666703</v>
      </c>
      <c r="S23" s="6">
        <f t="shared" ref="S23:X23" si="28">+S12/S6</f>
        <v>0.39119884594594601</v>
      </c>
      <c r="T23" s="6">
        <f t="shared" si="28"/>
        <v>0.41925784086956519</v>
      </c>
      <c r="U23" s="6">
        <f t="shared" si="28"/>
        <v>0.44596425138445811</v>
      </c>
      <c r="V23" s="6">
        <f t="shared" si="28"/>
        <v>0.47138783625084413</v>
      </c>
      <c r="W23" s="6">
        <f t="shared" si="28"/>
        <v>0.49559442974557033</v>
      </c>
      <c r="X23" s="6">
        <f t="shared" si="28"/>
        <v>0.51864618347444846</v>
      </c>
      <c r="Z23" t="s">
        <v>66</v>
      </c>
      <c r="AA23" s="6">
        <f>+AA22/main!L2-1</f>
        <v>1.2847219192942858</v>
      </c>
    </row>
    <row r="24" spans="2:84" x14ac:dyDescent="0.2">
      <c r="B24" t="s">
        <v>39</v>
      </c>
      <c r="C24" s="6">
        <f t="shared" ref="C24:J24" si="29">+C15/C14</f>
        <v>-0.21302106678619459</v>
      </c>
      <c r="D24" s="6">
        <f t="shared" si="29"/>
        <v>-0.2334247857802281</v>
      </c>
      <c r="E24" s="6">
        <f t="shared" si="29"/>
        <v>-0.25125606561600888</v>
      </c>
      <c r="F24" s="6">
        <f t="shared" si="29"/>
        <v>-0.19162346243773568</v>
      </c>
      <c r="G24" s="6">
        <f t="shared" si="29"/>
        <v>-0.25747409038911356</v>
      </c>
      <c r="H24" s="6">
        <f t="shared" si="29"/>
        <v>-0.24107276587871473</v>
      </c>
      <c r="I24" s="6">
        <f t="shared" si="29"/>
        <v>-0.22076973160674235</v>
      </c>
      <c r="J24" s="6">
        <f t="shared" si="29"/>
        <v>-0.20042426879681732</v>
      </c>
      <c r="P24" s="6">
        <f>+P15/P14</f>
        <v>-0.2498690413829229</v>
      </c>
      <c r="Q24" s="6">
        <f>+Q15/Q14</f>
        <v>-0.22894895839664264</v>
      </c>
      <c r="R24" s="6">
        <f>+R15/R14</f>
        <v>-0.22760734782308048</v>
      </c>
      <c r="S24" s="6">
        <f t="shared" ref="S24:X24" si="30">+S15/S14</f>
        <v>0.22999999999999998</v>
      </c>
      <c r="T24" s="6">
        <f t="shared" si="30"/>
        <v>0.23</v>
      </c>
      <c r="U24" s="6">
        <f t="shared" si="30"/>
        <v>0.23</v>
      </c>
      <c r="V24" s="6">
        <f t="shared" si="30"/>
        <v>0.23</v>
      </c>
      <c r="W24" s="6">
        <f t="shared" si="30"/>
        <v>0.23</v>
      </c>
      <c r="X24" s="6">
        <f t="shared" si="30"/>
        <v>0.23</v>
      </c>
    </row>
    <row r="25" spans="2:84" x14ac:dyDescent="0.2">
      <c r="B25" t="s">
        <v>40</v>
      </c>
      <c r="C25" s="6" t="s">
        <v>27</v>
      </c>
      <c r="D25" s="6" t="s">
        <v>27</v>
      </c>
      <c r="E25" s="6" t="s">
        <v>27</v>
      </c>
      <c r="F25" s="6" t="s">
        <v>27</v>
      </c>
      <c r="G25" s="6">
        <f>+G16/C16-1</f>
        <v>0.54809198348284371</v>
      </c>
      <c r="H25" s="6">
        <f>+H16/D16-1</f>
        <v>0.46109744720549561</v>
      </c>
      <c r="I25" s="6">
        <f>+I16/E16-1</f>
        <v>0.54440525349850888</v>
      </c>
      <c r="J25" s="6">
        <f>+J16/F16-1</f>
        <v>0.6175018863179127</v>
      </c>
      <c r="P25" s="6" t="s">
        <v>27</v>
      </c>
      <c r="Q25" s="6">
        <f t="shared" ref="Q25:X25" si="31">+Q16/P16-1</f>
        <v>0.50609636871507946</v>
      </c>
      <c r="R25" s="6">
        <f t="shared" si="31"/>
        <v>0.55382453992850778</v>
      </c>
      <c r="S25" s="6">
        <f t="shared" si="31"/>
        <v>4.2029080380641997</v>
      </c>
      <c r="T25" s="6">
        <f t="shared" si="31"/>
        <v>0.17588567752604756</v>
      </c>
      <c r="U25" s="6">
        <f t="shared" si="31"/>
        <v>0.177433135507441</v>
      </c>
      <c r="V25" s="6">
        <f t="shared" si="31"/>
        <v>0.17817578122645927</v>
      </c>
      <c r="W25" s="6">
        <f t="shared" si="31"/>
        <v>0.17831864243812001</v>
      </c>
      <c r="X25" s="6">
        <f t="shared" si="31"/>
        <v>0.17802470893197153</v>
      </c>
    </row>
    <row r="27" spans="2:84" x14ac:dyDescent="0.2">
      <c r="B27" t="s">
        <v>3</v>
      </c>
      <c r="Q27">
        <f>664.195+55.387+107.4</f>
        <v>826.98200000000008</v>
      </c>
      <c r="R27">
        <f>390.721+101.154+105.813</f>
        <v>597.68799999999999</v>
      </c>
      <c r="S27" s="1">
        <f>+R27+S16</f>
        <v>2341.2761359000001</v>
      </c>
      <c r="T27" s="1">
        <f>+S27+T16</f>
        <v>4391.5364524091501</v>
      </c>
      <c r="U27" s="1">
        <f t="shared" ref="U27:X27" si="32">+T27+U16</f>
        <v>6805.5808854829975</v>
      </c>
      <c r="V27" s="1">
        <f t="shared" si="32"/>
        <v>9649.7495713351618</v>
      </c>
      <c r="W27" s="1">
        <f t="shared" si="32"/>
        <v>13001.086556113496</v>
      </c>
      <c r="X27" s="1">
        <f t="shared" si="32"/>
        <v>16949.044332139943</v>
      </c>
    </row>
    <row r="28" spans="2:84" x14ac:dyDescent="0.2">
      <c r="B28" t="s">
        <v>41</v>
      </c>
      <c r="Q28">
        <f>247.05+5.811+32.054</f>
        <v>284.91500000000002</v>
      </c>
      <c r="R28">
        <f>501.163+6.179</f>
        <v>507.34199999999998</v>
      </c>
    </row>
    <row r="29" spans="2:84" x14ac:dyDescent="0.2">
      <c r="B29" t="s">
        <v>45</v>
      </c>
      <c r="Q29">
        <v>17.382999999999999</v>
      </c>
      <c r="R29">
        <v>35.244999999999997</v>
      </c>
    </row>
    <row r="30" spans="2:84" x14ac:dyDescent="0.2">
      <c r="B30" t="s">
        <v>42</v>
      </c>
      <c r="Q30">
        <v>236.79499999999999</v>
      </c>
      <c r="R30">
        <v>278.26900000000001</v>
      </c>
    </row>
    <row r="31" spans="2:84" x14ac:dyDescent="0.2">
      <c r="B31" t="s">
        <v>43</v>
      </c>
      <c r="Q31">
        <v>52.667999999999999</v>
      </c>
      <c r="R31">
        <v>58.167000000000002</v>
      </c>
    </row>
    <row r="32" spans="2:84" x14ac:dyDescent="0.2">
      <c r="B32" t="s">
        <v>44</v>
      </c>
      <c r="Q32">
        <f>264.597+316.39</f>
        <v>580.98699999999997</v>
      </c>
      <c r="R32">
        <f>585.221+554.702</f>
        <v>1139.923</v>
      </c>
    </row>
    <row r="33" spans="2:18" x14ac:dyDescent="0.2">
      <c r="B33" t="s">
        <v>46</v>
      </c>
      <c r="Q33">
        <v>17.044</v>
      </c>
      <c r="R33">
        <v>17.196999999999999</v>
      </c>
    </row>
    <row r="34" spans="2:18" x14ac:dyDescent="0.2">
      <c r="B34" t="s">
        <v>47</v>
      </c>
      <c r="Q34">
        <f>+SUM(Q27:Q33)</f>
        <v>2016.7740000000001</v>
      </c>
      <c r="R34">
        <f>+SUM(R27:R33)</f>
        <v>2633.8310000000001</v>
      </c>
    </row>
    <row r="36" spans="2:18" x14ac:dyDescent="0.2">
      <c r="B36" t="s">
        <v>4</v>
      </c>
      <c r="Q36">
        <f>508.846+26.423+289.898</f>
        <v>825.16700000000003</v>
      </c>
      <c r="R36">
        <f>652.357+15.146+275.903</f>
        <v>943.40599999999995</v>
      </c>
    </row>
    <row r="37" spans="2:18" x14ac:dyDescent="0.2">
      <c r="B37" t="s">
        <v>48</v>
      </c>
      <c r="Q37">
        <v>130.41999999999999</v>
      </c>
      <c r="R37">
        <v>226.81</v>
      </c>
    </row>
    <row r="38" spans="2:18" x14ac:dyDescent="0.2">
      <c r="B38" t="s">
        <v>50</v>
      </c>
      <c r="Q38">
        <v>20.498000000000001</v>
      </c>
      <c r="R38">
        <v>18.678999999999998</v>
      </c>
    </row>
    <row r="39" spans="2:18" x14ac:dyDescent="0.2">
      <c r="B39" t="s">
        <v>49</v>
      </c>
      <c r="Q39">
        <v>36.774000000000001</v>
      </c>
      <c r="R39">
        <v>62.656999999999996</v>
      </c>
    </row>
    <row r="40" spans="2:18" x14ac:dyDescent="0.2">
      <c r="B40" t="s">
        <v>45</v>
      </c>
      <c r="Q40">
        <v>18.997</v>
      </c>
      <c r="R40">
        <v>46.805</v>
      </c>
    </row>
    <row r="41" spans="2:18" x14ac:dyDescent="0.2">
      <c r="B41" t="s">
        <v>51</v>
      </c>
      <c r="Q41">
        <v>32.454999999999998</v>
      </c>
      <c r="R41">
        <v>40.186</v>
      </c>
    </row>
    <row r="42" spans="2:18" x14ac:dyDescent="0.2">
      <c r="B42" t="s">
        <v>52</v>
      </c>
      <c r="Q42">
        <v>109.36</v>
      </c>
      <c r="R42">
        <v>123.145</v>
      </c>
    </row>
    <row r="43" spans="2:18" x14ac:dyDescent="0.2">
      <c r="B43" t="s">
        <v>53</v>
      </c>
      <c r="Q43">
        <v>16.625</v>
      </c>
      <c r="R43">
        <v>65.707999999999998</v>
      </c>
    </row>
    <row r="44" spans="2:18" x14ac:dyDescent="0.2">
      <c r="B44" t="s">
        <v>54</v>
      </c>
      <c r="Q44">
        <f>+SUM(Q36:Q43)</f>
        <v>1190.2959999999998</v>
      </c>
      <c r="R44">
        <f>+SUM(R36:R43)</f>
        <v>1527.396</v>
      </c>
    </row>
    <row r="46" spans="2:18" x14ac:dyDescent="0.2">
      <c r="B46" t="s">
        <v>55</v>
      </c>
      <c r="Q46">
        <f>+Q34-Q44</f>
        <v>826.47800000000029</v>
      </c>
      <c r="R46">
        <f>+R34-R44</f>
        <v>1106.4350000000002</v>
      </c>
    </row>
    <row r="47" spans="2:18" x14ac:dyDescent="0.2">
      <c r="B47" t="s">
        <v>56</v>
      </c>
      <c r="Q47">
        <f>+Q44+Q46</f>
        <v>2016.7740000000001</v>
      </c>
      <c r="R47">
        <f>+R44+R46</f>
        <v>2633.8310000000001</v>
      </c>
    </row>
    <row r="49" spans="2:18" x14ac:dyDescent="0.2">
      <c r="B49" t="s">
        <v>67</v>
      </c>
      <c r="Q49" s="6">
        <f>+Q16/Q34</f>
        <v>0.10693959759497075</v>
      </c>
      <c r="R49" s="6">
        <f>+R16/R34</f>
        <v>0.12723595401527293</v>
      </c>
    </row>
    <row r="50" spans="2:18" x14ac:dyDescent="0.2">
      <c r="B50" t="s">
        <v>68</v>
      </c>
      <c r="Q50" s="6">
        <f>+Q16/Q46</f>
        <v>0.26095431457340601</v>
      </c>
      <c r="R50" s="6">
        <f>+R16/R46</f>
        <v>0.30288087415889797</v>
      </c>
    </row>
    <row r="52" spans="2:18" x14ac:dyDescent="0.2">
      <c r="B52" t="s">
        <v>69</v>
      </c>
      <c r="P52" s="1">
        <f>+P16</f>
        <v>143.2000000000001</v>
      </c>
      <c r="Q52" s="1">
        <f>+Q16</f>
        <v>215.67299999999955</v>
      </c>
      <c r="R52" s="1">
        <f>+R16</f>
        <v>335.11800000000034</v>
      </c>
    </row>
    <row r="53" spans="2:18" x14ac:dyDescent="0.2">
      <c r="B53" t="s">
        <v>70</v>
      </c>
      <c r="P53">
        <v>142.845</v>
      </c>
      <c r="Q53">
        <v>270.91800000000001</v>
      </c>
      <c r="R53">
        <v>309.72500000000002</v>
      </c>
    </row>
    <row r="54" spans="2:18" x14ac:dyDescent="0.2">
      <c r="B54" t="s">
        <v>60</v>
      </c>
      <c r="P54">
        <v>14.622</v>
      </c>
      <c r="Q54">
        <v>19.003</v>
      </c>
      <c r="R54">
        <v>24.181000000000001</v>
      </c>
    </row>
    <row r="55" spans="2:18" x14ac:dyDescent="0.2">
      <c r="B55" t="s">
        <v>57</v>
      </c>
      <c r="P55">
        <v>478.584</v>
      </c>
      <c r="Q55">
        <v>497.10399999999998</v>
      </c>
      <c r="R55">
        <v>439.988</v>
      </c>
    </row>
    <row r="56" spans="2:18" x14ac:dyDescent="0.2">
      <c r="B56" t="s">
        <v>61</v>
      </c>
      <c r="P56">
        <v>-64.379000000000005</v>
      </c>
      <c r="Q56">
        <v>-80.953999999999994</v>
      </c>
      <c r="R56">
        <v>-77.311999999999998</v>
      </c>
    </row>
    <row r="57" spans="2:18" x14ac:dyDescent="0.2">
      <c r="B57" t="s">
        <v>58</v>
      </c>
      <c r="P57">
        <v>-87.572000000000003</v>
      </c>
      <c r="Q57">
        <v>-185.84899999999999</v>
      </c>
      <c r="R57">
        <v>-551.923</v>
      </c>
    </row>
    <row r="58" spans="2:18" x14ac:dyDescent="0.2">
      <c r="B58" t="s">
        <v>59</v>
      </c>
      <c r="P58">
        <v>-104.53400000000001</v>
      </c>
      <c r="Q58">
        <v>-118.623</v>
      </c>
      <c r="R58">
        <v>-161.53899999999999</v>
      </c>
    </row>
    <row r="59" spans="2:18" x14ac:dyDescent="0.2">
      <c r="B59" t="s">
        <v>62</v>
      </c>
      <c r="P59">
        <f t="shared" ref="P59:Q59" si="33">+P55+P57+P58</f>
        <v>286.47800000000001</v>
      </c>
      <c r="Q59">
        <f t="shared" si="33"/>
        <v>192.63200000000001</v>
      </c>
      <c r="R59">
        <f>+R55+R57+R58</f>
        <v>-273.47399999999999</v>
      </c>
    </row>
    <row r="60" spans="2:18" x14ac:dyDescent="0.2">
      <c r="B60" t="s">
        <v>63</v>
      </c>
      <c r="P60">
        <v>399.58300000000003</v>
      </c>
      <c r="Q60">
        <f t="shared" ref="Q60" si="34">+Q55+Q56-Q54</f>
        <v>397.14699999999999</v>
      </c>
      <c r="R60">
        <f>+R55+R56-R54</f>
        <v>338.495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main</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Simão Clemente</dc:creator>
  <cp:lastModifiedBy>Simão Clemente</cp:lastModifiedBy>
  <dcterms:created xsi:type="dcterms:W3CDTF">2026-05-01T07:59:12Z</dcterms:created>
  <dcterms:modified xsi:type="dcterms:W3CDTF">2026-05-28T21:38:17Z</dcterms:modified>
</cp:coreProperties>
</file>