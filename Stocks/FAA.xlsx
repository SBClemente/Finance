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ademiafaedupt-my.sharepoint.com/personal/sbclemente_academiafa_edu_pt/Documents/Gigs/WorkingFolder/Finance_Shared/Stocks/"/>
    </mc:Choice>
  </mc:AlternateContent>
  <xr:revisionPtr revIDLastSave="93" documentId="8_{E49BACAE-3C63-4DBE-A618-C48DE56FC568}" xr6:coauthVersionLast="47" xr6:coauthVersionMax="47" xr10:uidLastSave="{2EEDCC73-BD80-4E4F-AB75-30870BEFEDD9}"/>
  <bookViews>
    <workbookView xWindow="-105" yWindow="0" windowWidth="14610" windowHeight="15585" xr2:uid="{326E3553-EF7B-4C73-8DE3-76C7937506BA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23" i="2" l="1"/>
  <c r="Y22" i="2"/>
  <c r="W13" i="2"/>
  <c r="X13" i="2" s="1"/>
  <c r="Y13" i="2" s="1"/>
  <c r="Z13" i="2" s="1"/>
  <c r="AA13" i="2" s="1"/>
  <c r="AB13" i="2" s="1"/>
  <c r="AC13" i="2" s="1"/>
  <c r="AD13" i="2" s="1"/>
  <c r="AE13" i="2" s="1"/>
  <c r="AF13" i="2" s="1"/>
  <c r="AG13" i="2" s="1"/>
  <c r="AH13" i="2" s="1"/>
  <c r="AI13" i="2" s="1"/>
  <c r="AJ13" i="2" s="1"/>
  <c r="AK13" i="2" s="1"/>
  <c r="AL13" i="2" s="1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BA13" i="2" s="1"/>
  <c r="BB13" i="2" s="1"/>
  <c r="BC13" i="2" s="1"/>
  <c r="BD13" i="2" s="1"/>
  <c r="BE13" i="2" s="1"/>
  <c r="BF13" i="2" s="1"/>
  <c r="BG13" i="2" s="1"/>
  <c r="BH13" i="2" s="1"/>
  <c r="BI13" i="2" s="1"/>
  <c r="BJ13" i="2" s="1"/>
  <c r="BK13" i="2" s="1"/>
  <c r="BL13" i="2" s="1"/>
  <c r="BM13" i="2" s="1"/>
  <c r="BN13" i="2" s="1"/>
  <c r="BO13" i="2" s="1"/>
  <c r="BP13" i="2" s="1"/>
  <c r="BQ13" i="2" s="1"/>
  <c r="BR13" i="2" s="1"/>
  <c r="BS13" i="2" s="1"/>
  <c r="BT13" i="2" s="1"/>
  <c r="BU13" i="2" s="1"/>
  <c r="BV13" i="2" s="1"/>
  <c r="BW13" i="2" s="1"/>
  <c r="BX13" i="2" s="1"/>
  <c r="BY13" i="2" s="1"/>
  <c r="BZ13" i="2" s="1"/>
  <c r="CA13" i="2" s="1"/>
  <c r="U19" i="2"/>
  <c r="T19" i="2"/>
  <c r="S19" i="2"/>
  <c r="R19" i="2"/>
  <c r="V19" i="2"/>
  <c r="S2" i="2"/>
  <c r="T2" i="2" s="1"/>
  <c r="U2" i="2" s="1"/>
  <c r="V2" i="2" s="1"/>
  <c r="W2" i="2" s="1"/>
  <c r="X2" i="2" s="1"/>
  <c r="Y2" i="2" s="1"/>
  <c r="Z2" i="2" s="1"/>
  <c r="AA2" i="2" s="1"/>
  <c r="AB2" i="2" s="1"/>
  <c r="AC2" i="2" s="1"/>
  <c r="R2" i="2"/>
  <c r="K77" i="2"/>
  <c r="K76" i="2"/>
  <c r="K75" i="2"/>
  <c r="K51" i="2"/>
  <c r="G13" i="2"/>
  <c r="G11" i="2"/>
  <c r="G10" i="2"/>
  <c r="G9" i="2"/>
  <c r="G8" i="2"/>
  <c r="K16" i="2"/>
  <c r="K19" i="2"/>
  <c r="K18" i="2"/>
  <c r="K17" i="2"/>
  <c r="K3" i="2"/>
  <c r="K5" i="2" s="1"/>
  <c r="G3" i="2"/>
  <c r="G5" i="2" s="1"/>
  <c r="K41" i="2"/>
  <c r="K42" i="2" s="1"/>
  <c r="K26" i="2"/>
  <c r="K32" i="2" s="1"/>
  <c r="K44" i="2" s="1"/>
  <c r="K8" i="2"/>
  <c r="L8" i="1"/>
  <c r="L7" i="1"/>
  <c r="L6" i="1"/>
  <c r="L5" i="1"/>
  <c r="K9" i="2" l="1"/>
  <c r="K11" i="2" s="1"/>
  <c r="K13" i="2" s="1"/>
  <c r="K45" i="2"/>
  <c r="K47" i="2" l="1"/>
  <c r="K48" i="2"/>
</calcChain>
</file>

<file path=xl/sharedStrings.xml><?xml version="1.0" encoding="utf-8"?>
<sst xmlns="http://schemas.openxmlformats.org/spreadsheetml/2006/main" count="85" uniqueCount="78">
  <si>
    <t>Price</t>
  </si>
  <si>
    <t>Shares</t>
  </si>
  <si>
    <t>MC</t>
  </si>
  <si>
    <t>Cash</t>
  </si>
  <si>
    <t>Debt</t>
  </si>
  <si>
    <t>EV</t>
  </si>
  <si>
    <t>Business</t>
  </si>
  <si>
    <t>Government</t>
  </si>
  <si>
    <t>Austria</t>
  </si>
  <si>
    <t>CEO</t>
  </si>
  <si>
    <t>Elmut Fallman</t>
  </si>
  <si>
    <t>Revenue</t>
  </si>
  <si>
    <t>COGS</t>
  </si>
  <si>
    <t xml:space="preserve">Gross Profit </t>
  </si>
  <si>
    <t>Other</t>
  </si>
  <si>
    <t>Operating Profit</t>
  </si>
  <si>
    <t>OPEX</t>
  </si>
  <si>
    <t>Interest Income</t>
  </si>
  <si>
    <t>Tax</t>
  </si>
  <si>
    <t>NI</t>
  </si>
  <si>
    <t>EPS</t>
  </si>
  <si>
    <t>Q224</t>
  </si>
  <si>
    <t>Q325</t>
  </si>
  <si>
    <t>Q324</t>
  </si>
  <si>
    <t>Q424</t>
  </si>
  <si>
    <t>Q125</t>
  </si>
  <si>
    <t>Q225</t>
  </si>
  <si>
    <t>Q425</t>
  </si>
  <si>
    <t>Q126</t>
  </si>
  <si>
    <t>Q226</t>
  </si>
  <si>
    <t>PPE</t>
  </si>
  <si>
    <t>Intanngibles</t>
  </si>
  <si>
    <t>ONCA</t>
  </si>
  <si>
    <t>DT</t>
  </si>
  <si>
    <t>Trade Receivebles</t>
  </si>
  <si>
    <t>Taxes</t>
  </si>
  <si>
    <t xml:space="preserve">Cash </t>
  </si>
  <si>
    <t>Contract A</t>
  </si>
  <si>
    <t>Severance Payments</t>
  </si>
  <si>
    <t>Grants</t>
  </si>
  <si>
    <t>Trade Payables</t>
  </si>
  <si>
    <t>Liabilities</t>
  </si>
  <si>
    <t>Assets</t>
  </si>
  <si>
    <t>Contract L</t>
  </si>
  <si>
    <t>S/E</t>
  </si>
  <si>
    <t>L+S/E</t>
  </si>
  <si>
    <t>ROE</t>
  </si>
  <si>
    <t>ROI</t>
  </si>
  <si>
    <t>ROA</t>
  </si>
  <si>
    <t>EBITDA</t>
  </si>
  <si>
    <t>Gross %</t>
  </si>
  <si>
    <t>Operating %</t>
  </si>
  <si>
    <t>NI y/y</t>
  </si>
  <si>
    <t>Rev q/q</t>
  </si>
  <si>
    <t>Employee Expense</t>
  </si>
  <si>
    <t>Model NI</t>
  </si>
  <si>
    <t>ReportedNI</t>
  </si>
  <si>
    <t>Finane Expenses</t>
  </si>
  <si>
    <t>DA</t>
  </si>
  <si>
    <t>Forex</t>
  </si>
  <si>
    <t>Changes Provisions</t>
  </si>
  <si>
    <t>P/L</t>
  </si>
  <si>
    <t>Sale PPE</t>
  </si>
  <si>
    <t>CFFO</t>
  </si>
  <si>
    <t>Changes Assets</t>
  </si>
  <si>
    <t>Proceeds</t>
  </si>
  <si>
    <t>CFFI</t>
  </si>
  <si>
    <t>Leases</t>
  </si>
  <si>
    <t>Treasury</t>
  </si>
  <si>
    <t>Payment Interest</t>
  </si>
  <si>
    <t>Financial Liabilities</t>
  </si>
  <si>
    <t>Repayment Liabilities</t>
  </si>
  <si>
    <t>CFFF</t>
  </si>
  <si>
    <t>CFC</t>
  </si>
  <si>
    <t>FCF</t>
  </si>
  <si>
    <t>Capex</t>
  </si>
  <si>
    <t>VAL</t>
  </si>
  <si>
    <t>Share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</si>
</sst>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9" fontId="0" fillId="0" borderId="0" xfId="0" applyNumberFormat="1"/>
    <xf numFmtId="0" fontId="1" fillId="0" borderId="0" xfId="0" applyFon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104776</xdr:colOff>
      <xdr:row>14</xdr:row>
      <xdr:rowOff>95249</xdr:rowOff>
    </xdr:from>
    <xdr:to>
      <xdr:col>11</xdr:col>
      <xdr:colOff>446190</xdr:colOff>
      <xdr:row>27</xdr:row>
      <xdr:rowOff>10129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CFA335-1F35-BA6A-317B-6B41FAD4A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376" y="2628899"/>
          <a:ext cx="6513614" cy="2267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196A-136C-4B12-AA62-3380CDB852E1}">
  <dimension ref="C2:L8"/>
  <sheetViews>
    <sheetView tabSelected="1" workbookViewId="0">
      <selection activeCell="L9" sqref="L9"/>
    </sheetView>
  </sheetViews>
  <sheetFormatPr defaultRowHeight="14.25" x14ac:dyDescent="0.2"/>
  <sheetData>
    <row r="2" spans="3:12" x14ac:dyDescent="0.2">
      <c r="C2" t="s">
        <v>8</v>
      </c>
    </row>
    <row r="3" spans="3:12" x14ac:dyDescent="0.2">
      <c r="C3" t="s">
        <v>9</v>
      </c>
      <c r="D3" t="s">
        <v>10</v>
      </c>
      <c r="K3" t="s">
        <v>0</v>
      </c>
      <c r="L3" s="1">
        <v>15.85</v>
      </c>
    </row>
    <row r="4" spans="3:12" x14ac:dyDescent="0.2">
      <c r="C4" t="s">
        <v>6</v>
      </c>
      <c r="K4" t="s">
        <v>1</v>
      </c>
      <c r="L4" s="1">
        <v>10.53</v>
      </c>
    </row>
    <row r="5" spans="3:12" x14ac:dyDescent="0.2">
      <c r="C5" t="s">
        <v>7</v>
      </c>
      <c r="K5" t="s">
        <v>2</v>
      </c>
      <c r="L5" s="1">
        <f>+L4*L3</f>
        <v>166.90049999999999</v>
      </c>
    </row>
    <row r="6" spans="3:12" x14ac:dyDescent="0.2">
      <c r="K6" t="s">
        <v>3</v>
      </c>
      <c r="L6" s="1">
        <f>40.339+0.151</f>
        <v>40.49</v>
      </c>
    </row>
    <row r="7" spans="3:12" x14ac:dyDescent="0.2">
      <c r="K7" t="s">
        <v>4</v>
      </c>
      <c r="L7" s="1">
        <f>0.8+9.851</f>
        <v>10.651000000000002</v>
      </c>
    </row>
    <row r="8" spans="3:12" x14ac:dyDescent="0.2">
      <c r="K8" t="s">
        <v>5</v>
      </c>
      <c r="L8" s="1">
        <f>+L5-L6+L7</f>
        <v>137.0615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A3DE5-2E74-4AD2-B6EB-82E0AEF07271}">
  <dimension ref="B2:CA77"/>
  <sheetViews>
    <sheetView topLeftCell="A2" workbookViewId="0">
      <pane xSplit="2" ySplit="1" topLeftCell="V3" activePane="bottomRight" state="frozen"/>
      <selection activeCell="A2" sqref="A2"/>
      <selection pane="topRight" activeCell="C2" sqref="C2"/>
      <selection pane="bottomLeft" activeCell="A3" sqref="A3"/>
      <selection pane="bottomRight" activeCell="Y23" sqref="Y23"/>
    </sheetView>
  </sheetViews>
  <sheetFormatPr defaultRowHeight="14.25" x14ac:dyDescent="0.2"/>
  <cols>
    <col min="2" max="2" width="19.875" customWidth="1"/>
  </cols>
  <sheetData>
    <row r="2" spans="2:79" x14ac:dyDescent="0.2">
      <c r="C2" t="s">
        <v>21</v>
      </c>
      <c r="D2" t="s">
        <v>23</v>
      </c>
      <c r="E2" t="s">
        <v>24</v>
      </c>
      <c r="F2" t="s">
        <v>25</v>
      </c>
      <c r="G2" t="s">
        <v>26</v>
      </c>
      <c r="H2" t="s">
        <v>22</v>
      </c>
      <c r="I2" t="s">
        <v>27</v>
      </c>
      <c r="J2" t="s">
        <v>28</v>
      </c>
      <c r="K2" t="s">
        <v>29</v>
      </c>
      <c r="Q2">
        <v>2021</v>
      </c>
      <c r="R2">
        <f>+Q2+1</f>
        <v>2022</v>
      </c>
      <c r="S2">
        <f t="shared" ref="S2:AC2" si="0">+R2+1</f>
        <v>2023</v>
      </c>
      <c r="T2">
        <f t="shared" si="0"/>
        <v>2024</v>
      </c>
      <c r="U2">
        <f t="shared" si="0"/>
        <v>2025</v>
      </c>
      <c r="V2">
        <f t="shared" si="0"/>
        <v>2026</v>
      </c>
      <c r="W2">
        <f t="shared" si="0"/>
        <v>2027</v>
      </c>
      <c r="X2">
        <f t="shared" si="0"/>
        <v>2028</v>
      </c>
      <c r="Y2">
        <f t="shared" si="0"/>
        <v>2029</v>
      </c>
      <c r="Z2">
        <f t="shared" si="0"/>
        <v>2030</v>
      </c>
      <c r="AA2">
        <f t="shared" si="0"/>
        <v>2031</v>
      </c>
      <c r="AB2">
        <f t="shared" si="0"/>
        <v>2032</v>
      </c>
      <c r="AC2">
        <f t="shared" si="0"/>
        <v>2033</v>
      </c>
    </row>
    <row r="3" spans="2:79" s="3" customFormat="1" ht="15" x14ac:dyDescent="0.25">
      <c r="B3" s="3" t="s">
        <v>11</v>
      </c>
      <c r="G3" s="3">
        <f>21.196+0.012</f>
        <v>21.208000000000002</v>
      </c>
      <c r="K3" s="3">
        <f>25.364+0.123</f>
        <v>25.487000000000002</v>
      </c>
      <c r="Q3" s="3">
        <v>55.09</v>
      </c>
      <c r="R3" s="3">
        <v>58.268000000000001</v>
      </c>
      <c r="S3" s="3">
        <v>69.277000000000001</v>
      </c>
      <c r="T3" s="3">
        <v>80.95</v>
      </c>
      <c r="U3" s="3">
        <v>86.844999999999999</v>
      </c>
      <c r="V3" s="3">
        <v>90.033000000000001</v>
      </c>
    </row>
    <row r="4" spans="2:79" x14ac:dyDescent="0.2">
      <c r="B4" t="s">
        <v>12</v>
      </c>
      <c r="G4">
        <v>-1.401</v>
      </c>
      <c r="K4">
        <v>-1.401</v>
      </c>
    </row>
    <row r="5" spans="2:79" x14ac:dyDescent="0.2">
      <c r="B5" t="s">
        <v>13</v>
      </c>
      <c r="G5">
        <f>+G3+G4</f>
        <v>19.807000000000002</v>
      </c>
      <c r="K5">
        <f>+K3+K4</f>
        <v>24.086000000000002</v>
      </c>
    </row>
    <row r="6" spans="2:79" x14ac:dyDescent="0.2">
      <c r="B6" t="s">
        <v>54</v>
      </c>
      <c r="G6">
        <v>-12.112</v>
      </c>
      <c r="K6">
        <v>-13.103999999999999</v>
      </c>
    </row>
    <row r="7" spans="2:79" x14ac:dyDescent="0.2">
      <c r="B7" t="s">
        <v>14</v>
      </c>
      <c r="G7">
        <v>-3.66</v>
      </c>
      <c r="K7">
        <v>-3.5609999999999999</v>
      </c>
    </row>
    <row r="8" spans="2:79" x14ac:dyDescent="0.2">
      <c r="B8" t="s">
        <v>16</v>
      </c>
      <c r="G8">
        <f>+G6+G7</f>
        <v>-15.772</v>
      </c>
      <c r="K8">
        <f>+K6+K7</f>
        <v>-16.664999999999999</v>
      </c>
    </row>
    <row r="9" spans="2:79" x14ac:dyDescent="0.2">
      <c r="B9" t="s">
        <v>15</v>
      </c>
      <c r="G9">
        <f>+G5+G8</f>
        <v>4.0350000000000019</v>
      </c>
      <c r="K9">
        <f>+K5+K8</f>
        <v>7.4210000000000029</v>
      </c>
    </row>
    <row r="10" spans="2:79" x14ac:dyDescent="0.2">
      <c r="B10" t="s">
        <v>17</v>
      </c>
      <c r="G10">
        <f>-0.166+0.002</f>
        <v>-0.16400000000000001</v>
      </c>
      <c r="K10">
        <v>-0.19500000000000001</v>
      </c>
    </row>
    <row r="11" spans="2:79" x14ac:dyDescent="0.2">
      <c r="B11" t="s">
        <v>49</v>
      </c>
      <c r="G11">
        <f>+G9+G10</f>
        <v>3.8710000000000018</v>
      </c>
      <c r="K11">
        <f>+K9+K10</f>
        <v>7.2260000000000026</v>
      </c>
    </row>
    <row r="12" spans="2:79" x14ac:dyDescent="0.2">
      <c r="B12" t="s">
        <v>18</v>
      </c>
      <c r="G12">
        <v>-0.53900000000000003</v>
      </c>
      <c r="K12">
        <v>-1.325</v>
      </c>
    </row>
    <row r="13" spans="2:79" s="3" customFormat="1" ht="15" x14ac:dyDescent="0.25">
      <c r="B13" s="3" t="s">
        <v>19</v>
      </c>
      <c r="G13" s="3">
        <f>+G11+G12</f>
        <v>3.3320000000000016</v>
      </c>
      <c r="K13" s="3">
        <f>+K11+K12</f>
        <v>5.9010000000000025</v>
      </c>
      <c r="Q13">
        <v>9.73</v>
      </c>
      <c r="R13">
        <v>7.88</v>
      </c>
      <c r="S13">
        <v>6.8250000000000002</v>
      </c>
      <c r="T13">
        <v>9.6289999999999996</v>
      </c>
      <c r="U13">
        <v>9.1150000000000002</v>
      </c>
      <c r="V13">
        <v>10.798</v>
      </c>
      <c r="W13">
        <f>+V13*1.05</f>
        <v>11.337900000000001</v>
      </c>
      <c r="X13">
        <f t="shared" ref="X13:AC13" si="1">+W13*1.05</f>
        <v>11.904795000000002</v>
      </c>
      <c r="Y13">
        <f t="shared" si="1"/>
        <v>12.500034750000003</v>
      </c>
      <c r="Z13">
        <f t="shared" si="1"/>
        <v>13.125036487500003</v>
      </c>
      <c r="AA13">
        <f t="shared" si="1"/>
        <v>13.781288311875004</v>
      </c>
      <c r="AB13">
        <f t="shared" si="1"/>
        <v>14.470352727468756</v>
      </c>
      <c r="AC13">
        <f t="shared" si="1"/>
        <v>15.193870363842194</v>
      </c>
      <c r="AD13">
        <f>+AC13*0.98</f>
        <v>14.889992956565351</v>
      </c>
      <c r="AE13">
        <f t="shared" ref="AE13:CA13" si="2">+AD13*0.98</f>
        <v>14.592193097434043</v>
      </c>
      <c r="AF13">
        <f t="shared" si="2"/>
        <v>14.300349235485362</v>
      </c>
      <c r="AG13">
        <f t="shared" si="2"/>
        <v>14.014342250775654</v>
      </c>
      <c r="AH13">
        <f t="shared" si="2"/>
        <v>13.73405540576014</v>
      </c>
      <c r="AI13">
        <f t="shared" si="2"/>
        <v>13.459374297644937</v>
      </c>
      <c r="AJ13">
        <f t="shared" si="2"/>
        <v>13.190186811692037</v>
      </c>
      <c r="AK13">
        <f t="shared" si="2"/>
        <v>12.926383075458196</v>
      </c>
      <c r="AL13">
        <f t="shared" si="2"/>
        <v>12.667855413949031</v>
      </c>
      <c r="AM13">
        <f t="shared" si="2"/>
        <v>12.414498305670049</v>
      </c>
      <c r="AN13">
        <f t="shared" si="2"/>
        <v>12.166208339556649</v>
      </c>
      <c r="AO13">
        <f t="shared" si="2"/>
        <v>11.922884172765515</v>
      </c>
      <c r="AP13">
        <f t="shared" si="2"/>
        <v>11.684426489310205</v>
      </c>
      <c r="AQ13">
        <f t="shared" si="2"/>
        <v>11.450737959524</v>
      </c>
      <c r="AR13">
        <f t="shared" si="2"/>
        <v>11.221723200333519</v>
      </c>
      <c r="AS13">
        <f t="shared" si="2"/>
        <v>10.997288736326849</v>
      </c>
      <c r="AT13">
        <f t="shared" si="2"/>
        <v>10.777342961600313</v>
      </c>
      <c r="AU13">
        <f t="shared" si="2"/>
        <v>10.561796102368307</v>
      </c>
      <c r="AV13">
        <f t="shared" si="2"/>
        <v>10.35056018032094</v>
      </c>
      <c r="AW13">
        <f t="shared" si="2"/>
        <v>10.143548976714522</v>
      </c>
      <c r="AX13">
        <f t="shared" si="2"/>
        <v>9.9406779971802308</v>
      </c>
      <c r="AY13">
        <f t="shared" si="2"/>
        <v>9.7418644372366252</v>
      </c>
      <c r="AZ13">
        <f t="shared" si="2"/>
        <v>9.5470271484918925</v>
      </c>
      <c r="BA13">
        <f t="shared" si="2"/>
        <v>9.3560866055220551</v>
      </c>
      <c r="BB13">
        <f t="shared" si="2"/>
        <v>9.168964873411614</v>
      </c>
      <c r="BC13">
        <f t="shared" si="2"/>
        <v>8.9855855759433823</v>
      </c>
      <c r="BD13">
        <f t="shared" si="2"/>
        <v>8.8058738644245143</v>
      </c>
      <c r="BE13">
        <f t="shared" si="2"/>
        <v>8.6297563871360232</v>
      </c>
      <c r="BF13">
        <f t="shared" si="2"/>
        <v>8.4571612593933025</v>
      </c>
      <c r="BG13">
        <f t="shared" si="2"/>
        <v>8.2880180342054359</v>
      </c>
      <c r="BH13">
        <f t="shared" si="2"/>
        <v>8.122257673521327</v>
      </c>
      <c r="BI13">
        <f t="shared" si="2"/>
        <v>7.9598125200509005</v>
      </c>
      <c r="BJ13">
        <f t="shared" si="2"/>
        <v>7.8006162696498826</v>
      </c>
      <c r="BK13">
        <f t="shared" si="2"/>
        <v>7.6446039442568852</v>
      </c>
      <c r="BL13">
        <f t="shared" si="2"/>
        <v>7.4917118653717472</v>
      </c>
      <c r="BM13">
        <f t="shared" si="2"/>
        <v>7.3418776280643119</v>
      </c>
      <c r="BN13">
        <f t="shared" si="2"/>
        <v>7.1950400755030257</v>
      </c>
      <c r="BO13">
        <f t="shared" si="2"/>
        <v>7.0511392739929653</v>
      </c>
      <c r="BP13">
        <f t="shared" si="2"/>
        <v>6.9101164885131059</v>
      </c>
      <c r="BQ13">
        <f t="shared" si="2"/>
        <v>6.7719141587428435</v>
      </c>
      <c r="BR13">
        <f t="shared" si="2"/>
        <v>6.6364758755679869</v>
      </c>
      <c r="BS13">
        <f t="shared" si="2"/>
        <v>6.5037463580566275</v>
      </c>
      <c r="BT13">
        <f t="shared" si="2"/>
        <v>6.3736714308954951</v>
      </c>
      <c r="BU13">
        <f t="shared" si="2"/>
        <v>6.2461980022775849</v>
      </c>
      <c r="BV13">
        <f t="shared" si="2"/>
        <v>6.1212740422320335</v>
      </c>
      <c r="BW13">
        <f t="shared" si="2"/>
        <v>5.9988485613873923</v>
      </c>
      <c r="BX13">
        <f t="shared" si="2"/>
        <v>5.878871590159644</v>
      </c>
      <c r="BY13">
        <f t="shared" si="2"/>
        <v>5.761294158356451</v>
      </c>
      <c r="BZ13">
        <f t="shared" si="2"/>
        <v>5.6460682751893216</v>
      </c>
      <c r="CA13">
        <f t="shared" si="2"/>
        <v>5.5331469096855352</v>
      </c>
    </row>
    <row r="14" spans="2:79" x14ac:dyDescent="0.2">
      <c r="B14" t="s">
        <v>20</v>
      </c>
    </row>
    <row r="16" spans="2:79" x14ac:dyDescent="0.2">
      <c r="B16" t="s">
        <v>53</v>
      </c>
      <c r="K16" s="2" t="e">
        <f>+K3/J3</f>
        <v>#DIV/0!</v>
      </c>
    </row>
    <row r="17" spans="2:25" x14ac:dyDescent="0.2">
      <c r="B17" t="s">
        <v>50</v>
      </c>
      <c r="K17" s="2">
        <f>+K5/K3</f>
        <v>0.94503080001569428</v>
      </c>
    </row>
    <row r="18" spans="2:25" x14ac:dyDescent="0.2">
      <c r="B18" t="s">
        <v>51</v>
      </c>
      <c r="K18" s="2">
        <f>+K9/K3</f>
        <v>0.29116804645505562</v>
      </c>
    </row>
    <row r="19" spans="2:25" x14ac:dyDescent="0.2">
      <c r="B19" t="s">
        <v>52</v>
      </c>
      <c r="K19" s="2" t="e">
        <f>+K13/G19</f>
        <v>#DIV/0!</v>
      </c>
      <c r="R19" s="2">
        <f t="shared" ref="R19:V19" si="3">+R3/Q3-1</f>
        <v>5.7687420584497939E-2</v>
      </c>
      <c r="S19" s="2">
        <f t="shared" si="3"/>
        <v>0.18893732408869357</v>
      </c>
      <c r="T19" s="2">
        <f t="shared" si="3"/>
        <v>0.16849748112649232</v>
      </c>
      <c r="U19" s="2">
        <f t="shared" si="3"/>
        <v>7.2822730080296383E-2</v>
      </c>
      <c r="V19" s="2">
        <f>+V3/U3-1</f>
        <v>3.6709079394323219E-2</v>
      </c>
    </row>
    <row r="22" spans="2:25" x14ac:dyDescent="0.2">
      <c r="X22" t="s">
        <v>76</v>
      </c>
      <c r="Y22" s="4">
        <f>NPV(0.07,W13:CA13)</f>
        <v>171.89780787416532</v>
      </c>
    </row>
    <row r="23" spans="2:25" x14ac:dyDescent="0.2">
      <c r="X23" t="s">
        <v>77</v>
      </c>
      <c r="Y23">
        <f>+Y22/10.7</f>
        <v>16.06521568917433</v>
      </c>
    </row>
    <row r="24" spans="2:25" x14ac:dyDescent="0.2">
      <c r="B24" t="s">
        <v>30</v>
      </c>
      <c r="K24">
        <v>38.856000000000002</v>
      </c>
    </row>
    <row r="25" spans="2:25" x14ac:dyDescent="0.2">
      <c r="B25" t="s">
        <v>31</v>
      </c>
      <c r="K25">
        <v>3.5990000000000002</v>
      </c>
    </row>
    <row r="26" spans="2:25" x14ac:dyDescent="0.2">
      <c r="B26" t="s">
        <v>32</v>
      </c>
      <c r="K26">
        <f>0.151+0.006</f>
        <v>0.157</v>
      </c>
    </row>
    <row r="27" spans="2:25" x14ac:dyDescent="0.2">
      <c r="B27" t="s">
        <v>33</v>
      </c>
      <c r="K27">
        <v>0.61199999999999999</v>
      </c>
    </row>
    <row r="28" spans="2:25" x14ac:dyDescent="0.2">
      <c r="B28" t="s">
        <v>34</v>
      </c>
      <c r="K28">
        <v>18.495000000000001</v>
      </c>
    </row>
    <row r="29" spans="2:25" x14ac:dyDescent="0.2">
      <c r="B29" t="s">
        <v>37</v>
      </c>
      <c r="K29">
        <v>3.0640000000000001</v>
      </c>
    </row>
    <row r="30" spans="2:25" x14ac:dyDescent="0.2">
      <c r="B30" t="s">
        <v>35</v>
      </c>
      <c r="K30">
        <v>1.0149999999999999</v>
      </c>
    </row>
    <row r="31" spans="2:25" x14ac:dyDescent="0.2">
      <c r="B31" t="s">
        <v>36</v>
      </c>
      <c r="K31">
        <v>40.338999999999999</v>
      </c>
    </row>
    <row r="32" spans="2:25" s="3" customFormat="1" ht="15" x14ac:dyDescent="0.25">
      <c r="B32" s="3" t="s">
        <v>42</v>
      </c>
      <c r="K32" s="3">
        <f>SUM(K24:K31)</f>
        <v>106.13699999999999</v>
      </c>
    </row>
    <row r="34" spans="2:11" x14ac:dyDescent="0.2">
      <c r="B34" t="s">
        <v>38</v>
      </c>
      <c r="K34">
        <v>3.254</v>
      </c>
    </row>
    <row r="35" spans="2:11" x14ac:dyDescent="0.2">
      <c r="B35" t="s">
        <v>33</v>
      </c>
      <c r="K35">
        <v>1.621</v>
      </c>
    </row>
    <row r="36" spans="2:11" x14ac:dyDescent="0.2">
      <c r="B36" t="s">
        <v>14</v>
      </c>
      <c r="K36">
        <v>6.2320000000000002</v>
      </c>
    </row>
    <row r="37" spans="2:11" x14ac:dyDescent="0.2">
      <c r="B37" t="s">
        <v>39</v>
      </c>
      <c r="K37">
        <v>4.1000000000000002E-2</v>
      </c>
    </row>
    <row r="38" spans="2:11" x14ac:dyDescent="0.2">
      <c r="B38" t="s">
        <v>40</v>
      </c>
      <c r="K38">
        <v>14.82</v>
      </c>
    </row>
    <row r="39" spans="2:11" x14ac:dyDescent="0.2">
      <c r="B39" t="s">
        <v>35</v>
      </c>
      <c r="K39">
        <v>3.5379999999999998</v>
      </c>
    </row>
    <row r="40" spans="2:11" x14ac:dyDescent="0.2">
      <c r="B40" t="s">
        <v>43</v>
      </c>
      <c r="K40">
        <v>21.172000000000001</v>
      </c>
    </row>
    <row r="41" spans="2:11" x14ac:dyDescent="0.2">
      <c r="B41" t="s">
        <v>4</v>
      </c>
      <c r="K41">
        <f>9.851+0.8</f>
        <v>10.651000000000002</v>
      </c>
    </row>
    <row r="42" spans="2:11" s="3" customFormat="1" ht="15" x14ac:dyDescent="0.25">
      <c r="B42" s="3" t="s">
        <v>41</v>
      </c>
      <c r="K42" s="3">
        <f>+SUM(K34:K41)</f>
        <v>61.329000000000001</v>
      </c>
    </row>
    <row r="44" spans="2:11" x14ac:dyDescent="0.2">
      <c r="B44" t="s">
        <v>44</v>
      </c>
      <c r="K44">
        <f>+K32-K42</f>
        <v>44.807999999999986</v>
      </c>
    </row>
    <row r="45" spans="2:11" x14ac:dyDescent="0.2">
      <c r="B45" t="s">
        <v>45</v>
      </c>
      <c r="K45">
        <f>+K42+K44</f>
        <v>106.13699999999999</v>
      </c>
    </row>
    <row r="47" spans="2:11" x14ac:dyDescent="0.2">
      <c r="B47" t="s">
        <v>48</v>
      </c>
      <c r="K47" s="2">
        <f>+K13/K32</f>
        <v>5.5597953588286869E-2</v>
      </c>
    </row>
    <row r="48" spans="2:11" x14ac:dyDescent="0.2">
      <c r="B48" t="s">
        <v>46</v>
      </c>
      <c r="K48" s="2">
        <f>+K13/K44</f>
        <v>0.13169523299410829</v>
      </c>
    </row>
    <row r="49" spans="2:11" x14ac:dyDescent="0.2">
      <c r="B49" t="s">
        <v>47</v>
      </c>
    </row>
    <row r="51" spans="2:11" x14ac:dyDescent="0.2">
      <c r="B51" t="s">
        <v>55</v>
      </c>
      <c r="K51">
        <f>+K13</f>
        <v>5.9010000000000025</v>
      </c>
    </row>
    <row r="52" spans="2:11" x14ac:dyDescent="0.2">
      <c r="B52" t="s">
        <v>56</v>
      </c>
      <c r="K52">
        <v>5.1070000000000002</v>
      </c>
    </row>
    <row r="53" spans="2:11" x14ac:dyDescent="0.2">
      <c r="B53" t="s">
        <v>57</v>
      </c>
    </row>
    <row r="54" spans="2:11" x14ac:dyDescent="0.2">
      <c r="B54" t="s">
        <v>58</v>
      </c>
    </row>
    <row r="55" spans="2:11" x14ac:dyDescent="0.2">
      <c r="B55" t="s">
        <v>59</v>
      </c>
    </row>
    <row r="56" spans="2:11" x14ac:dyDescent="0.2">
      <c r="B56" t="s">
        <v>60</v>
      </c>
    </row>
    <row r="57" spans="2:11" x14ac:dyDescent="0.2">
      <c r="B57" t="s">
        <v>61</v>
      </c>
    </row>
    <row r="58" spans="2:11" x14ac:dyDescent="0.2">
      <c r="B58" t="s">
        <v>62</v>
      </c>
    </row>
    <row r="59" spans="2:11" x14ac:dyDescent="0.2">
      <c r="B59" t="s">
        <v>39</v>
      </c>
    </row>
    <row r="60" spans="2:11" x14ac:dyDescent="0.2">
      <c r="B60" t="s">
        <v>64</v>
      </c>
    </row>
    <row r="61" spans="2:11" x14ac:dyDescent="0.2">
      <c r="B61" t="s">
        <v>17</v>
      </c>
    </row>
    <row r="62" spans="2:11" s="3" customFormat="1" ht="15" x14ac:dyDescent="0.25">
      <c r="B62" s="3" t="s">
        <v>63</v>
      </c>
      <c r="K62" s="3">
        <v>2.4630000000000001</v>
      </c>
    </row>
    <row r="64" spans="2:11" s="3" customFormat="1" ht="15" x14ac:dyDescent="0.25">
      <c r="B64" s="3" t="s">
        <v>30</v>
      </c>
      <c r="K64" s="3">
        <v>-1.425</v>
      </c>
    </row>
    <row r="65" spans="2:11" x14ac:dyDescent="0.2">
      <c r="B65" t="s">
        <v>65</v>
      </c>
    </row>
    <row r="66" spans="2:11" s="3" customFormat="1" ht="15" x14ac:dyDescent="0.25">
      <c r="B66" s="3" t="s">
        <v>66</v>
      </c>
      <c r="K66" s="3">
        <v>-1.425</v>
      </c>
    </row>
    <row r="68" spans="2:11" x14ac:dyDescent="0.2">
      <c r="B68" t="s">
        <v>67</v>
      </c>
    </row>
    <row r="69" spans="2:11" x14ac:dyDescent="0.2">
      <c r="B69" t="s">
        <v>68</v>
      </c>
    </row>
    <row r="70" spans="2:11" x14ac:dyDescent="0.2">
      <c r="B70" t="s">
        <v>69</v>
      </c>
    </row>
    <row r="71" spans="2:11" x14ac:dyDescent="0.2">
      <c r="B71" t="s">
        <v>70</v>
      </c>
    </row>
    <row r="72" spans="2:11" x14ac:dyDescent="0.2">
      <c r="B72" t="s">
        <v>71</v>
      </c>
    </row>
    <row r="73" spans="2:11" x14ac:dyDescent="0.2">
      <c r="B73" t="s">
        <v>72</v>
      </c>
      <c r="K73">
        <v>-1.2909999999999999</v>
      </c>
    </row>
    <row r="75" spans="2:11" x14ac:dyDescent="0.2">
      <c r="B75" t="s">
        <v>73</v>
      </c>
      <c r="K75">
        <f>+K62+K66+K73</f>
        <v>-0.25299999999999989</v>
      </c>
    </row>
    <row r="76" spans="2:11" x14ac:dyDescent="0.2">
      <c r="B76" t="s">
        <v>75</v>
      </c>
      <c r="K76">
        <f>+K64</f>
        <v>-1.425</v>
      </c>
    </row>
    <row r="77" spans="2:11" x14ac:dyDescent="0.2">
      <c r="B77" t="s">
        <v>74</v>
      </c>
      <c r="K77">
        <f>+K62+K76</f>
        <v>1.038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Simão Clemente</dc:creator>
  <cp:lastModifiedBy>Simão Clemente</cp:lastModifiedBy>
  <dcterms:created xsi:type="dcterms:W3CDTF">2026-10-13T07:12:34Z</dcterms:created>
  <dcterms:modified xsi:type="dcterms:W3CDTF">2026-10-13T08:29:52Z</dcterms:modified>
</cp:coreProperties>
</file>