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ademiafaedupt-my.sharepoint.com/personal/sbclemente_academiafa_edu_pt/Documents/Gigs/WorkingFolder/Finance/Stocks/"/>
    </mc:Choice>
  </mc:AlternateContent>
  <xr:revisionPtr revIDLastSave="93" documentId="8_{E633738F-1720-4784-95C2-524E07783C31}" xr6:coauthVersionLast="47" xr6:coauthVersionMax="47" xr10:uidLastSave="{7ECA4FEE-B362-4CBA-8BA7-8972F18C6CA7}"/>
  <bookViews>
    <workbookView xWindow="-105" yWindow="0" windowWidth="14610" windowHeight="15585" activeTab="1" xr2:uid="{22F1F091-5016-408A-81B9-56D454FAA521}"/>
  </bookViews>
  <sheets>
    <sheet name="main" sheetId="1" r:id="rId1"/>
    <sheet name="model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2" l="1"/>
  <c r="V14" i="2"/>
  <c r="V24" i="2" s="1"/>
  <c r="V11" i="2"/>
  <c r="S50" i="2"/>
  <c r="S48" i="2"/>
  <c r="T50" i="2"/>
  <c r="T48" i="2"/>
  <c r="U50" i="2"/>
  <c r="U48" i="2"/>
  <c r="U39" i="2"/>
  <c r="U40" i="2" s="1"/>
  <c r="U33" i="2"/>
  <c r="U24" i="2"/>
  <c r="J18" i="2"/>
  <c r="I18" i="2"/>
  <c r="F18" i="2"/>
  <c r="E18" i="2"/>
  <c r="S11" i="2"/>
  <c r="S9" i="2"/>
  <c r="S5" i="2"/>
  <c r="S2" i="2"/>
  <c r="T2" i="2" s="1"/>
  <c r="U2" i="2" s="1"/>
  <c r="V2" i="2" s="1"/>
  <c r="W2" i="2" s="1"/>
  <c r="X2" i="2" s="1"/>
  <c r="Y2" i="2" s="1"/>
  <c r="Z2" i="2" s="1"/>
  <c r="G13" i="2"/>
  <c r="T13" i="2" s="1"/>
  <c r="G8" i="2"/>
  <c r="T8" i="2" s="1"/>
  <c r="G7" i="2"/>
  <c r="T7" i="2" s="1"/>
  <c r="G6" i="2"/>
  <c r="T6" i="2" s="1"/>
  <c r="G4" i="2"/>
  <c r="T4" i="2" s="1"/>
  <c r="G3" i="2"/>
  <c r="T3" i="2" s="1"/>
  <c r="K13" i="2"/>
  <c r="U13" i="2" s="1"/>
  <c r="K4" i="2"/>
  <c r="U4" i="2" s="1"/>
  <c r="K8" i="2"/>
  <c r="U8" i="2" s="1"/>
  <c r="K7" i="2"/>
  <c r="U7" i="2" s="1"/>
  <c r="K6" i="2"/>
  <c r="U6" i="2" s="1"/>
  <c r="K3" i="2"/>
  <c r="U3" i="2" s="1"/>
  <c r="D11" i="2"/>
  <c r="D9" i="2"/>
  <c r="D5" i="2"/>
  <c r="D19" i="2" s="1"/>
  <c r="H11" i="2"/>
  <c r="H9" i="2"/>
  <c r="H5" i="2"/>
  <c r="H19" i="2" s="1"/>
  <c r="E11" i="2"/>
  <c r="E9" i="2"/>
  <c r="E5" i="2"/>
  <c r="E19" i="2" s="1"/>
  <c r="I11" i="2"/>
  <c r="I9" i="2"/>
  <c r="I5" i="2"/>
  <c r="I19" i="2" s="1"/>
  <c r="F11" i="2"/>
  <c r="F9" i="2"/>
  <c r="F5" i="2"/>
  <c r="F19" i="2" s="1"/>
  <c r="J11" i="2"/>
  <c r="J9" i="2"/>
  <c r="J5" i="2"/>
  <c r="M7" i="1"/>
  <c r="M6" i="1"/>
  <c r="M5" i="1"/>
  <c r="M4" i="1"/>
  <c r="W11" i="2" l="1"/>
  <c r="W14" i="2" s="1"/>
  <c r="K11" i="2"/>
  <c r="U11" i="2" s="1"/>
  <c r="G18" i="2"/>
  <c r="G11" i="2"/>
  <c r="T11" i="2" s="1"/>
  <c r="U9" i="2"/>
  <c r="T9" i="2"/>
  <c r="J10" i="2"/>
  <c r="U5" i="2"/>
  <c r="V3" i="2"/>
  <c r="J12" i="2"/>
  <c r="J14" i="2" s="1"/>
  <c r="J20" i="2"/>
  <c r="T5" i="2"/>
  <c r="K18" i="2"/>
  <c r="J19" i="2"/>
  <c r="H18" i="2"/>
  <c r="F10" i="2"/>
  <c r="F20" i="2" s="1"/>
  <c r="S10" i="2"/>
  <c r="S12" i="2" s="1"/>
  <c r="S14" i="2" s="1"/>
  <c r="S15" i="2" s="1"/>
  <c r="G9" i="2"/>
  <c r="G5" i="2"/>
  <c r="G19" i="2" s="1"/>
  <c r="K9" i="2"/>
  <c r="K5" i="2"/>
  <c r="D10" i="2"/>
  <c r="H10" i="2"/>
  <c r="E10" i="2"/>
  <c r="I10" i="2"/>
  <c r="T10" i="2" l="1"/>
  <c r="T12" i="2"/>
  <c r="T14" i="2" s="1"/>
  <c r="T15" i="2" s="1"/>
  <c r="U10" i="2"/>
  <c r="U12" i="2" s="1"/>
  <c r="U14" i="2" s="1"/>
  <c r="E12" i="2"/>
  <c r="E14" i="2" s="1"/>
  <c r="E15" i="2" s="1"/>
  <c r="E20" i="2"/>
  <c r="G10" i="2"/>
  <c r="F12" i="2"/>
  <c r="F14" i="2" s="1"/>
  <c r="F15" i="2" s="1"/>
  <c r="I12" i="2"/>
  <c r="I14" i="2" s="1"/>
  <c r="I20" i="2"/>
  <c r="H12" i="2"/>
  <c r="H14" i="2" s="1"/>
  <c r="H20" i="2"/>
  <c r="D12" i="2"/>
  <c r="D14" i="2" s="1"/>
  <c r="D15" i="2" s="1"/>
  <c r="D20" i="2"/>
  <c r="K10" i="2"/>
  <c r="K19" i="2"/>
  <c r="J15" i="2"/>
  <c r="U42" i="2" l="1"/>
  <c r="U43" i="2"/>
  <c r="U15" i="2"/>
  <c r="U21" i="2"/>
  <c r="K12" i="2"/>
  <c r="K14" i="2" s="1"/>
  <c r="K20" i="2"/>
  <c r="W24" i="2"/>
  <c r="V21" i="2"/>
  <c r="H15" i="2"/>
  <c r="H21" i="2"/>
  <c r="I15" i="2"/>
  <c r="I21" i="2"/>
  <c r="G12" i="2"/>
  <c r="G14" i="2" s="1"/>
  <c r="G15" i="2" s="1"/>
  <c r="G20" i="2"/>
  <c r="J21" i="2"/>
  <c r="X11" i="2" l="1"/>
  <c r="X14" i="2" s="1"/>
  <c r="K15" i="2"/>
  <c r="K21" i="2"/>
  <c r="W21" i="2"/>
  <c r="X24" i="2" l="1"/>
  <c r="Y11" i="2"/>
  <c r="Y14" i="2" s="1"/>
  <c r="X21" i="2"/>
  <c r="Y24" i="2" l="1"/>
  <c r="Z11" i="2"/>
  <c r="Z14" i="2" s="1"/>
  <c r="Y21" i="2"/>
  <c r="Z24" i="2" l="1"/>
  <c r="AA14" i="2"/>
  <c r="Z21" i="2"/>
  <c r="AB14" i="2" l="1"/>
  <c r="AC14" i="2" s="1"/>
  <c r="AD14" i="2" s="1"/>
  <c r="AE14" i="2" s="1"/>
  <c r="AF14" i="2" s="1"/>
  <c r="AG14" i="2" s="1"/>
  <c r="AH14" i="2" s="1"/>
  <c r="AI14" i="2" s="1"/>
  <c r="AJ14" i="2" s="1"/>
  <c r="AK14" i="2" s="1"/>
  <c r="AL14" i="2" s="1"/>
  <c r="AM14" i="2" s="1"/>
  <c r="AN14" i="2" s="1"/>
  <c r="AO14" i="2" s="1"/>
  <c r="AP14" i="2" s="1"/>
  <c r="AQ14" i="2" s="1"/>
  <c r="AR14" i="2" s="1"/>
  <c r="N15" i="2" l="1"/>
</calcChain>
</file>

<file path=xl/sharedStrings.xml><?xml version="1.0" encoding="utf-8"?>
<sst xmlns="http://schemas.openxmlformats.org/spreadsheetml/2006/main" count="60" uniqueCount="55">
  <si>
    <t>Price</t>
  </si>
  <si>
    <t>MC</t>
  </si>
  <si>
    <t>Shares</t>
  </si>
  <si>
    <t>Cash</t>
  </si>
  <si>
    <t>Debt</t>
  </si>
  <si>
    <t>EV</t>
  </si>
  <si>
    <t>Q423</t>
  </si>
  <si>
    <t>Q125</t>
  </si>
  <si>
    <t>Q225</t>
  </si>
  <si>
    <t>Q325</t>
  </si>
  <si>
    <t>Q425</t>
  </si>
  <si>
    <t>Revenue</t>
  </si>
  <si>
    <t>COGS</t>
  </si>
  <si>
    <t>Gross Profit</t>
  </si>
  <si>
    <t>RD</t>
  </si>
  <si>
    <t>SGA</t>
  </si>
  <si>
    <t>Other</t>
  </si>
  <si>
    <t>Operating Profit</t>
  </si>
  <si>
    <t xml:space="preserve">Interest Income </t>
  </si>
  <si>
    <t>Pretax</t>
  </si>
  <si>
    <t>Tax</t>
  </si>
  <si>
    <t>NI</t>
  </si>
  <si>
    <t>EPS</t>
  </si>
  <si>
    <t>OPEX</t>
  </si>
  <si>
    <t>Q424</t>
  </si>
  <si>
    <t>Q124</t>
  </si>
  <si>
    <t>Q224</t>
  </si>
  <si>
    <t>Q324</t>
  </si>
  <si>
    <t>val</t>
  </si>
  <si>
    <t>Gross %</t>
  </si>
  <si>
    <t>Operating %</t>
  </si>
  <si>
    <t>NI y/y</t>
  </si>
  <si>
    <t>Rev q/q</t>
  </si>
  <si>
    <t>NC</t>
  </si>
  <si>
    <t>Receivebles</t>
  </si>
  <si>
    <t>Inventory</t>
  </si>
  <si>
    <t>PPE</t>
  </si>
  <si>
    <t>ROUA</t>
  </si>
  <si>
    <t>Intagibles</t>
  </si>
  <si>
    <t>Assets</t>
  </si>
  <si>
    <t>AP</t>
  </si>
  <si>
    <t>OLL</t>
  </si>
  <si>
    <t>Gov</t>
  </si>
  <si>
    <t>Liabilities</t>
  </si>
  <si>
    <t>ROA</t>
  </si>
  <si>
    <t>ROE</t>
  </si>
  <si>
    <t>S/E</t>
  </si>
  <si>
    <t>L+S/E</t>
  </si>
  <si>
    <t>CFFO</t>
  </si>
  <si>
    <t>CFFI</t>
  </si>
  <si>
    <t>CFFF</t>
  </si>
  <si>
    <t>CFC</t>
  </si>
  <si>
    <t>FCF</t>
  </si>
  <si>
    <t>Capex</t>
  </si>
  <si>
    <t>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</si>
</sst>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0.0000"/>
  </numFmts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0" borderId="0" xfId="0" applyFont="1"/>
    <xf numFmtId="3" fontId="1" fillId="0" borderId="0" xfId="0" applyNumberFormat="1" applyFont="1"/>
    <xf numFmtId="8" fontId="1" fillId="0" borderId="0" xfId="0" applyNumberFormat="1" applyFont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0F5D9-36CD-4E34-9221-2C9BFE313201}">
  <dimension ref="L2:M7"/>
  <sheetViews>
    <sheetView topLeftCell="D1" workbookViewId="0">
      <selection activeCell="M2" sqref="M2"/>
    </sheetView>
  </sheetViews>
  <sheetFormatPr defaultRowHeight="14.25" x14ac:dyDescent="0.2"/>
  <sheetData>
    <row r="2" spans="12:13" x14ac:dyDescent="0.2">
      <c r="L2" t="s">
        <v>0</v>
      </c>
      <c r="M2" s="1">
        <v>231</v>
      </c>
    </row>
    <row r="3" spans="12:13" x14ac:dyDescent="0.2">
      <c r="L3" t="s">
        <v>2</v>
      </c>
      <c r="M3" s="1">
        <v>1122.4660349999999</v>
      </c>
    </row>
    <row r="4" spans="12:13" x14ac:dyDescent="0.2">
      <c r="L4" t="s">
        <v>1</v>
      </c>
      <c r="M4" s="1">
        <f>+M2*M3</f>
        <v>259289.65408499999</v>
      </c>
    </row>
    <row r="5" spans="12:13" x14ac:dyDescent="0.2">
      <c r="L5" t="s">
        <v>3</v>
      </c>
      <c r="M5" s="1">
        <f>9642+66+1629</f>
        <v>11337</v>
      </c>
    </row>
    <row r="6" spans="12:13" x14ac:dyDescent="0.2">
      <c r="L6" t="s">
        <v>4</v>
      </c>
      <c r="M6" s="1">
        <f>560+14017</f>
        <v>14577</v>
      </c>
    </row>
    <row r="7" spans="12:13" x14ac:dyDescent="0.2">
      <c r="L7" t="s">
        <v>5</v>
      </c>
      <c r="M7" s="1">
        <f>+M4-M5+M6</f>
        <v>262529.65408499999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F860D-DCEE-4BAF-B2A6-C0AB9AD24586}">
  <dimension ref="B2:AR50"/>
  <sheetViews>
    <sheetView tabSelected="1" workbookViewId="0">
      <pane xSplit="2" ySplit="2" topLeftCell="M12" activePane="bottomRight" state="frozen"/>
      <selection pane="topRight" activeCell="C1" sqref="C1"/>
      <selection pane="bottomLeft" activeCell="A3" sqref="A3"/>
      <selection pane="bottomRight" activeCell="B53" sqref="B53"/>
    </sheetView>
  </sheetViews>
  <sheetFormatPr defaultRowHeight="14.25" x14ac:dyDescent="0.2"/>
  <cols>
    <col min="14" max="14" width="11.375" bestFit="1" customWidth="1"/>
  </cols>
  <sheetData>
    <row r="2" spans="2:44" x14ac:dyDescent="0.2">
      <c r="C2" t="s">
        <v>6</v>
      </c>
      <c r="D2" t="s">
        <v>25</v>
      </c>
      <c r="E2" t="s">
        <v>26</v>
      </c>
      <c r="F2" t="s">
        <v>27</v>
      </c>
      <c r="G2" t="s">
        <v>24</v>
      </c>
      <c r="H2" t="s">
        <v>7</v>
      </c>
      <c r="I2" t="s">
        <v>8</v>
      </c>
      <c r="J2" t="s">
        <v>9</v>
      </c>
      <c r="K2" t="s">
        <v>10</v>
      </c>
      <c r="R2">
        <v>2022</v>
      </c>
      <c r="S2">
        <f>+R2+1</f>
        <v>2023</v>
      </c>
      <c r="T2">
        <f t="shared" ref="T2:Z2" si="0">+S2+1</f>
        <v>2024</v>
      </c>
      <c r="U2">
        <f t="shared" si="0"/>
        <v>2025</v>
      </c>
      <c r="V2">
        <f t="shared" si="0"/>
        <v>2026</v>
      </c>
      <c r="W2">
        <f t="shared" si="0"/>
        <v>2027</v>
      </c>
      <c r="X2">
        <f t="shared" si="0"/>
        <v>2028</v>
      </c>
      <c r="Y2">
        <f t="shared" si="0"/>
        <v>2029</v>
      </c>
      <c r="Z2">
        <f t="shared" si="0"/>
        <v>2030</v>
      </c>
    </row>
    <row r="3" spans="2:44" x14ac:dyDescent="0.2">
      <c r="B3" t="s">
        <v>11</v>
      </c>
      <c r="D3" s="1">
        <v>4726</v>
      </c>
      <c r="E3" s="1">
        <v>5824</v>
      </c>
      <c r="F3" s="1">
        <v>6811</v>
      </c>
      <c r="G3" s="1">
        <f>25111-F3-E3-D3</f>
        <v>7750</v>
      </c>
      <c r="H3" s="1">
        <v>8709</v>
      </c>
      <c r="I3" s="1">
        <v>8053</v>
      </c>
      <c r="J3" s="1">
        <v>9301</v>
      </c>
      <c r="K3" s="1">
        <f>37378-J3-I3-H3</f>
        <v>11315</v>
      </c>
      <c r="S3">
        <v>15540</v>
      </c>
      <c r="T3" s="1">
        <f>+SUM(D3:G3)</f>
        <v>25111</v>
      </c>
      <c r="U3" s="1">
        <f>+SUM(H3:K3)</f>
        <v>37378</v>
      </c>
      <c r="V3">
        <f>+U3*1.2</f>
        <v>44853.599999999999</v>
      </c>
    </row>
    <row r="4" spans="2:44" x14ac:dyDescent="0.2">
      <c r="B4" t="s">
        <v>12</v>
      </c>
      <c r="D4" s="1">
        <v>4761</v>
      </c>
      <c r="E4" s="1">
        <v>4745</v>
      </c>
      <c r="F4" s="1">
        <v>4979</v>
      </c>
      <c r="G4" s="1">
        <f>19498-F4-E4-D4</f>
        <v>5013</v>
      </c>
      <c r="H4" s="1">
        <v>5361</v>
      </c>
      <c r="I4" s="1">
        <v>5090</v>
      </c>
      <c r="J4" s="1">
        <v>5793</v>
      </c>
      <c r="K4" s="1">
        <f>22505-J4-I4-H4</f>
        <v>6261</v>
      </c>
      <c r="S4" s="1">
        <v>16956</v>
      </c>
      <c r="T4" s="1">
        <f>+SUM(D4:G4)</f>
        <v>19498</v>
      </c>
      <c r="U4" s="1">
        <f>+SUM(H4:K4)</f>
        <v>22505</v>
      </c>
    </row>
    <row r="5" spans="2:44" x14ac:dyDescent="0.2">
      <c r="B5" t="s">
        <v>13</v>
      </c>
      <c r="D5" s="1">
        <f t="shared" ref="D5:K5" si="1">+D3-D4</f>
        <v>-35</v>
      </c>
      <c r="E5" s="1">
        <f t="shared" si="1"/>
        <v>1079</v>
      </c>
      <c r="F5" s="1">
        <f t="shared" si="1"/>
        <v>1832</v>
      </c>
      <c r="G5" s="1">
        <f t="shared" si="1"/>
        <v>2737</v>
      </c>
      <c r="H5" s="1">
        <f t="shared" si="1"/>
        <v>3348</v>
      </c>
      <c r="I5" s="1">
        <f t="shared" si="1"/>
        <v>2963</v>
      </c>
      <c r="J5" s="1">
        <f t="shared" si="1"/>
        <v>3508</v>
      </c>
      <c r="K5" s="1">
        <f t="shared" si="1"/>
        <v>5054</v>
      </c>
      <c r="S5" s="1">
        <f>+S3-S4</f>
        <v>-1416</v>
      </c>
      <c r="T5" s="1">
        <f>+T3-T4</f>
        <v>5613</v>
      </c>
      <c r="U5" s="1">
        <f>+U3-U4</f>
        <v>14873</v>
      </c>
    </row>
    <row r="6" spans="2:44" x14ac:dyDescent="0.2">
      <c r="B6" t="s">
        <v>14</v>
      </c>
      <c r="D6" s="1">
        <v>845</v>
      </c>
      <c r="E6" s="1">
        <v>832</v>
      </c>
      <c r="F6" s="1">
        <v>850</v>
      </c>
      <c r="G6" s="1">
        <f>3430-F6-E6-D6</f>
        <v>903</v>
      </c>
      <c r="H6" s="1">
        <v>888</v>
      </c>
      <c r="I6" s="1">
        <v>898</v>
      </c>
      <c r="J6" s="1">
        <v>965</v>
      </c>
      <c r="K6" s="1">
        <f>3798-J6-I6-H6</f>
        <v>1047</v>
      </c>
      <c r="S6" s="1">
        <v>3114</v>
      </c>
      <c r="T6" s="1">
        <f t="shared" ref="T6:T8" si="2">+SUM(D6:G6)</f>
        <v>3430</v>
      </c>
      <c r="U6" s="1">
        <f t="shared" ref="U6:U13" si="3">+SUM(H6:K6)</f>
        <v>3798</v>
      </c>
    </row>
    <row r="7" spans="2:44" x14ac:dyDescent="0.2">
      <c r="B7" t="s">
        <v>15</v>
      </c>
      <c r="D7" s="1">
        <v>263</v>
      </c>
      <c r="E7" s="1">
        <v>280</v>
      </c>
      <c r="F7" s="1">
        <v>291</v>
      </c>
      <c r="G7" s="1">
        <f>1129-F7-E7-D7</f>
        <v>295</v>
      </c>
      <c r="H7" s="1">
        <v>288</v>
      </c>
      <c r="I7" s="1">
        <v>285</v>
      </c>
      <c r="J7" s="1">
        <v>318</v>
      </c>
      <c r="K7" s="1">
        <f>1205-J7-I7-H7</f>
        <v>314</v>
      </c>
      <c r="S7" s="1">
        <v>920</v>
      </c>
      <c r="T7" s="1">
        <f t="shared" si="2"/>
        <v>1129</v>
      </c>
      <c r="U7" s="1">
        <f t="shared" si="3"/>
        <v>1205</v>
      </c>
    </row>
    <row r="8" spans="2:44" x14ac:dyDescent="0.2">
      <c r="B8" t="s">
        <v>16</v>
      </c>
      <c r="D8" s="1">
        <v>-15</v>
      </c>
      <c r="E8" s="1">
        <v>-224</v>
      </c>
      <c r="F8" s="1">
        <v>-28</v>
      </c>
      <c r="G8" s="1">
        <f>-251-F8-E8-D8</f>
        <v>16</v>
      </c>
      <c r="H8" s="1">
        <v>-2</v>
      </c>
      <c r="I8" s="1">
        <v>7</v>
      </c>
      <c r="J8" s="1">
        <v>56</v>
      </c>
      <c r="K8" s="1">
        <f>61-J8-I8-H8</f>
        <v>0</v>
      </c>
      <c r="S8" s="1">
        <v>124</v>
      </c>
      <c r="T8" s="1">
        <f t="shared" si="2"/>
        <v>-251</v>
      </c>
      <c r="U8" s="1">
        <f t="shared" si="3"/>
        <v>61</v>
      </c>
    </row>
    <row r="9" spans="2:44" x14ac:dyDescent="0.2">
      <c r="B9" t="s">
        <v>23</v>
      </c>
      <c r="D9" s="1">
        <f t="shared" ref="D9:K9" si="4">+D8+D7+D6</f>
        <v>1093</v>
      </c>
      <c r="E9" s="1">
        <f t="shared" si="4"/>
        <v>888</v>
      </c>
      <c r="F9" s="1">
        <f t="shared" si="4"/>
        <v>1113</v>
      </c>
      <c r="G9" s="1">
        <f t="shared" si="4"/>
        <v>1214</v>
      </c>
      <c r="H9" s="1">
        <f t="shared" si="4"/>
        <v>1174</v>
      </c>
      <c r="I9" s="1">
        <f t="shared" si="4"/>
        <v>1190</v>
      </c>
      <c r="J9" s="1">
        <f t="shared" si="4"/>
        <v>1339</v>
      </c>
      <c r="K9" s="1">
        <f t="shared" si="4"/>
        <v>1361</v>
      </c>
      <c r="S9" s="1">
        <f>+S8+S7+S6</f>
        <v>4158</v>
      </c>
      <c r="T9" s="1">
        <f>+T8+T7+T6</f>
        <v>4308</v>
      </c>
      <c r="U9" s="1">
        <f>+U8+U7+U6</f>
        <v>5064</v>
      </c>
    </row>
    <row r="10" spans="2:44" x14ac:dyDescent="0.2">
      <c r="B10" t="s">
        <v>17</v>
      </c>
      <c r="D10" s="1">
        <f t="shared" ref="D10:K10" si="5">+D5-D9</f>
        <v>-1128</v>
      </c>
      <c r="E10" s="1">
        <f t="shared" si="5"/>
        <v>191</v>
      </c>
      <c r="F10" s="1">
        <f t="shared" si="5"/>
        <v>719</v>
      </c>
      <c r="G10" s="1">
        <f t="shared" si="5"/>
        <v>1523</v>
      </c>
      <c r="H10" s="1">
        <f t="shared" si="5"/>
        <v>2174</v>
      </c>
      <c r="I10" s="1">
        <f t="shared" si="5"/>
        <v>1773</v>
      </c>
      <c r="J10" s="1">
        <f t="shared" si="5"/>
        <v>2169</v>
      </c>
      <c r="K10" s="1">
        <f t="shared" si="5"/>
        <v>3693</v>
      </c>
      <c r="S10" s="1">
        <f>+S5-S9</f>
        <v>-5574</v>
      </c>
      <c r="T10" s="1">
        <f>+T5-T9</f>
        <v>1305</v>
      </c>
      <c r="U10" s="1">
        <f>+U5-U9</f>
        <v>9809</v>
      </c>
    </row>
    <row r="11" spans="2:44" x14ac:dyDescent="0.2">
      <c r="B11" t="s">
        <v>18</v>
      </c>
      <c r="D11" s="1">
        <f>132-132-27</f>
        <v>-27</v>
      </c>
      <c r="E11" s="1">
        <f>130-144-7</f>
        <v>-21</v>
      </c>
      <c r="F11" s="1">
        <f>136-150+10</f>
        <v>-4</v>
      </c>
      <c r="G11" s="1">
        <f>529-562-31-F11-E11-D11</f>
        <v>-12</v>
      </c>
      <c r="H11" s="1">
        <f>107-118-11</f>
        <v>-22</v>
      </c>
      <c r="I11" s="1">
        <f>108-112-11</f>
        <v>-15</v>
      </c>
      <c r="J11" s="1">
        <f>135-123-68</f>
        <v>-56</v>
      </c>
      <c r="K11" s="1">
        <f>496-477-135-J11-I11-H11</f>
        <v>-23</v>
      </c>
      <c r="S11" s="1">
        <f>468-388+7</f>
        <v>87</v>
      </c>
      <c r="T11" s="1">
        <f t="shared" ref="T11:T13" si="6">+SUM(D11:G11)</f>
        <v>-64</v>
      </c>
      <c r="U11" s="1">
        <f t="shared" si="3"/>
        <v>-116</v>
      </c>
      <c r="V11">
        <f>+U24*3.05%</f>
        <v>364.048</v>
      </c>
      <c r="W11">
        <f t="shared" ref="W11:Z11" si="7">+V24*3.05%</f>
        <v>714.91231399999992</v>
      </c>
      <c r="X11">
        <f t="shared" si="7"/>
        <v>1192.8407477769999</v>
      </c>
      <c r="Y11">
        <f t="shared" si="7"/>
        <v>1850.5293544942986</v>
      </c>
      <c r="Z11">
        <f t="shared" si="7"/>
        <v>2761.9656885388631</v>
      </c>
    </row>
    <row r="12" spans="2:44" x14ac:dyDescent="0.2">
      <c r="B12" t="s">
        <v>19</v>
      </c>
      <c r="D12" s="1">
        <f t="shared" ref="D12:K12" si="8">+D10+D11</f>
        <v>-1155</v>
      </c>
      <c r="E12" s="1">
        <f t="shared" si="8"/>
        <v>170</v>
      </c>
      <c r="F12" s="1">
        <f t="shared" si="8"/>
        <v>715</v>
      </c>
      <c r="G12" s="1">
        <f t="shared" si="8"/>
        <v>1511</v>
      </c>
      <c r="H12" s="1">
        <f t="shared" si="8"/>
        <v>2152</v>
      </c>
      <c r="I12" s="1">
        <f t="shared" si="8"/>
        <v>1758</v>
      </c>
      <c r="J12" s="1">
        <f t="shared" si="8"/>
        <v>2113</v>
      </c>
      <c r="K12" s="1">
        <f t="shared" si="8"/>
        <v>3670</v>
      </c>
      <c r="S12" s="1">
        <f>+S10+S11</f>
        <v>-5487</v>
      </c>
      <c r="T12" s="1">
        <f>+T10+T11</f>
        <v>1241</v>
      </c>
      <c r="U12" s="1">
        <f>+U10+U11</f>
        <v>9693</v>
      </c>
    </row>
    <row r="13" spans="2:44" x14ac:dyDescent="0.2">
      <c r="B13" t="s">
        <v>20</v>
      </c>
      <c r="D13" s="1">
        <v>-73</v>
      </c>
      <c r="E13" s="1">
        <v>622</v>
      </c>
      <c r="F13" s="1">
        <v>-377</v>
      </c>
      <c r="G13" s="1">
        <f>-451-F13-E13-D13</f>
        <v>-623</v>
      </c>
      <c r="H13" s="1">
        <v>-283</v>
      </c>
      <c r="I13" s="1">
        <v>-177</v>
      </c>
      <c r="J13" s="1">
        <v>-235</v>
      </c>
      <c r="K13" s="1">
        <f>-1124-J13-I13-H13</f>
        <v>-429</v>
      </c>
      <c r="S13" s="1">
        <v>-177</v>
      </c>
      <c r="T13" s="1">
        <f t="shared" si="6"/>
        <v>-451</v>
      </c>
      <c r="U13" s="1">
        <f t="shared" si="3"/>
        <v>-1124</v>
      </c>
    </row>
    <row r="14" spans="2:44" s="3" customFormat="1" ht="15" x14ac:dyDescent="0.25">
      <c r="B14" s="3" t="s">
        <v>21</v>
      </c>
      <c r="D14" s="4">
        <f t="shared" ref="D14:K14" si="9">+D12+D13</f>
        <v>-1228</v>
      </c>
      <c r="E14" s="4">
        <f t="shared" si="9"/>
        <v>792</v>
      </c>
      <c r="F14" s="4">
        <f t="shared" si="9"/>
        <v>338</v>
      </c>
      <c r="G14" s="4">
        <f t="shared" si="9"/>
        <v>888</v>
      </c>
      <c r="H14" s="4">
        <f t="shared" si="9"/>
        <v>1869</v>
      </c>
      <c r="I14" s="4">
        <f t="shared" si="9"/>
        <v>1581</v>
      </c>
      <c r="J14" s="4">
        <f t="shared" si="9"/>
        <v>1878</v>
      </c>
      <c r="K14" s="4">
        <f t="shared" si="9"/>
        <v>3241</v>
      </c>
      <c r="M14" s="3" t="s">
        <v>28</v>
      </c>
      <c r="N14" s="5">
        <f>NPV(0.085,V14:AR14)-main!M5+main!M6</f>
        <v>310203.81863401772</v>
      </c>
      <c r="S14" s="4">
        <f>+S12+S13</f>
        <v>-5664</v>
      </c>
      <c r="T14" s="4">
        <f>+T12+T13</f>
        <v>790</v>
      </c>
      <c r="U14" s="4">
        <f>+U12+U13</f>
        <v>8569</v>
      </c>
      <c r="V14" s="3">
        <f>+U14*1.3+V11</f>
        <v>11503.748000000001</v>
      </c>
      <c r="W14" s="3">
        <f t="shared" ref="W14:Z14" si="10">+V14*1.3+W11</f>
        <v>15669.784714000001</v>
      </c>
      <c r="X14" s="3">
        <f t="shared" si="10"/>
        <v>21563.560875977004</v>
      </c>
      <c r="Y14" s="3">
        <f t="shared" si="10"/>
        <v>29883.158493264404</v>
      </c>
      <c r="Z14" s="3">
        <f t="shared" si="10"/>
        <v>41610.07172978259</v>
      </c>
      <c r="AA14" s="3">
        <f>+Z14*0.98</f>
        <v>40777.870295186935</v>
      </c>
      <c r="AB14" s="3">
        <f t="shared" ref="AB14:AR14" si="11">+AA14*0.98</f>
        <v>39962.312889283196</v>
      </c>
      <c r="AC14" s="3">
        <f t="shared" si="11"/>
        <v>39163.066631497531</v>
      </c>
      <c r="AD14" s="3">
        <f t="shared" si="11"/>
        <v>38379.805298867577</v>
      </c>
      <c r="AE14" s="3">
        <f t="shared" si="11"/>
        <v>37612.209192890223</v>
      </c>
      <c r="AF14" s="3">
        <f t="shared" si="11"/>
        <v>36859.965009032421</v>
      </c>
      <c r="AG14" s="3">
        <f t="shared" si="11"/>
        <v>36122.765708851774</v>
      </c>
      <c r="AH14" s="3">
        <f t="shared" si="11"/>
        <v>35400.310394674736</v>
      </c>
      <c r="AI14" s="3">
        <f t="shared" si="11"/>
        <v>34692.304186781243</v>
      </c>
      <c r="AJ14" s="3">
        <f t="shared" si="11"/>
        <v>33998.458103045617</v>
      </c>
      <c r="AK14" s="3">
        <f t="shared" si="11"/>
        <v>33318.488940984702</v>
      </c>
      <c r="AL14" s="3">
        <f t="shared" si="11"/>
        <v>32652.119162165007</v>
      </c>
      <c r="AM14" s="3">
        <f t="shared" si="11"/>
        <v>31999.076778921706</v>
      </c>
      <c r="AN14" s="3">
        <f t="shared" si="11"/>
        <v>31359.095243343272</v>
      </c>
      <c r="AO14" s="3">
        <f t="shared" si="11"/>
        <v>30731.913338476406</v>
      </c>
      <c r="AP14" s="3">
        <f t="shared" si="11"/>
        <v>30117.275071706877</v>
      </c>
      <c r="AQ14" s="3">
        <f t="shared" si="11"/>
        <v>29514.92957027274</v>
      </c>
      <c r="AR14" s="3">
        <f t="shared" si="11"/>
        <v>28924.630978867284</v>
      </c>
    </row>
    <row r="15" spans="2:44" x14ac:dyDescent="0.2">
      <c r="B15" t="s">
        <v>22</v>
      </c>
      <c r="D15" s="2">
        <f t="shared" ref="D15:K15" si="12">+D14/D16</f>
        <v>-1.1163636363636364</v>
      </c>
      <c r="E15" s="2">
        <f t="shared" si="12"/>
        <v>0.71739130434782605</v>
      </c>
      <c r="F15" s="2">
        <f t="shared" si="12"/>
        <v>0.30532971996386632</v>
      </c>
      <c r="G15" s="2">
        <f t="shared" si="12"/>
        <v>0.81244281793229645</v>
      </c>
      <c r="H15" s="2">
        <f t="shared" si="12"/>
        <v>1.6822682268226823</v>
      </c>
      <c r="I15" s="2">
        <f t="shared" si="12"/>
        <v>1.4179372197309417</v>
      </c>
      <c r="J15" s="1">
        <f t="shared" si="12"/>
        <v>1.6797853309481217</v>
      </c>
      <c r="K15" s="2">
        <f t="shared" si="12"/>
        <v>2.9463636363636363</v>
      </c>
      <c r="M15" t="s">
        <v>54</v>
      </c>
      <c r="N15" s="6">
        <f>+N14/main!M3</f>
        <v>276.35920282792142</v>
      </c>
      <c r="S15" s="2">
        <f>+S14/S16</f>
        <v>-5.182067703568161</v>
      </c>
      <c r="T15" s="2">
        <f>+T14/T16</f>
        <v>0.7142857142857143</v>
      </c>
      <c r="U15" s="2">
        <f>+U14/U16</f>
        <v>7.6783154121863797</v>
      </c>
    </row>
    <row r="16" spans="2:44" x14ac:dyDescent="0.2">
      <c r="B16" t="s">
        <v>2</v>
      </c>
      <c r="D16" s="1">
        <v>1100</v>
      </c>
      <c r="E16" s="1">
        <v>1104</v>
      </c>
      <c r="F16" s="1">
        <v>1107</v>
      </c>
      <c r="G16" s="1">
        <v>1093</v>
      </c>
      <c r="H16" s="1">
        <v>1111</v>
      </c>
      <c r="I16" s="1">
        <v>1115</v>
      </c>
      <c r="J16" s="1">
        <v>1118</v>
      </c>
      <c r="K16" s="1">
        <v>1100</v>
      </c>
      <c r="S16" s="1">
        <v>1093</v>
      </c>
      <c r="T16">
        <v>1106</v>
      </c>
      <c r="U16">
        <v>1116</v>
      </c>
    </row>
    <row r="18" spans="2:26" x14ac:dyDescent="0.2">
      <c r="B18" t="s">
        <v>32</v>
      </c>
      <c r="D18" s="7"/>
      <c r="E18" s="7">
        <f t="shared" ref="E18:J18" si="13">+E3/D3-1</f>
        <v>0.23233178163351664</v>
      </c>
      <c r="F18" s="7">
        <f t="shared" si="13"/>
        <v>0.16947115384615374</v>
      </c>
      <c r="G18" s="7">
        <f t="shared" si="13"/>
        <v>0.13786521802965801</v>
      </c>
      <c r="H18" s="7">
        <f t="shared" si="13"/>
        <v>0.12374193548387091</v>
      </c>
      <c r="I18" s="7">
        <f t="shared" si="13"/>
        <v>-7.5324377081180338E-2</v>
      </c>
      <c r="J18" s="7">
        <f t="shared" si="13"/>
        <v>0.15497330187507763</v>
      </c>
      <c r="K18" s="7">
        <f>+K3/J3-1</f>
        <v>0.21653585635953121</v>
      </c>
    </row>
    <row r="19" spans="2:26" x14ac:dyDescent="0.2">
      <c r="B19" t="s">
        <v>29</v>
      </c>
      <c r="D19" s="7">
        <f t="shared" ref="D19:K19" si="14">+D5/D3</f>
        <v>-7.4058400338552688E-3</v>
      </c>
      <c r="E19" s="7">
        <f t="shared" si="14"/>
        <v>0.18526785714285715</v>
      </c>
      <c r="F19" s="7">
        <f t="shared" si="14"/>
        <v>0.26897665541036558</v>
      </c>
      <c r="G19" s="7">
        <f t="shared" si="14"/>
        <v>0.35316129032258065</v>
      </c>
      <c r="H19" s="7">
        <f t="shared" si="14"/>
        <v>0.38442990010334138</v>
      </c>
      <c r="I19" s="7">
        <f t="shared" si="14"/>
        <v>0.36793741462808893</v>
      </c>
      <c r="J19" s="7">
        <f t="shared" si="14"/>
        <v>0.37716374583378132</v>
      </c>
      <c r="K19" s="7">
        <f>+K5/K3</f>
        <v>0.44666372072470173</v>
      </c>
    </row>
    <row r="20" spans="2:26" x14ac:dyDescent="0.2">
      <c r="B20" t="s">
        <v>30</v>
      </c>
      <c r="D20" s="7">
        <f t="shared" ref="D20:K20" si="15">+D10/D3</f>
        <v>-0.23867964451967838</v>
      </c>
      <c r="E20" s="7">
        <f t="shared" si="15"/>
        <v>3.2795329670329672E-2</v>
      </c>
      <c r="F20" s="7">
        <f t="shared" si="15"/>
        <v>0.10556452796946117</v>
      </c>
      <c r="G20" s="7">
        <f t="shared" si="15"/>
        <v>0.19651612903225807</v>
      </c>
      <c r="H20" s="7">
        <f t="shared" si="15"/>
        <v>0.24962682282696061</v>
      </c>
      <c r="I20" s="7">
        <f t="shared" si="15"/>
        <v>0.22016639761579535</v>
      </c>
      <c r="J20" s="7">
        <f t="shared" si="15"/>
        <v>0.23320073110418235</v>
      </c>
      <c r="K20" s="7">
        <f>+K10/K3</f>
        <v>0.32638091029606719</v>
      </c>
    </row>
    <row r="21" spans="2:26" x14ac:dyDescent="0.2">
      <c r="B21" t="s">
        <v>31</v>
      </c>
      <c r="D21" s="7"/>
      <c r="E21" s="7"/>
      <c r="F21" s="7"/>
      <c r="G21" s="7"/>
      <c r="H21" s="7">
        <f t="shared" ref="H21:J21" si="16">+H14/D14-1</f>
        <v>-2.521986970684039</v>
      </c>
      <c r="I21" s="7">
        <f t="shared" si="16"/>
        <v>0.9962121212121211</v>
      </c>
      <c r="J21" s="7">
        <f t="shared" si="16"/>
        <v>4.556213017751479</v>
      </c>
      <c r="K21" s="7">
        <f>+K14/G14-1</f>
        <v>2.6497747747747749</v>
      </c>
      <c r="U21" s="7">
        <f>+U14/T14-1</f>
        <v>9.8468354430379748</v>
      </c>
      <c r="V21" s="7">
        <f t="shared" ref="V21:Z21" si="17">+V14/U14-1</f>
        <v>0.34248430388610118</v>
      </c>
      <c r="W21" s="7">
        <f t="shared" si="17"/>
        <v>0.36214603397084155</v>
      </c>
      <c r="X21" s="7">
        <f t="shared" si="17"/>
        <v>0.37612362068454397</v>
      </c>
      <c r="Y21" s="7">
        <f t="shared" si="17"/>
        <v>0.3858174290015286</v>
      </c>
      <c r="Z21" s="7">
        <f t="shared" si="17"/>
        <v>0.39242549408428173</v>
      </c>
    </row>
    <row r="23" spans="2:26" x14ac:dyDescent="0.2">
      <c r="B23" t="s">
        <v>33</v>
      </c>
    </row>
    <row r="24" spans="2:26" x14ac:dyDescent="0.2">
      <c r="B24" t="s">
        <v>3</v>
      </c>
      <c r="U24">
        <f>9642+665+1629</f>
        <v>11936</v>
      </c>
      <c r="V24">
        <f>+U24+V14</f>
        <v>23439.748</v>
      </c>
      <c r="W24">
        <f t="shared" ref="W24:Z24" si="18">+V24+W14</f>
        <v>39109.532714000001</v>
      </c>
      <c r="X24">
        <f t="shared" si="18"/>
        <v>60673.093589977005</v>
      </c>
      <c r="Y24">
        <f t="shared" si="18"/>
        <v>90556.252083241416</v>
      </c>
      <c r="Z24">
        <f t="shared" si="18"/>
        <v>132166.32381302401</v>
      </c>
    </row>
    <row r="25" spans="2:26" x14ac:dyDescent="0.2">
      <c r="B25" t="s">
        <v>34</v>
      </c>
    </row>
    <row r="26" spans="2:26" x14ac:dyDescent="0.2">
      <c r="B26" t="s">
        <v>35</v>
      </c>
    </row>
    <row r="27" spans="2:26" x14ac:dyDescent="0.2">
      <c r="B27" t="s">
        <v>16</v>
      </c>
    </row>
    <row r="28" spans="2:26" x14ac:dyDescent="0.2">
      <c r="B28" t="s">
        <v>36</v>
      </c>
    </row>
    <row r="29" spans="2:26" x14ac:dyDescent="0.2">
      <c r="B29" t="s">
        <v>37</v>
      </c>
    </row>
    <row r="30" spans="2:26" x14ac:dyDescent="0.2">
      <c r="B30" t="s">
        <v>38</v>
      </c>
    </row>
    <row r="31" spans="2:26" x14ac:dyDescent="0.2">
      <c r="B31" t="s">
        <v>39</v>
      </c>
      <c r="U31">
        <v>82798</v>
      </c>
    </row>
    <row r="33" spans="2:21" x14ac:dyDescent="0.2">
      <c r="B33" t="s">
        <v>4</v>
      </c>
      <c r="U33">
        <f>560+14017</f>
        <v>14577</v>
      </c>
    </row>
    <row r="34" spans="2:21" x14ac:dyDescent="0.2">
      <c r="B34" t="s">
        <v>40</v>
      </c>
    </row>
    <row r="35" spans="2:21" x14ac:dyDescent="0.2">
      <c r="B35" t="s">
        <v>16</v>
      </c>
    </row>
    <row r="36" spans="2:21" x14ac:dyDescent="0.2">
      <c r="B36" t="s">
        <v>41</v>
      </c>
    </row>
    <row r="37" spans="2:21" x14ac:dyDescent="0.2">
      <c r="B37" t="s">
        <v>42</v>
      </c>
    </row>
    <row r="38" spans="2:21" x14ac:dyDescent="0.2">
      <c r="B38" t="s">
        <v>43</v>
      </c>
      <c r="U38">
        <v>28633</v>
      </c>
    </row>
    <row r="39" spans="2:21" x14ac:dyDescent="0.2">
      <c r="B39" t="s">
        <v>46</v>
      </c>
      <c r="U39">
        <f>+U31-U38</f>
        <v>54165</v>
      </c>
    </row>
    <row r="40" spans="2:21" x14ac:dyDescent="0.2">
      <c r="B40" t="s">
        <v>47</v>
      </c>
      <c r="U40">
        <f>+U38+U39</f>
        <v>82798</v>
      </c>
    </row>
    <row r="42" spans="2:21" x14ac:dyDescent="0.2">
      <c r="B42" t="s">
        <v>44</v>
      </c>
      <c r="U42" s="7">
        <f>+U14/U31</f>
        <v>0.10349283799125583</v>
      </c>
    </row>
    <row r="43" spans="2:21" x14ac:dyDescent="0.2">
      <c r="B43" t="s">
        <v>45</v>
      </c>
      <c r="U43" s="7">
        <f>+U14/U39</f>
        <v>0.15820179082433306</v>
      </c>
    </row>
    <row r="45" spans="2:21" x14ac:dyDescent="0.2">
      <c r="B45" t="s">
        <v>48</v>
      </c>
      <c r="S45">
        <v>1559</v>
      </c>
      <c r="T45">
        <v>8507</v>
      </c>
      <c r="U45">
        <v>17525</v>
      </c>
    </row>
    <row r="46" spans="2:21" x14ac:dyDescent="0.2">
      <c r="B46" t="s">
        <v>49</v>
      </c>
      <c r="S46">
        <v>-6191</v>
      </c>
      <c r="T46">
        <v>-8309</v>
      </c>
      <c r="U46">
        <v>-14087</v>
      </c>
    </row>
    <row r="47" spans="2:21" x14ac:dyDescent="0.2">
      <c r="B47" t="s">
        <v>50</v>
      </c>
      <c r="S47">
        <v>4983</v>
      </c>
      <c r="T47">
        <v>-1842</v>
      </c>
      <c r="U47">
        <v>-850</v>
      </c>
    </row>
    <row r="48" spans="2:21" x14ac:dyDescent="0.2">
      <c r="B48" t="s">
        <v>51</v>
      </c>
      <c r="S48">
        <f>+S45+S46+S47</f>
        <v>351</v>
      </c>
      <c r="T48">
        <f>+T45+T46+T47</f>
        <v>-1644</v>
      </c>
      <c r="U48">
        <f>+U45+U46+U47</f>
        <v>2588</v>
      </c>
    </row>
    <row r="49" spans="2:21" x14ac:dyDescent="0.2">
      <c r="B49" t="s">
        <v>53</v>
      </c>
      <c r="S49">
        <v>-7676</v>
      </c>
      <c r="T49">
        <v>-8386</v>
      </c>
      <c r="U49">
        <v>-15857</v>
      </c>
    </row>
    <row r="50" spans="2:21" s="3" customFormat="1" ht="15" x14ac:dyDescent="0.25">
      <c r="B50" s="3" t="s">
        <v>52</v>
      </c>
      <c r="S50" s="3">
        <f>+S45+S49</f>
        <v>-6117</v>
      </c>
      <c r="T50" s="3">
        <f>+T45+T49</f>
        <v>121</v>
      </c>
      <c r="U50" s="3">
        <f>+U45+U49</f>
        <v>1668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main</vt:lpstr>
      <vt:lpstr>model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Simão Clemente</dc:creator>
  <cp:lastModifiedBy>Simão Clemente</cp:lastModifiedBy>
  <dcterms:created xsi:type="dcterms:W3CDTF">2025-12-16T16:39:57Z</dcterms:created>
  <dcterms:modified xsi:type="dcterms:W3CDTF">2025-12-16T17:38:32Z</dcterms:modified>
</cp:coreProperties>
</file>