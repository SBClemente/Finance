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ademiafaedupt-my.sharepoint.com/personal/sbclemente_academiafa_edu_pt/Documents/Gigs/WorkingFolder/Finance_Shared/Stocks/"/>
    </mc:Choice>
  </mc:AlternateContent>
  <xr:revisionPtr revIDLastSave="189" documentId="8_{E883A8EF-561B-4C2B-9534-AAE527A24DB8}" xr6:coauthVersionLast="47" xr6:coauthVersionMax="47" xr10:uidLastSave="{4E0690CC-8B8D-49E2-87AE-3666B6D45206}"/>
  <bookViews>
    <workbookView xWindow="14295" yWindow="0" windowWidth="14610" windowHeight="15585" activeTab="1" xr2:uid="{C2872281-F2D6-482A-824F-432F6AC9B63B}"/>
  </bookViews>
  <sheets>
    <sheet name="main" sheetId="1" r:id="rId1"/>
    <sheet name="model 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18" i="2" l="1"/>
  <c r="Y17" i="2"/>
  <c r="Y16" i="2"/>
  <c r="AG12" i="2"/>
  <c r="AH12" i="2" s="1"/>
  <c r="AI12" i="2" s="1"/>
  <c r="AJ12" i="2" s="1"/>
  <c r="AK12" i="2" s="1"/>
  <c r="AL12" i="2" s="1"/>
  <c r="AM12" i="2" s="1"/>
  <c r="AN12" i="2" s="1"/>
  <c r="AO12" i="2" s="1"/>
  <c r="AP12" i="2" s="1"/>
  <c r="AQ12" i="2" s="1"/>
  <c r="AR12" i="2" s="1"/>
  <c r="AS12" i="2" s="1"/>
  <c r="AT12" i="2" s="1"/>
  <c r="AU12" i="2" s="1"/>
  <c r="AV12" i="2" s="1"/>
  <c r="AF12" i="2"/>
  <c r="AE12" i="2"/>
  <c r="AD12" i="2"/>
  <c r="Z12" i="2"/>
  <c r="AA12" i="2" s="1"/>
  <c r="AB12" i="2" s="1"/>
  <c r="AC12" i="2" s="1"/>
  <c r="Y12" i="2"/>
  <c r="X12" i="2"/>
  <c r="V5" i="2"/>
  <c r="V7" i="2" s="1"/>
  <c r="V10" i="2" s="1"/>
  <c r="V12" i="2" s="1"/>
  <c r="U5" i="2"/>
  <c r="U7" i="2" s="1"/>
  <c r="U10" i="2" s="1"/>
  <c r="U12" i="2" s="1"/>
  <c r="W5" i="2"/>
  <c r="W7" i="2" s="1"/>
  <c r="W10" i="2" s="1"/>
  <c r="W12" i="2" s="1"/>
  <c r="V2" i="2"/>
  <c r="W2" i="2" s="1"/>
  <c r="X2" i="2" s="1"/>
  <c r="Y2" i="2" s="1"/>
  <c r="Z2" i="2" s="1"/>
  <c r="AA2" i="2" s="1"/>
  <c r="AB2" i="2" s="1"/>
  <c r="AC2" i="2" s="1"/>
  <c r="AD2" i="2" s="1"/>
  <c r="AE2" i="2" s="1"/>
  <c r="AF2" i="2" s="1"/>
  <c r="J5" i="2"/>
  <c r="J7" i="2" s="1"/>
  <c r="J10" i="2" s="1"/>
  <c r="J12" i="2" s="1"/>
  <c r="J13" i="2" s="1"/>
  <c r="N21" i="2"/>
  <c r="N18" i="2"/>
  <c r="N16" i="2"/>
  <c r="N9" i="2"/>
  <c r="N5" i="2"/>
  <c r="N7" i="2" s="1"/>
  <c r="N10" i="2" s="1"/>
  <c r="N12" i="2" s="1"/>
  <c r="N13" i="2" s="1"/>
  <c r="J56" i="2"/>
  <c r="J55" i="2"/>
  <c r="N56" i="2"/>
  <c r="N17" i="2" l="1"/>
  <c r="N20" i="2"/>
  <c r="N19" i="2"/>
  <c r="N55" i="2"/>
  <c r="O40" i="2"/>
  <c r="O29" i="2"/>
  <c r="O23" i="2"/>
  <c r="O21" i="2"/>
  <c r="O16" i="2"/>
  <c r="L6" i="1"/>
  <c r="L8" i="1" s="1"/>
  <c r="K8" i="2"/>
  <c r="K5" i="2"/>
  <c r="K7" i="2" s="1"/>
  <c r="O8" i="2"/>
  <c r="O18" i="2" s="1"/>
  <c r="O5" i="2"/>
  <c r="O7" i="2" s="1"/>
  <c r="L5" i="1"/>
  <c r="O17" i="2" l="1"/>
  <c r="O33" i="2"/>
  <c r="O42" i="2" s="1"/>
  <c r="O43" i="2" s="1"/>
  <c r="O10" i="2"/>
  <c r="K10" i="2"/>
  <c r="K12" i="2" s="1"/>
  <c r="K13" i="2" l="1"/>
  <c r="K48" i="2"/>
  <c r="O12" i="2"/>
  <c r="O48" i="2" s="1"/>
  <c r="O19" i="2"/>
  <c r="O13" i="2" l="1"/>
  <c r="O46" i="2"/>
  <c r="O20" i="2"/>
  <c r="O45" i="2"/>
</calcChain>
</file>

<file path=xl/sharedStrings.xml><?xml version="1.0" encoding="utf-8"?>
<sst xmlns="http://schemas.openxmlformats.org/spreadsheetml/2006/main" count="68" uniqueCount="64">
  <si>
    <t>Price</t>
  </si>
  <si>
    <t>Shares</t>
  </si>
  <si>
    <t>MC</t>
  </si>
  <si>
    <t xml:space="preserve">Cash </t>
  </si>
  <si>
    <t>Debt</t>
  </si>
  <si>
    <t>EV</t>
  </si>
  <si>
    <t>Q123</t>
  </si>
  <si>
    <t>Q224</t>
  </si>
  <si>
    <t>Q223</t>
  </si>
  <si>
    <t>Q323</t>
  </si>
  <si>
    <t>Q423</t>
  </si>
  <si>
    <t>Q124</t>
  </si>
  <si>
    <t>Q324</t>
  </si>
  <si>
    <t>Q424</t>
  </si>
  <si>
    <t>Q125</t>
  </si>
  <si>
    <t>Q225</t>
  </si>
  <si>
    <t>Q325</t>
  </si>
  <si>
    <t>Q425</t>
  </si>
  <si>
    <t>Q126</t>
  </si>
  <si>
    <t>Revenues</t>
  </si>
  <si>
    <t>COGS</t>
  </si>
  <si>
    <t>Gross Profit</t>
  </si>
  <si>
    <t>SGA</t>
  </si>
  <si>
    <t>Operating Income</t>
  </si>
  <si>
    <t>Interest</t>
  </si>
  <si>
    <t>Other</t>
  </si>
  <si>
    <t>Pretax</t>
  </si>
  <si>
    <t>Tax</t>
  </si>
  <si>
    <t>NI</t>
  </si>
  <si>
    <t>EPS</t>
  </si>
  <si>
    <t xml:space="preserve"> </t>
  </si>
  <si>
    <t xml:space="preserve">Revenue Growth </t>
  </si>
  <si>
    <t>Gross Margin</t>
  </si>
  <si>
    <t>Operating Margin</t>
  </si>
  <si>
    <t>Tax Rate</t>
  </si>
  <si>
    <t>NI %</t>
  </si>
  <si>
    <t>Buybacks</t>
  </si>
  <si>
    <t>Trade</t>
  </si>
  <si>
    <t>Retainage</t>
  </si>
  <si>
    <t>Inventories</t>
  </si>
  <si>
    <t>OCA</t>
  </si>
  <si>
    <t>PPE</t>
  </si>
  <si>
    <t>Intangibles</t>
  </si>
  <si>
    <t>DT</t>
  </si>
  <si>
    <t>ORuA</t>
  </si>
  <si>
    <t>ONCA</t>
  </si>
  <si>
    <t>Assets</t>
  </si>
  <si>
    <t>AP</t>
  </si>
  <si>
    <t>OLtL</t>
  </si>
  <si>
    <t>ONCL</t>
  </si>
  <si>
    <t>Liabilities</t>
  </si>
  <si>
    <t>L+S/E</t>
  </si>
  <si>
    <t>SE</t>
  </si>
  <si>
    <t>ROA</t>
  </si>
  <si>
    <t>ROE</t>
  </si>
  <si>
    <t>CFFO</t>
  </si>
  <si>
    <t>CFFI</t>
  </si>
  <si>
    <t>CFFF</t>
  </si>
  <si>
    <t>CFC</t>
  </si>
  <si>
    <t>uFCF</t>
  </si>
  <si>
    <t>Capex</t>
  </si>
  <si>
    <t>SBC</t>
  </si>
  <si>
    <t>Model NI</t>
  </si>
  <si>
    <t>Reported 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</si>
</sst>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2" x14ac:knownFonts="1"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9" fontId="0" fillId="0" borderId="0" xfId="0" applyNumberFormat="1" applyFont="1"/>
    <xf numFmtId="9" fontId="0" fillId="0" borderId="0" xfId="0" applyNumberFormat="1"/>
    <xf numFmtId="0" fontId="1" fillId="0" borderId="0" xfId="0" applyFont="1"/>
    <xf numFmtId="3" fontId="1" fillId="0" borderId="0" xfId="0" applyNumberFormat="1" applyFon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697FA-8199-412A-A7F6-44A27C60E0EE}">
  <dimension ref="K3:L8"/>
  <sheetViews>
    <sheetView topLeftCell="D1" workbookViewId="0">
      <selection activeCell="L8" sqref="L8"/>
    </sheetView>
  </sheetViews>
  <sheetFormatPr defaultRowHeight="14.25" x14ac:dyDescent="0.2"/>
  <cols>
    <col min="12" max="12" width="11" customWidth="1"/>
  </cols>
  <sheetData>
    <row r="3" spans="11:12" x14ac:dyDescent="0.2">
      <c r="K3" t="s">
        <v>0</v>
      </c>
      <c r="L3" s="1">
        <v>570</v>
      </c>
    </row>
    <row r="4" spans="11:12" x14ac:dyDescent="0.2">
      <c r="K4" t="s">
        <v>1</v>
      </c>
      <c r="L4" s="1">
        <v>19.93</v>
      </c>
    </row>
    <row r="5" spans="11:12" x14ac:dyDescent="0.2">
      <c r="K5" t="s">
        <v>2</v>
      </c>
      <c r="L5" s="1">
        <f>+L4*L3</f>
        <v>11360.1</v>
      </c>
    </row>
    <row r="6" spans="11:12" x14ac:dyDescent="0.2">
      <c r="K6" t="s">
        <v>3</v>
      </c>
      <c r="L6" s="1">
        <f>88+169.9+85.8+63.9</f>
        <v>407.59999999999997</v>
      </c>
    </row>
    <row r="7" spans="11:12" x14ac:dyDescent="0.2">
      <c r="K7" t="s">
        <v>4</v>
      </c>
      <c r="L7" s="1">
        <v>212.6</v>
      </c>
    </row>
    <row r="8" spans="11:12" x14ac:dyDescent="0.2">
      <c r="K8" t="s">
        <v>5</v>
      </c>
      <c r="L8" s="1">
        <f>+L5-L6+L7</f>
        <v>11165.1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CCB7-C163-4ACC-99B1-05CB79F3A6D9}">
  <dimension ref="B2:AV56"/>
  <sheetViews>
    <sheetView tabSelected="1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X12" sqref="X12"/>
    </sheetView>
  </sheetViews>
  <sheetFormatPr defaultRowHeight="14.25" x14ac:dyDescent="0.2"/>
  <cols>
    <col min="2" max="2" width="20" customWidth="1"/>
    <col min="25" max="25" width="9.375" bestFit="1" customWidth="1"/>
  </cols>
  <sheetData>
    <row r="2" spans="2:48" x14ac:dyDescent="0.2">
      <c r="C2" t="s">
        <v>6</v>
      </c>
      <c r="D2" t="s">
        <v>8</v>
      </c>
      <c r="E2" t="s">
        <v>9</v>
      </c>
      <c r="F2" t="s">
        <v>10</v>
      </c>
      <c r="G2" t="s">
        <v>11</v>
      </c>
      <c r="H2" t="s">
        <v>7</v>
      </c>
      <c r="I2" t="s">
        <v>12</v>
      </c>
      <c r="J2" t="s">
        <v>13</v>
      </c>
      <c r="K2" t="s">
        <v>14</v>
      </c>
      <c r="L2" t="s">
        <v>15</v>
      </c>
      <c r="M2" t="s">
        <v>16</v>
      </c>
      <c r="N2" t="s">
        <v>17</v>
      </c>
      <c r="O2" t="s">
        <v>18</v>
      </c>
      <c r="U2">
        <v>2022</v>
      </c>
      <c r="V2">
        <f>+U2+1</f>
        <v>2023</v>
      </c>
      <c r="W2">
        <f t="shared" ref="W2:AF2" si="0">+V2+1</f>
        <v>2024</v>
      </c>
      <c r="X2">
        <f t="shared" si="0"/>
        <v>2025</v>
      </c>
      <c r="Y2">
        <f t="shared" si="0"/>
        <v>2026</v>
      </c>
      <c r="Z2">
        <f t="shared" si="0"/>
        <v>2027</v>
      </c>
      <c r="AA2">
        <f t="shared" si="0"/>
        <v>2028</v>
      </c>
      <c r="AB2">
        <f t="shared" si="0"/>
        <v>2029</v>
      </c>
      <c r="AC2">
        <f t="shared" si="0"/>
        <v>2030</v>
      </c>
      <c r="AD2">
        <f t="shared" si="0"/>
        <v>2031</v>
      </c>
      <c r="AE2">
        <f t="shared" si="0"/>
        <v>2032</v>
      </c>
      <c r="AF2">
        <f t="shared" si="0"/>
        <v>2033</v>
      </c>
    </row>
    <row r="3" spans="2:48" s="4" customFormat="1" ht="15" x14ac:dyDescent="0.25">
      <c r="B3" s="4" t="s">
        <v>19</v>
      </c>
      <c r="C3" s="5"/>
      <c r="D3" s="5"/>
      <c r="E3" s="5"/>
      <c r="F3" s="5"/>
      <c r="G3" s="5"/>
      <c r="H3" s="5"/>
      <c r="I3" s="5"/>
      <c r="J3" s="5">
        <v>775.8</v>
      </c>
      <c r="K3" s="5">
        <v>749.5</v>
      </c>
      <c r="L3" s="5" t="s">
        <v>30</v>
      </c>
      <c r="M3" s="5"/>
      <c r="N3" s="5">
        <v>897.8</v>
      </c>
      <c r="O3" s="5">
        <v>871</v>
      </c>
      <c r="U3" s="4">
        <v>2166</v>
      </c>
      <c r="V3" s="4">
        <v>2377.1999999999998</v>
      </c>
      <c r="W3" s="4">
        <v>3371.5</v>
      </c>
    </row>
    <row r="4" spans="2:48" x14ac:dyDescent="0.2">
      <c r="B4" t="s">
        <v>20</v>
      </c>
      <c r="C4" s="1"/>
      <c r="D4" s="1"/>
      <c r="E4" s="1"/>
      <c r="F4" s="1"/>
      <c r="G4" s="1"/>
      <c r="H4" s="1"/>
      <c r="I4" s="1"/>
      <c r="J4" s="1">
        <v>589.4</v>
      </c>
      <c r="K4" s="1">
        <v>571.5</v>
      </c>
      <c r="L4" s="1"/>
      <c r="M4" s="1"/>
      <c r="N4" s="1">
        <v>664.8</v>
      </c>
      <c r="O4" s="1">
        <v>651</v>
      </c>
      <c r="U4">
        <v>1847.9</v>
      </c>
      <c r="V4">
        <v>1932</v>
      </c>
      <c r="W4">
        <v>2512</v>
      </c>
    </row>
    <row r="5" spans="2:48" x14ac:dyDescent="0.2">
      <c r="B5" t="s">
        <v>21</v>
      </c>
      <c r="C5" s="1"/>
      <c r="D5" s="1"/>
      <c r="E5" s="1"/>
      <c r="F5" s="1"/>
      <c r="G5" s="1"/>
      <c r="H5" s="1"/>
      <c r="I5" s="1"/>
      <c r="J5" s="1">
        <f>+J3-J4</f>
        <v>186.39999999999998</v>
      </c>
      <c r="K5" s="1">
        <f>+K3-K4</f>
        <v>178</v>
      </c>
      <c r="L5" s="1"/>
      <c r="M5" s="1"/>
      <c r="N5" s="1">
        <f>+N3-N4</f>
        <v>233</v>
      </c>
      <c r="O5" s="1">
        <f>+O3-O4</f>
        <v>220</v>
      </c>
      <c r="U5">
        <f t="shared" ref="U5:V5" si="1">+U3-U4</f>
        <v>318.09999999999991</v>
      </c>
      <c r="V5">
        <f t="shared" si="1"/>
        <v>445.19999999999982</v>
      </c>
      <c r="W5">
        <f>+W3-W4</f>
        <v>859.5</v>
      </c>
    </row>
    <row r="6" spans="2:48" x14ac:dyDescent="0.2">
      <c r="B6" t="s">
        <v>22</v>
      </c>
      <c r="C6" s="1"/>
      <c r="D6" s="1"/>
      <c r="E6" s="1"/>
      <c r="F6" s="1"/>
      <c r="G6" s="1"/>
      <c r="H6" s="1"/>
      <c r="I6" s="1"/>
      <c r="J6" s="1">
        <v>110.9</v>
      </c>
      <c r="K6" s="1">
        <v>103</v>
      </c>
      <c r="L6" s="1"/>
      <c r="M6" s="1"/>
      <c r="N6" s="1">
        <v>128.6</v>
      </c>
      <c r="O6" s="1">
        <v>121.8</v>
      </c>
      <c r="U6">
        <v>262.7</v>
      </c>
      <c r="V6">
        <v>298.60000000000002</v>
      </c>
      <c r="W6">
        <v>475</v>
      </c>
    </row>
    <row r="7" spans="2:48" x14ac:dyDescent="0.2">
      <c r="B7" t="s">
        <v>23</v>
      </c>
      <c r="C7" s="1"/>
      <c r="D7" s="1"/>
      <c r="E7" s="1"/>
      <c r="F7" s="1"/>
      <c r="G7" s="1"/>
      <c r="H7" s="1"/>
      <c r="I7" s="1"/>
      <c r="J7" s="1">
        <f>+J5-J6</f>
        <v>75.499999999999972</v>
      </c>
      <c r="K7" s="1">
        <f>+K5-K6</f>
        <v>75</v>
      </c>
      <c r="L7" s="1"/>
      <c r="M7" s="1"/>
      <c r="N7" s="1">
        <f>+N5-N6</f>
        <v>104.4</v>
      </c>
      <c r="O7" s="1">
        <f>+O5-O6</f>
        <v>98.2</v>
      </c>
      <c r="U7">
        <f t="shared" ref="U7:V7" si="2">+U5-U6</f>
        <v>55.39999999999992</v>
      </c>
      <c r="V7">
        <f t="shared" si="2"/>
        <v>146.5999999999998</v>
      </c>
      <c r="W7">
        <f>+W5-W6</f>
        <v>384.5</v>
      </c>
    </row>
    <row r="8" spans="2:48" x14ac:dyDescent="0.2">
      <c r="B8" t="s">
        <v>24</v>
      </c>
      <c r="C8" s="1"/>
      <c r="D8" s="1"/>
      <c r="E8" s="1"/>
      <c r="F8" s="1"/>
      <c r="G8" s="1"/>
      <c r="H8" s="1"/>
      <c r="I8" s="1"/>
      <c r="J8" s="1">
        <v>0.1</v>
      </c>
      <c r="K8" s="1">
        <f>-0.5+2.4</f>
        <v>1.9</v>
      </c>
      <c r="L8" s="1"/>
      <c r="M8" s="1"/>
      <c r="N8" s="1">
        <v>0.5</v>
      </c>
      <c r="O8" s="1">
        <f>-0.5+16.9</f>
        <v>16.399999999999999</v>
      </c>
    </row>
    <row r="9" spans="2:48" x14ac:dyDescent="0.2">
      <c r="B9" t="s">
        <v>25</v>
      </c>
      <c r="C9" s="1"/>
      <c r="D9" s="1"/>
      <c r="E9" s="1"/>
      <c r="F9" s="1"/>
      <c r="G9" s="1"/>
      <c r="H9" s="1"/>
      <c r="I9" s="1"/>
      <c r="J9" s="1">
        <v>-5.4</v>
      </c>
      <c r="K9" s="1">
        <v>1.4</v>
      </c>
      <c r="L9" s="1"/>
      <c r="M9" s="1"/>
      <c r="N9" s="1">
        <f>-5-14.8</f>
        <v>-19.8</v>
      </c>
      <c r="O9" s="1">
        <v>1.8</v>
      </c>
      <c r="U9">
        <v>-3</v>
      </c>
      <c r="V9">
        <v>-1.2</v>
      </c>
      <c r="W9">
        <v>10.4</v>
      </c>
    </row>
    <row r="10" spans="2:48" x14ac:dyDescent="0.2">
      <c r="B10" t="s">
        <v>26</v>
      </c>
      <c r="C10" s="1"/>
      <c r="D10" s="1"/>
      <c r="E10" s="1"/>
      <c r="F10" s="1"/>
      <c r="G10" s="1"/>
      <c r="H10" s="1"/>
      <c r="I10" s="1"/>
      <c r="J10" s="1">
        <f>+J7+J8+J9</f>
        <v>70.19999999999996</v>
      </c>
      <c r="K10" s="1">
        <f>+K7+K8+K9</f>
        <v>78.300000000000011</v>
      </c>
      <c r="L10" s="1"/>
      <c r="M10" s="1"/>
      <c r="N10" s="1">
        <f>+N7+N8+N9</f>
        <v>85.100000000000009</v>
      </c>
      <c r="O10" s="1">
        <f>+O7+O8+O9</f>
        <v>116.39999999999999</v>
      </c>
      <c r="U10">
        <f t="shared" ref="U10:V10" si="3">+U7+U9</f>
        <v>52.39999999999992</v>
      </c>
      <c r="V10">
        <f t="shared" si="3"/>
        <v>145.39999999999981</v>
      </c>
      <c r="W10">
        <f>+W7+W9</f>
        <v>394.9</v>
      </c>
    </row>
    <row r="11" spans="2:48" x14ac:dyDescent="0.2">
      <c r="B11" t="s">
        <v>27</v>
      </c>
      <c r="C11" s="1"/>
      <c r="D11" s="1"/>
      <c r="E11" s="1"/>
      <c r="F11" s="1"/>
      <c r="G11" s="1"/>
      <c r="H11" s="1"/>
      <c r="I11" s="1"/>
      <c r="J11" s="1">
        <v>14.8</v>
      </c>
      <c r="K11" s="1">
        <v>-28.4</v>
      </c>
      <c r="L11" s="1"/>
      <c r="M11" s="1"/>
      <c r="N11" s="1">
        <v>21.3</v>
      </c>
      <c r="O11" s="1">
        <v>21.3</v>
      </c>
      <c r="U11">
        <v>12.8</v>
      </c>
      <c r="V11">
        <v>38.799999999999997</v>
      </c>
      <c r="W11">
        <v>96.8</v>
      </c>
    </row>
    <row r="12" spans="2:48" s="4" customFormat="1" ht="15" x14ac:dyDescent="0.25">
      <c r="B12" s="4" t="s">
        <v>28</v>
      </c>
      <c r="C12" s="5"/>
      <c r="D12" s="5"/>
      <c r="E12" s="5"/>
      <c r="F12" s="5"/>
      <c r="G12" s="5"/>
      <c r="H12" s="5"/>
      <c r="I12" s="5"/>
      <c r="J12" s="5">
        <f>+J10+J11</f>
        <v>84.999999999999957</v>
      </c>
      <c r="K12" s="5">
        <f>+K10+K11</f>
        <v>49.900000000000013</v>
      </c>
      <c r="L12" s="5"/>
      <c r="M12" s="5"/>
      <c r="N12" s="5">
        <f>+N10+N11</f>
        <v>106.4</v>
      </c>
      <c r="O12" s="5">
        <f>+O10+O11</f>
        <v>137.69999999999999</v>
      </c>
      <c r="Q12" s="4">
        <v>-13.8</v>
      </c>
      <c r="R12" s="4">
        <v>33.5</v>
      </c>
      <c r="S12" s="4">
        <v>40.6</v>
      </c>
      <c r="T12" s="4">
        <v>68.7</v>
      </c>
      <c r="U12" s="4">
        <f t="shared" ref="U12:V12" si="4">+U10-U11</f>
        <v>39.599999999999923</v>
      </c>
      <c r="V12" s="4">
        <f t="shared" si="4"/>
        <v>106.59999999999981</v>
      </c>
      <c r="W12" s="4">
        <f>+W10-W11</f>
        <v>298.09999999999997</v>
      </c>
      <c r="X12" s="4">
        <f>+W12*1.1</f>
        <v>327.90999999999997</v>
      </c>
      <c r="Y12" s="4">
        <f t="shared" ref="Y12:AD12" si="5">+X12*1.1</f>
        <v>360.70100000000002</v>
      </c>
      <c r="Z12" s="4">
        <f t="shared" si="5"/>
        <v>396.77110000000005</v>
      </c>
      <c r="AA12" s="4">
        <f t="shared" si="5"/>
        <v>436.44821000000007</v>
      </c>
      <c r="AB12" s="4">
        <f t="shared" si="5"/>
        <v>480.09303100000011</v>
      </c>
      <c r="AC12" s="4">
        <f t="shared" si="5"/>
        <v>528.10233410000012</v>
      </c>
      <c r="AD12" s="4">
        <f t="shared" si="5"/>
        <v>580.91256751000014</v>
      </c>
      <c r="AE12" s="4">
        <f>+AD12*0.97</f>
        <v>563.48519048470007</v>
      </c>
      <c r="AF12" s="4">
        <f t="shared" ref="AF12:AV12" si="6">+AE12*0.97</f>
        <v>546.58063477015901</v>
      </c>
      <c r="AG12" s="4">
        <f t="shared" si="6"/>
        <v>530.18321572705418</v>
      </c>
      <c r="AH12" s="4">
        <f t="shared" si="6"/>
        <v>514.27771925524257</v>
      </c>
      <c r="AI12" s="4">
        <f t="shared" si="6"/>
        <v>498.8493876775853</v>
      </c>
      <c r="AJ12" s="4">
        <f t="shared" si="6"/>
        <v>483.88390604725771</v>
      </c>
      <c r="AK12" s="4">
        <f t="shared" si="6"/>
        <v>469.36738886583998</v>
      </c>
      <c r="AL12" s="4">
        <f t="shared" si="6"/>
        <v>455.2863671998648</v>
      </c>
      <c r="AM12" s="4">
        <f t="shared" si="6"/>
        <v>441.62777618386883</v>
      </c>
      <c r="AN12" s="4">
        <f t="shared" si="6"/>
        <v>428.37894289835276</v>
      </c>
      <c r="AO12" s="4">
        <f t="shared" si="6"/>
        <v>415.52757461140214</v>
      </c>
      <c r="AP12" s="4">
        <f t="shared" si="6"/>
        <v>403.06174737306009</v>
      </c>
      <c r="AQ12" s="4">
        <f t="shared" si="6"/>
        <v>390.9698949518683</v>
      </c>
      <c r="AR12" s="4">
        <f t="shared" si="6"/>
        <v>379.24079810331222</v>
      </c>
      <c r="AS12" s="4">
        <f t="shared" si="6"/>
        <v>367.86357416021286</v>
      </c>
      <c r="AT12" s="4">
        <f t="shared" si="6"/>
        <v>356.82766693540646</v>
      </c>
      <c r="AU12" s="4">
        <f t="shared" si="6"/>
        <v>346.12283692734422</v>
      </c>
      <c r="AV12" s="4">
        <f t="shared" si="6"/>
        <v>335.7391518195239</v>
      </c>
    </row>
    <row r="13" spans="2:48" x14ac:dyDescent="0.2">
      <c r="B13" t="s">
        <v>29</v>
      </c>
      <c r="C13" s="1"/>
      <c r="D13" s="1"/>
      <c r="E13" s="1"/>
      <c r="F13" s="1"/>
      <c r="G13" s="1"/>
      <c r="H13" s="1"/>
      <c r="I13" s="1"/>
      <c r="J13" s="1">
        <f>+J12/J14</f>
        <v>4.2812531479802542</v>
      </c>
      <c r="K13" s="1">
        <f>+K12/K14</f>
        <v>2.4962481240620318</v>
      </c>
      <c r="L13" s="1"/>
      <c r="M13" s="1"/>
      <c r="N13" s="1">
        <f>+N12/N14</f>
        <v>5.3591215875894029</v>
      </c>
      <c r="O13" s="1">
        <f>+O12/O14</f>
        <v>6.9241212852617284</v>
      </c>
    </row>
    <row r="14" spans="2:48" x14ac:dyDescent="0.2">
      <c r="B14" t="s">
        <v>1</v>
      </c>
      <c r="C14" s="1"/>
      <c r="D14" s="1"/>
      <c r="E14" s="1"/>
      <c r="F14" s="1"/>
      <c r="G14" s="1"/>
      <c r="H14" s="1"/>
      <c r="I14" s="1"/>
      <c r="J14" s="1">
        <v>19.853999999999999</v>
      </c>
      <c r="K14" s="1">
        <v>19.989999999999998</v>
      </c>
      <c r="L14" s="1"/>
      <c r="M14" s="1"/>
      <c r="N14" s="1">
        <v>19.853999999999999</v>
      </c>
      <c r="O14" s="1">
        <v>19.887</v>
      </c>
    </row>
    <row r="16" spans="2:48" x14ac:dyDescent="0.2">
      <c r="B16" t="s">
        <v>31</v>
      </c>
      <c r="N16" s="2" t="e">
        <f>+N3/M3-1</f>
        <v>#DIV/0!</v>
      </c>
      <c r="O16" s="2">
        <f>+O3/N3-1</f>
        <v>-2.9850746268656692E-2</v>
      </c>
      <c r="Y16" s="6">
        <f>+NPV(0.08,X12:AV12)</f>
        <v>4803.8113977917474</v>
      </c>
    </row>
    <row r="17" spans="2:25" x14ac:dyDescent="0.2">
      <c r="B17" t="s">
        <v>32</v>
      </c>
      <c r="N17" s="2">
        <f>+N5/N3</f>
        <v>0.25952327912675432</v>
      </c>
      <c r="O17" s="2">
        <f>+O5/O3</f>
        <v>0.2525832376578645</v>
      </c>
      <c r="Y17" s="1">
        <f>+Y16-main!L6+main!L7</f>
        <v>4608.8113977917474</v>
      </c>
    </row>
    <row r="18" spans="2:25" x14ac:dyDescent="0.2">
      <c r="B18" t="s">
        <v>33</v>
      </c>
      <c r="N18" s="2">
        <f>+N8/N3</f>
        <v>5.5691690799732681E-4</v>
      </c>
      <c r="O18" s="2">
        <f>+O8/O3</f>
        <v>1.8828932261768083E-2</v>
      </c>
      <c r="Y18">
        <f>+Y17/main!L4</f>
        <v>231.24994469602345</v>
      </c>
    </row>
    <row r="19" spans="2:25" x14ac:dyDescent="0.2">
      <c r="B19" t="s">
        <v>34</v>
      </c>
      <c r="N19" s="2">
        <f>+N11/N10</f>
        <v>0.25029377203290243</v>
      </c>
      <c r="O19" s="2">
        <f>+O11/O10</f>
        <v>0.1829896907216495</v>
      </c>
    </row>
    <row r="20" spans="2:25" x14ac:dyDescent="0.2">
      <c r="B20" t="s">
        <v>35</v>
      </c>
      <c r="N20" s="2" t="e">
        <f>+N12/M12-1</f>
        <v>#DIV/0!</v>
      </c>
      <c r="O20" s="2">
        <f>+O12/N12-1</f>
        <v>0.29417293233082686</v>
      </c>
    </row>
    <row r="21" spans="2:25" x14ac:dyDescent="0.2">
      <c r="B21" t="s">
        <v>36</v>
      </c>
      <c r="N21" s="2">
        <f>((N14-M14)*100)</f>
        <v>1985.3999999999999</v>
      </c>
      <c r="O21" s="2">
        <f>((O14-N14)*100)</f>
        <v>3.3000000000001251</v>
      </c>
    </row>
    <row r="23" spans="2:25" x14ac:dyDescent="0.2">
      <c r="B23" t="s">
        <v>3</v>
      </c>
      <c r="O23">
        <f>88.8+169.9+85.8+63.9</f>
        <v>408.4</v>
      </c>
    </row>
    <row r="24" spans="2:25" x14ac:dyDescent="0.2">
      <c r="B24" t="s">
        <v>37</v>
      </c>
      <c r="O24">
        <v>524.4</v>
      </c>
    </row>
    <row r="25" spans="2:25" x14ac:dyDescent="0.2">
      <c r="B25" t="s">
        <v>38</v>
      </c>
      <c r="O25">
        <v>104.5</v>
      </c>
    </row>
    <row r="26" spans="2:25" x14ac:dyDescent="0.2">
      <c r="B26" t="s">
        <v>39</v>
      </c>
      <c r="O26">
        <v>110.4</v>
      </c>
    </row>
    <row r="27" spans="2:25" x14ac:dyDescent="0.2">
      <c r="B27" t="s">
        <v>40</v>
      </c>
      <c r="O27">
        <v>25.9</v>
      </c>
    </row>
    <row r="28" spans="2:25" x14ac:dyDescent="0.2">
      <c r="B28" t="s">
        <v>41</v>
      </c>
      <c r="O28">
        <v>220.3</v>
      </c>
    </row>
    <row r="29" spans="2:25" x14ac:dyDescent="0.2">
      <c r="B29" t="s">
        <v>42</v>
      </c>
      <c r="O29">
        <f>107.8+38.2</f>
        <v>146</v>
      </c>
    </row>
    <row r="30" spans="2:25" x14ac:dyDescent="0.2">
      <c r="B30" t="s">
        <v>43</v>
      </c>
      <c r="O30">
        <v>14.3</v>
      </c>
    </row>
    <row r="31" spans="2:25" x14ac:dyDescent="0.2">
      <c r="B31" t="s">
        <v>44</v>
      </c>
      <c r="O31">
        <v>91.4</v>
      </c>
    </row>
    <row r="32" spans="2:25" x14ac:dyDescent="0.2">
      <c r="B32" t="s">
        <v>45</v>
      </c>
      <c r="O32">
        <v>12.7</v>
      </c>
    </row>
    <row r="33" spans="2:15" x14ac:dyDescent="0.2">
      <c r="B33" t="s">
        <v>46</v>
      </c>
      <c r="O33">
        <f>SUM(O23:O32)</f>
        <v>1658.3000000000002</v>
      </c>
    </row>
    <row r="35" spans="2:15" x14ac:dyDescent="0.2">
      <c r="B35" t="s">
        <v>4</v>
      </c>
      <c r="O35">
        <v>212.6</v>
      </c>
    </row>
    <row r="36" spans="2:15" x14ac:dyDescent="0.2">
      <c r="B36" t="s">
        <v>47</v>
      </c>
      <c r="O36">
        <v>403</v>
      </c>
    </row>
    <row r="37" spans="2:15" x14ac:dyDescent="0.2">
      <c r="B37" t="s">
        <v>48</v>
      </c>
      <c r="O37">
        <v>65.8</v>
      </c>
    </row>
    <row r="38" spans="2:15" x14ac:dyDescent="0.2">
      <c r="B38" t="s">
        <v>27</v>
      </c>
      <c r="O38">
        <v>6.8</v>
      </c>
    </row>
    <row r="39" spans="2:15" x14ac:dyDescent="0.2">
      <c r="B39" t="s">
        <v>49</v>
      </c>
      <c r="O39">
        <v>5</v>
      </c>
    </row>
    <row r="40" spans="2:15" x14ac:dyDescent="0.2">
      <c r="B40" t="s">
        <v>50</v>
      </c>
      <c r="O40">
        <f>SUM(O35:O39)</f>
        <v>693.19999999999993</v>
      </c>
    </row>
    <row r="42" spans="2:15" x14ac:dyDescent="0.2">
      <c r="B42" t="s">
        <v>52</v>
      </c>
      <c r="O42">
        <f>+O33-O40</f>
        <v>965.10000000000025</v>
      </c>
    </row>
    <row r="43" spans="2:15" x14ac:dyDescent="0.2">
      <c r="B43" t="s">
        <v>51</v>
      </c>
      <c r="O43">
        <f>+O40+O42</f>
        <v>1658.3000000000002</v>
      </c>
    </row>
    <row r="45" spans="2:15" x14ac:dyDescent="0.2">
      <c r="B45" t="s">
        <v>53</v>
      </c>
      <c r="O45" s="3">
        <f>+O12/O33</f>
        <v>8.3036844961707754E-2</v>
      </c>
    </row>
    <row r="46" spans="2:15" x14ac:dyDescent="0.2">
      <c r="B46" t="s">
        <v>54</v>
      </c>
      <c r="O46" s="3">
        <f>+O12/O42</f>
        <v>0.14267951507615786</v>
      </c>
    </row>
    <row r="48" spans="2:15" x14ac:dyDescent="0.2">
      <c r="B48" t="s">
        <v>62</v>
      </c>
      <c r="K48" s="1">
        <f>+K12</f>
        <v>49.900000000000013</v>
      </c>
      <c r="O48" s="1">
        <f>+O12</f>
        <v>137.69999999999999</v>
      </c>
    </row>
    <row r="49" spans="2:14" x14ac:dyDescent="0.2">
      <c r="B49" t="s">
        <v>63</v>
      </c>
      <c r="J49">
        <v>57.7</v>
      </c>
      <c r="N49">
        <v>91.8</v>
      </c>
    </row>
    <row r="50" spans="2:14" x14ac:dyDescent="0.2">
      <c r="B50" t="s">
        <v>55</v>
      </c>
      <c r="J50">
        <v>37.299999999999997</v>
      </c>
      <c r="N50">
        <v>27.7</v>
      </c>
    </row>
    <row r="51" spans="2:14" x14ac:dyDescent="0.2">
      <c r="B51" t="s">
        <v>61</v>
      </c>
      <c r="J51">
        <v>2</v>
      </c>
      <c r="N51">
        <v>3.8</v>
      </c>
    </row>
    <row r="52" spans="2:14" x14ac:dyDescent="0.2">
      <c r="B52" t="s">
        <v>56</v>
      </c>
      <c r="J52">
        <v>-58.4</v>
      </c>
      <c r="N52">
        <v>-46.2</v>
      </c>
    </row>
    <row r="53" spans="2:14" s="4" customFormat="1" ht="15" x14ac:dyDescent="0.25">
      <c r="B53" s="4" t="s">
        <v>60</v>
      </c>
      <c r="J53" s="4">
        <v>-13.2</v>
      </c>
      <c r="N53" s="4">
        <v>-46.6</v>
      </c>
    </row>
    <row r="54" spans="2:14" x14ac:dyDescent="0.2">
      <c r="B54" t="s">
        <v>57</v>
      </c>
      <c r="J54">
        <v>20.6</v>
      </c>
      <c r="N54">
        <v>-19.8</v>
      </c>
    </row>
    <row r="55" spans="2:14" s="4" customFormat="1" ht="15" x14ac:dyDescent="0.25">
      <c r="B55" s="4" t="s">
        <v>58</v>
      </c>
      <c r="J55" s="4">
        <f>+J50+J52+J54</f>
        <v>-0.5</v>
      </c>
      <c r="N55" s="4">
        <f>+N50+N52+N54</f>
        <v>-38.300000000000004</v>
      </c>
    </row>
    <row r="56" spans="2:14" x14ac:dyDescent="0.2">
      <c r="B56" t="s">
        <v>59</v>
      </c>
      <c r="J56">
        <f>+J50-J51+J53</f>
        <v>22.099999999999998</v>
      </c>
      <c r="N56">
        <f>+N50-N51+N53</f>
        <v>-22.700000000000003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main</vt:lpstr>
      <vt:lpstr>model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Simão Clemente</dc:creator>
  <cp:lastModifiedBy>Simão Clemente</cp:lastModifiedBy>
  <dcterms:created xsi:type="dcterms:W3CDTF">2026-04-22T17:44:49Z</dcterms:created>
  <dcterms:modified xsi:type="dcterms:W3CDTF">2026-04-23T08:44:11Z</dcterms:modified>
</cp:coreProperties>
</file>