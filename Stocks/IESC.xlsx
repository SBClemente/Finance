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ademiafaedupt-my.sharepoint.com/personal/sbclemente_academiafa_edu_pt/Documents/Gigs/WorkingFolder/Finance_Shared/Stocks/"/>
    </mc:Choice>
  </mc:AlternateContent>
  <xr:revisionPtr revIDLastSave="270" documentId="8_{E883A8EF-561B-4C2B-9534-AAE527A24DB8}" xr6:coauthVersionLast="47" xr6:coauthVersionMax="47" xr10:uidLastSave="{A29A330F-B7CA-4527-B29D-23EA26CE881B}"/>
  <bookViews>
    <workbookView xWindow="-120" yWindow="-120" windowWidth="29040" windowHeight="15720" activeTab="1" xr2:uid="{C2872281-F2D6-482A-824F-432F6AC9B63B}"/>
  </bookViews>
  <sheets>
    <sheet name="main" sheetId="1" r:id="rId1"/>
    <sheet name="model " sheetId="2" r:id="rId2"/>
    <sheet name="Folha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25" i="2" l="1"/>
  <c r="M13" i="2"/>
  <c r="M15" i="2" s="1"/>
  <c r="M18" i="2" s="1"/>
  <c r="M20" i="2" s="1"/>
  <c r="M21" i="2" s="1"/>
  <c r="P29" i="2"/>
  <c r="Q29" i="2"/>
  <c r="Q26" i="2"/>
  <c r="Q24" i="2"/>
  <c r="Q13" i="2"/>
  <c r="V13" i="2"/>
  <c r="V15" i="2" s="1"/>
  <c r="V18" i="2" s="1"/>
  <c r="V20" i="2" s="1"/>
  <c r="U13" i="2"/>
  <c r="U15" i="2" s="1"/>
  <c r="U18" i="2" s="1"/>
  <c r="U20" i="2" s="1"/>
  <c r="W13" i="2"/>
  <c r="W15" i="2" s="1"/>
  <c r="W18" i="2" s="1"/>
  <c r="W20" i="2" s="1"/>
  <c r="X20" i="2" s="1"/>
  <c r="V6" i="2"/>
  <c r="W6" i="2" s="1"/>
  <c r="X6" i="2" s="1"/>
  <c r="Y6" i="2" s="1"/>
  <c r="Z6" i="2" s="1"/>
  <c r="AA6" i="2" s="1"/>
  <c r="AB6" i="2" s="1"/>
  <c r="AC6" i="2" s="1"/>
  <c r="AD6" i="2" s="1"/>
  <c r="AE6" i="2" s="1"/>
  <c r="AF6" i="2" s="1"/>
  <c r="K13" i="2"/>
  <c r="K15" i="2" s="1"/>
  <c r="K18" i="2" s="1"/>
  <c r="K20" i="2" s="1"/>
  <c r="K21" i="2" s="1"/>
  <c r="O26" i="2"/>
  <c r="O24" i="2"/>
  <c r="O17" i="2"/>
  <c r="O13" i="2"/>
  <c r="O15" i="2" s="1"/>
  <c r="O18" i="2" s="1"/>
  <c r="O20" i="2" s="1"/>
  <c r="O21" i="2" s="1"/>
  <c r="J64" i="2"/>
  <c r="J63" i="2"/>
  <c r="N64" i="2"/>
  <c r="Y20" i="2" l="1"/>
  <c r="Q15" i="2"/>
  <c r="Q18" i="2" s="1"/>
  <c r="Q25" i="2"/>
  <c r="O25" i="2"/>
  <c r="O28" i="2"/>
  <c r="O27" i="2"/>
  <c r="N63" i="2"/>
  <c r="P48" i="2"/>
  <c r="P37" i="2"/>
  <c r="P31" i="2"/>
  <c r="P24" i="2"/>
  <c r="L6" i="1"/>
  <c r="L8" i="1" s="1"/>
  <c r="L16" i="2"/>
  <c r="L13" i="2"/>
  <c r="L15" i="2" s="1"/>
  <c r="P16" i="2"/>
  <c r="P26" i="2" s="1"/>
  <c r="P13" i="2"/>
  <c r="P15" i="2" s="1"/>
  <c r="L5" i="1"/>
  <c r="Z20" i="2" l="1"/>
  <c r="AA20" i="2" s="1"/>
  <c r="AB20" i="2" s="1"/>
  <c r="AC20" i="2" s="1"/>
  <c r="AD20" i="2" s="1"/>
  <c r="AE20" i="2" s="1"/>
  <c r="AF20" i="2" s="1"/>
  <c r="AG20" i="2" s="1"/>
  <c r="AH20" i="2" s="1"/>
  <c r="AI20" i="2" s="1"/>
  <c r="AJ20" i="2" s="1"/>
  <c r="AK20" i="2" s="1"/>
  <c r="AL20" i="2" s="1"/>
  <c r="AM20" i="2" s="1"/>
  <c r="AN20" i="2" s="1"/>
  <c r="AO20" i="2" s="1"/>
  <c r="AP20" i="2" s="1"/>
  <c r="AQ20" i="2" s="1"/>
  <c r="AR20" i="2" s="1"/>
  <c r="AS20" i="2" s="1"/>
  <c r="AT20" i="2" s="1"/>
  <c r="AU20" i="2" s="1"/>
  <c r="AV20" i="2" s="1"/>
  <c r="Y24" i="2" s="1"/>
  <c r="Y26" i="2" s="1"/>
  <c r="Q20" i="2"/>
  <c r="Q27" i="2"/>
  <c r="P25" i="2"/>
  <c r="P41" i="2"/>
  <c r="P50" i="2" s="1"/>
  <c r="P51" i="2" s="1"/>
  <c r="P18" i="2"/>
  <c r="L18" i="2"/>
  <c r="L20" i="2" s="1"/>
  <c r="Q21" i="2" l="1"/>
  <c r="L21" i="2"/>
  <c r="L56" i="2"/>
  <c r="P20" i="2"/>
  <c r="P27" i="2"/>
  <c r="P56" i="2" l="1"/>
  <c r="Q28" i="2"/>
  <c r="P21" i="2"/>
  <c r="P54" i="2"/>
  <c r="P28" i="2"/>
  <c r="P53" i="2"/>
</calcChain>
</file>

<file path=xl/sharedStrings.xml><?xml version="1.0" encoding="utf-8"?>
<sst xmlns="http://schemas.openxmlformats.org/spreadsheetml/2006/main" count="96" uniqueCount="81">
  <si>
    <t>Price</t>
  </si>
  <si>
    <t>Shares</t>
  </si>
  <si>
    <t>MC</t>
  </si>
  <si>
    <t xml:space="preserve">Cash </t>
  </si>
  <si>
    <t>Debt</t>
  </si>
  <si>
    <t>EV</t>
  </si>
  <si>
    <t>Q123</t>
  </si>
  <si>
    <t>Q224</t>
  </si>
  <si>
    <t>Q223</t>
  </si>
  <si>
    <t>Q323</t>
  </si>
  <si>
    <t>Q423</t>
  </si>
  <si>
    <t>Q124</t>
  </si>
  <si>
    <t>Q324</t>
  </si>
  <si>
    <t>Q424</t>
  </si>
  <si>
    <t>Q125</t>
  </si>
  <si>
    <t>Q225</t>
  </si>
  <si>
    <t>Q325</t>
  </si>
  <si>
    <t>Q425</t>
  </si>
  <si>
    <t>Q126</t>
  </si>
  <si>
    <t>Revenues</t>
  </si>
  <si>
    <t>COGS</t>
  </si>
  <si>
    <t>Gross Profit</t>
  </si>
  <si>
    <t>SGA</t>
  </si>
  <si>
    <t>Operating Income</t>
  </si>
  <si>
    <t>Interest</t>
  </si>
  <si>
    <t>Other</t>
  </si>
  <si>
    <t>Pretax</t>
  </si>
  <si>
    <t>Tax</t>
  </si>
  <si>
    <t>NI</t>
  </si>
  <si>
    <t>EPS</t>
  </si>
  <si>
    <t xml:space="preserve"> </t>
  </si>
  <si>
    <t xml:space="preserve">Revenue Growth </t>
  </si>
  <si>
    <t>Gross Margin</t>
  </si>
  <si>
    <t>Operating Margin</t>
  </si>
  <si>
    <t>Tax Rate</t>
  </si>
  <si>
    <t>NI %</t>
  </si>
  <si>
    <t>Buybacks</t>
  </si>
  <si>
    <t>Trade</t>
  </si>
  <si>
    <t>Retainage</t>
  </si>
  <si>
    <t>Inventories</t>
  </si>
  <si>
    <t>OCA</t>
  </si>
  <si>
    <t>PPE</t>
  </si>
  <si>
    <t>Intangibles</t>
  </si>
  <si>
    <t>DT</t>
  </si>
  <si>
    <t>ORuA</t>
  </si>
  <si>
    <t>ONCA</t>
  </si>
  <si>
    <t>Assets</t>
  </si>
  <si>
    <t>AP</t>
  </si>
  <si>
    <t>OLtL</t>
  </si>
  <si>
    <t>ONCL</t>
  </si>
  <si>
    <t>Liabilities</t>
  </si>
  <si>
    <t>L+S/E</t>
  </si>
  <si>
    <t>SE</t>
  </si>
  <si>
    <t>ROA</t>
  </si>
  <si>
    <t>ROE</t>
  </si>
  <si>
    <t>CFFO</t>
  </si>
  <si>
    <t>CFFI</t>
  </si>
  <si>
    <t>CFFF</t>
  </si>
  <si>
    <t>CFC</t>
  </si>
  <si>
    <t>uFCF</t>
  </si>
  <si>
    <t>Capex</t>
  </si>
  <si>
    <t>SBC</t>
  </si>
  <si>
    <t>Model NI</t>
  </si>
  <si>
    <t>Reported NI</t>
  </si>
  <si>
    <t>Q226</t>
  </si>
  <si>
    <t>Revenue</t>
  </si>
  <si>
    <t>GA</t>
  </si>
  <si>
    <t>Contigent</t>
  </si>
  <si>
    <t>OPEX</t>
  </si>
  <si>
    <t>PRETAX</t>
  </si>
  <si>
    <t>Tac</t>
  </si>
  <si>
    <t xml:space="preserve">EPS </t>
  </si>
  <si>
    <t>Q326</t>
  </si>
  <si>
    <t>Q426</t>
  </si>
  <si>
    <t>Q127</t>
  </si>
  <si>
    <t>Communications</t>
  </si>
  <si>
    <t xml:space="preserve">Residential </t>
  </si>
  <si>
    <t>Comercial  &amp; Industrial</t>
  </si>
  <si>
    <t>Infra solutions</t>
  </si>
  <si>
    <t>VAL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</si>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</sst>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9" fontId="0" fillId="0" borderId="0" xfId="0" applyNumberFormat="1"/>
    <xf numFmtId="0" fontId="1" fillId="0" borderId="0" xfId="0" applyFont="1"/>
    <xf numFmtId="3" fontId="1" fillId="0" borderId="0" xfId="0" applyNumberFormat="1" applyFon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97FA-8199-412A-A7F6-44A27C60E0EE}">
  <dimension ref="K3:L8"/>
  <sheetViews>
    <sheetView topLeftCell="D1" workbookViewId="0">
      <selection activeCell="L3" sqref="L3"/>
    </sheetView>
  </sheetViews>
  <sheetFormatPr defaultRowHeight="14.25" x14ac:dyDescent="0.2"/>
  <cols>
    <col min="12" max="12" width="11" customWidth="1"/>
  </cols>
  <sheetData>
    <row r="3" spans="11:12" x14ac:dyDescent="0.2">
      <c r="K3" t="s">
        <v>0</v>
      </c>
      <c r="L3" s="1">
        <v>570</v>
      </c>
    </row>
    <row r="4" spans="11:12" x14ac:dyDescent="0.2">
      <c r="K4" t="s">
        <v>1</v>
      </c>
      <c r="L4" s="1">
        <v>19.93</v>
      </c>
    </row>
    <row r="5" spans="11:12" x14ac:dyDescent="0.2">
      <c r="K5" t="s">
        <v>2</v>
      </c>
      <c r="L5" s="1">
        <f>+L4*L3</f>
        <v>11360.1</v>
      </c>
    </row>
    <row r="6" spans="11:12" x14ac:dyDescent="0.2">
      <c r="K6" t="s">
        <v>3</v>
      </c>
      <c r="L6" s="1">
        <f>88+169.9+85.8+63.9</f>
        <v>407.59999999999997</v>
      </c>
    </row>
    <row r="7" spans="11:12" x14ac:dyDescent="0.2">
      <c r="K7" t="s">
        <v>4</v>
      </c>
      <c r="L7" s="1">
        <v>212.6</v>
      </c>
    </row>
    <row r="8" spans="11:12" x14ac:dyDescent="0.2">
      <c r="K8" t="s">
        <v>5</v>
      </c>
      <c r="L8" s="1">
        <f>+L5-L6+L7</f>
        <v>11165.1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CCB7-C163-4ACC-99B1-05CB79F3A6D9}">
  <dimension ref="B6:AV64"/>
  <sheetViews>
    <sheetView tabSelected="1" workbookViewId="0">
      <pane xSplit="2" ySplit="6" topLeftCell="K12" activePane="bottomRight" state="frozen"/>
      <selection pane="topRight" activeCell="C1" sqref="C1"/>
      <selection pane="bottomLeft" activeCell="A3" sqref="A3"/>
      <selection pane="bottomRight" activeCell="Y26" sqref="Y26"/>
    </sheetView>
  </sheetViews>
  <sheetFormatPr defaultRowHeight="14.25" x14ac:dyDescent="0.2"/>
  <cols>
    <col min="2" max="2" width="20" customWidth="1"/>
    <col min="25" max="25" width="9.375" bestFit="1" customWidth="1"/>
  </cols>
  <sheetData>
    <row r="6" spans="2:32" x14ac:dyDescent="0.2">
      <c r="C6" t="s">
        <v>6</v>
      </c>
      <c r="D6" t="s">
        <v>8</v>
      </c>
      <c r="E6" t="s">
        <v>9</v>
      </c>
      <c r="F6" t="s">
        <v>10</v>
      </c>
      <c r="G6" t="s">
        <v>11</v>
      </c>
      <c r="H6" t="s">
        <v>7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64</v>
      </c>
      <c r="Q6" t="s">
        <v>72</v>
      </c>
      <c r="R6" t="s">
        <v>73</v>
      </c>
      <c r="S6" t="s">
        <v>74</v>
      </c>
      <c r="U6">
        <v>2022</v>
      </c>
      <c r="V6">
        <f>+U6+1</f>
        <v>2023</v>
      </c>
      <c r="W6">
        <f t="shared" ref="W6:AF6" si="0">+V6+1</f>
        <v>2024</v>
      </c>
      <c r="X6">
        <f t="shared" si="0"/>
        <v>2025</v>
      </c>
      <c r="Y6">
        <f t="shared" si="0"/>
        <v>2026</v>
      </c>
      <c r="Z6">
        <f t="shared" si="0"/>
        <v>2027</v>
      </c>
      <c r="AA6">
        <f t="shared" si="0"/>
        <v>2028</v>
      </c>
      <c r="AB6">
        <f t="shared" si="0"/>
        <v>2029</v>
      </c>
      <c r="AC6">
        <f t="shared" si="0"/>
        <v>2030</v>
      </c>
      <c r="AD6">
        <f t="shared" si="0"/>
        <v>2031</v>
      </c>
      <c r="AE6">
        <f t="shared" si="0"/>
        <v>2032</v>
      </c>
      <c r="AF6">
        <f t="shared" si="0"/>
        <v>2033</v>
      </c>
    </row>
    <row r="7" spans="2:32" x14ac:dyDescent="0.2">
      <c r="B7" t="s">
        <v>75</v>
      </c>
    </row>
    <row r="8" spans="2:32" x14ac:dyDescent="0.2">
      <c r="B8" t="s">
        <v>76</v>
      </c>
    </row>
    <row r="9" spans="2:32" x14ac:dyDescent="0.2">
      <c r="B9" t="s">
        <v>78</v>
      </c>
    </row>
    <row r="10" spans="2:32" x14ac:dyDescent="0.2">
      <c r="B10" t="s">
        <v>77</v>
      </c>
    </row>
    <row r="11" spans="2:32" s="3" customFormat="1" ht="15" x14ac:dyDescent="0.25">
      <c r="B11" s="3" t="s">
        <v>19</v>
      </c>
      <c r="C11" s="4"/>
      <c r="D11" s="4"/>
      <c r="E11" s="4"/>
      <c r="F11" s="4"/>
      <c r="G11" s="4"/>
      <c r="H11" s="4"/>
      <c r="I11" s="4"/>
      <c r="K11" s="4">
        <v>775.8</v>
      </c>
      <c r="L11" s="4">
        <v>749.5</v>
      </c>
      <c r="M11" s="4">
        <v>890</v>
      </c>
      <c r="N11" s="4">
        <v>897</v>
      </c>
      <c r="O11" s="4">
        <v>897.8</v>
      </c>
      <c r="P11" s="4">
        <v>871</v>
      </c>
      <c r="Q11" s="3">
        <v>1243</v>
      </c>
      <c r="U11" s="3">
        <v>2166</v>
      </c>
      <c r="V11" s="3">
        <v>2377.1999999999998</v>
      </c>
      <c r="W11" s="3">
        <v>3371.5</v>
      </c>
    </row>
    <row r="12" spans="2:32" x14ac:dyDescent="0.2">
      <c r="B12" t="s">
        <v>20</v>
      </c>
      <c r="C12" s="1"/>
      <c r="D12" s="1"/>
      <c r="E12" s="1"/>
      <c r="F12" s="1"/>
      <c r="G12" s="1"/>
      <c r="H12" s="1"/>
      <c r="I12" s="1"/>
      <c r="K12" s="1">
        <v>589.4</v>
      </c>
      <c r="L12" s="1">
        <v>571.5</v>
      </c>
      <c r="M12" s="1">
        <v>650</v>
      </c>
      <c r="N12" s="1"/>
      <c r="O12" s="1">
        <v>664.8</v>
      </c>
      <c r="P12" s="1">
        <v>651</v>
      </c>
      <c r="Q12" s="1">
        <v>902</v>
      </c>
      <c r="U12">
        <v>1847.9</v>
      </c>
      <c r="V12">
        <v>1932</v>
      </c>
      <c r="W12">
        <v>2512</v>
      </c>
    </row>
    <row r="13" spans="2:32" x14ac:dyDescent="0.2">
      <c r="B13" t="s">
        <v>21</v>
      </c>
      <c r="C13" s="1"/>
      <c r="D13" s="1"/>
      <c r="E13" s="1"/>
      <c r="F13" s="1"/>
      <c r="G13" s="1"/>
      <c r="H13" s="1"/>
      <c r="I13" s="1"/>
      <c r="K13" s="1">
        <f>+K11-K12</f>
        <v>186.39999999999998</v>
      </c>
      <c r="L13" s="1">
        <f>+L11-L12</f>
        <v>178</v>
      </c>
      <c r="M13" s="1">
        <f>+M11-M12</f>
        <v>240</v>
      </c>
      <c r="N13" s="1">
        <v>104.3</v>
      </c>
      <c r="O13" s="1">
        <f>+O11-O12</f>
        <v>233</v>
      </c>
      <c r="P13" s="1">
        <f>+P11-P12</f>
        <v>220</v>
      </c>
      <c r="Q13" s="1">
        <f>+Q11-Q12</f>
        <v>341</v>
      </c>
      <c r="U13">
        <f t="shared" ref="U13:V13" si="1">+U11-U12</f>
        <v>318.09999999999991</v>
      </c>
      <c r="V13">
        <f t="shared" si="1"/>
        <v>445.19999999999982</v>
      </c>
      <c r="W13">
        <f>+W11-W12</f>
        <v>859.5</v>
      </c>
    </row>
    <row r="14" spans="2:32" x14ac:dyDescent="0.2">
      <c r="B14" t="s">
        <v>22</v>
      </c>
      <c r="C14" s="1"/>
      <c r="D14" s="1"/>
      <c r="E14" s="1"/>
      <c r="F14" s="1"/>
      <c r="G14" s="1"/>
      <c r="H14" s="1"/>
      <c r="I14" s="1"/>
      <c r="K14" s="1">
        <v>110.9</v>
      </c>
      <c r="L14" s="1">
        <v>103</v>
      </c>
      <c r="M14" s="1">
        <v>127</v>
      </c>
      <c r="N14" s="1"/>
      <c r="O14" s="1">
        <v>128.6</v>
      </c>
      <c r="P14" s="1">
        <v>121.8</v>
      </c>
      <c r="Q14" s="1">
        <v>162</v>
      </c>
      <c r="U14">
        <v>262.7</v>
      </c>
      <c r="V14">
        <v>298.60000000000002</v>
      </c>
      <c r="W14">
        <v>475</v>
      </c>
    </row>
    <row r="15" spans="2:32" x14ac:dyDescent="0.2">
      <c r="B15" t="s">
        <v>23</v>
      </c>
      <c r="C15" s="1"/>
      <c r="D15" s="1"/>
      <c r="E15" s="1"/>
      <c r="F15" s="1"/>
      <c r="G15" s="1"/>
      <c r="H15" s="1"/>
      <c r="I15" s="1"/>
      <c r="K15" s="1">
        <f>+K13-K14</f>
        <v>75.499999999999972</v>
      </c>
      <c r="L15" s="1">
        <f>+L13-L14</f>
        <v>75</v>
      </c>
      <c r="M15" s="1">
        <f>+M13-M14</f>
        <v>113</v>
      </c>
      <c r="N15" s="1"/>
      <c r="O15" s="1">
        <f>+O13-O14</f>
        <v>104.4</v>
      </c>
      <c r="P15" s="1">
        <f>+P13-P14</f>
        <v>98.2</v>
      </c>
      <c r="Q15" s="1">
        <f>+Q13-Q14</f>
        <v>179</v>
      </c>
      <c r="U15">
        <f t="shared" ref="U15:V15" si="2">+U13-U14</f>
        <v>55.39999999999992</v>
      </c>
      <c r="V15">
        <f t="shared" si="2"/>
        <v>146.5999999999998</v>
      </c>
      <c r="W15">
        <f>+W13-W14</f>
        <v>384.5</v>
      </c>
    </row>
    <row r="16" spans="2:32" x14ac:dyDescent="0.2">
      <c r="B16" t="s">
        <v>24</v>
      </c>
      <c r="C16" s="1"/>
      <c r="D16" s="1"/>
      <c r="E16" s="1"/>
      <c r="F16" s="1"/>
      <c r="G16" s="1"/>
      <c r="H16" s="1"/>
      <c r="I16" s="1"/>
      <c r="K16" s="1">
        <v>0.1</v>
      </c>
      <c r="L16" s="1">
        <f>-0.5+2.4</f>
        <v>1.9</v>
      </c>
      <c r="M16" s="1">
        <v>-0.53400000000000003</v>
      </c>
      <c r="N16" s="1"/>
      <c r="O16" s="1">
        <v>0.5</v>
      </c>
      <c r="P16" s="1">
        <f>-0.5+16.9</f>
        <v>16.399999999999999</v>
      </c>
      <c r="Q16" s="1">
        <v>0.129</v>
      </c>
    </row>
    <row r="17" spans="2:48" x14ac:dyDescent="0.2">
      <c r="B17" t="s">
        <v>25</v>
      </c>
      <c r="C17" s="1"/>
      <c r="D17" s="1"/>
      <c r="E17" s="1"/>
      <c r="F17" s="1"/>
      <c r="G17" s="1"/>
      <c r="H17" s="1"/>
      <c r="I17" s="1"/>
      <c r="K17" s="1">
        <v>-5.4</v>
      </c>
      <c r="L17" s="1">
        <v>1.4</v>
      </c>
      <c r="M17" s="1">
        <v>0.69399999999999995</v>
      </c>
      <c r="N17" s="1"/>
      <c r="O17" s="1">
        <f>-5-14.8</f>
        <v>-19.8</v>
      </c>
      <c r="P17" s="1">
        <v>1.8</v>
      </c>
      <c r="Q17" s="1">
        <v>-0.18099999999999999</v>
      </c>
      <c r="U17">
        <v>-3</v>
      </c>
      <c r="V17">
        <v>-1.2</v>
      </c>
      <c r="W17">
        <v>10.4</v>
      </c>
    </row>
    <row r="18" spans="2:48" x14ac:dyDescent="0.2">
      <c r="B18" t="s">
        <v>26</v>
      </c>
      <c r="C18" s="1"/>
      <c r="D18" s="1"/>
      <c r="E18" s="1"/>
      <c r="F18" s="1"/>
      <c r="G18" s="1"/>
      <c r="H18" s="1"/>
      <c r="I18" s="1"/>
      <c r="K18" s="1">
        <f>+K15+K16+K17</f>
        <v>70.19999999999996</v>
      </c>
      <c r="L18" s="1">
        <f>+L15+L16+L17</f>
        <v>78.300000000000011</v>
      </c>
      <c r="M18" s="1">
        <f>+M15+M16+M17</f>
        <v>113.16</v>
      </c>
      <c r="N18" s="1"/>
      <c r="O18" s="1">
        <f>+O15+O16+O17</f>
        <v>85.100000000000009</v>
      </c>
      <c r="P18" s="1">
        <f>+P15+P16+P17</f>
        <v>116.39999999999999</v>
      </c>
      <c r="Q18" s="1">
        <f>+Q15+Q16+Q17</f>
        <v>178.94799999999998</v>
      </c>
      <c r="U18">
        <f t="shared" ref="U18:V18" si="3">+U15+U17</f>
        <v>52.39999999999992</v>
      </c>
      <c r="V18">
        <f t="shared" si="3"/>
        <v>145.39999999999981</v>
      </c>
      <c r="W18">
        <f>+W15+W17</f>
        <v>394.9</v>
      </c>
    </row>
    <row r="19" spans="2:48" x14ac:dyDescent="0.2">
      <c r="B19" t="s">
        <v>27</v>
      </c>
      <c r="C19" s="1"/>
      <c r="D19" s="1"/>
      <c r="E19" s="1"/>
      <c r="F19" s="1"/>
      <c r="G19" s="1"/>
      <c r="H19" s="1"/>
      <c r="I19" s="1"/>
      <c r="K19" s="1">
        <v>14.8</v>
      </c>
      <c r="L19" s="1">
        <v>-28.4</v>
      </c>
      <c r="M19" s="1">
        <v>-29.5</v>
      </c>
      <c r="N19" s="1"/>
      <c r="O19" s="1">
        <v>21.3</v>
      </c>
      <c r="P19" s="1">
        <v>21.3</v>
      </c>
      <c r="Q19" s="1">
        <v>51.292999999999999</v>
      </c>
      <c r="U19">
        <v>12.8</v>
      </c>
      <c r="V19">
        <v>38.799999999999997</v>
      </c>
      <c r="W19">
        <v>96.8</v>
      </c>
    </row>
    <row r="20" spans="2:48" s="3" customFormat="1" ht="15" x14ac:dyDescent="0.25">
      <c r="B20" s="3" t="s">
        <v>28</v>
      </c>
      <c r="C20" s="4"/>
      <c r="D20" s="4"/>
      <c r="E20" s="4"/>
      <c r="F20" s="4"/>
      <c r="G20" s="4"/>
      <c r="H20" s="4"/>
      <c r="I20" s="4"/>
      <c r="K20" s="4">
        <f>+K18+K19</f>
        <v>84.999999999999957</v>
      </c>
      <c r="L20" s="4">
        <f>+L18+L19</f>
        <v>49.900000000000013</v>
      </c>
      <c r="M20" s="4">
        <f>+M18+M19</f>
        <v>83.66</v>
      </c>
      <c r="N20" s="4"/>
      <c r="O20" s="4">
        <f>+O18+O19</f>
        <v>106.4</v>
      </c>
      <c r="P20" s="4">
        <f>+P18+P19</f>
        <v>137.69999999999999</v>
      </c>
      <c r="Q20" s="4">
        <f>+Q18+Q19</f>
        <v>230.24099999999999</v>
      </c>
      <c r="R20" s="3" t="s">
        <v>30</v>
      </c>
      <c r="S20" s="3" t="s">
        <v>30</v>
      </c>
      <c r="T20" s="3" t="s">
        <v>30</v>
      </c>
      <c r="U20" s="3">
        <f t="shared" ref="U20:V20" si="4">+U18-U19</f>
        <v>39.599999999999923</v>
      </c>
      <c r="V20" s="3">
        <f t="shared" si="4"/>
        <v>106.59999999999981</v>
      </c>
      <c r="W20" s="3">
        <f>+W18-W19</f>
        <v>298.09999999999997</v>
      </c>
      <c r="X20" s="3">
        <f>+W20*1.1</f>
        <v>327.90999999999997</v>
      </c>
      <c r="Y20" s="3">
        <f t="shared" ref="Y20:AD20" si="5">+X20*1.1</f>
        <v>360.70100000000002</v>
      </c>
      <c r="Z20" s="3">
        <f t="shared" si="5"/>
        <v>396.77110000000005</v>
      </c>
      <c r="AA20" s="3">
        <f t="shared" si="5"/>
        <v>436.44821000000007</v>
      </c>
      <c r="AB20" s="3">
        <f t="shared" si="5"/>
        <v>480.09303100000011</v>
      </c>
      <c r="AC20" s="3">
        <f t="shared" si="5"/>
        <v>528.10233410000012</v>
      </c>
      <c r="AD20" s="3">
        <f t="shared" si="5"/>
        <v>580.91256751000014</v>
      </c>
      <c r="AE20" s="3">
        <f>+AD20*0.97</f>
        <v>563.48519048470007</v>
      </c>
      <c r="AF20" s="3">
        <f t="shared" ref="AF20:AV20" si="6">+AE20*0.97</f>
        <v>546.58063477015901</v>
      </c>
      <c r="AG20" s="3">
        <f t="shared" si="6"/>
        <v>530.18321572705418</v>
      </c>
      <c r="AH20" s="3">
        <f t="shared" si="6"/>
        <v>514.27771925524257</v>
      </c>
      <c r="AI20" s="3">
        <f t="shared" si="6"/>
        <v>498.8493876775853</v>
      </c>
      <c r="AJ20" s="3">
        <f t="shared" si="6"/>
        <v>483.88390604725771</v>
      </c>
      <c r="AK20" s="3">
        <f t="shared" si="6"/>
        <v>469.36738886583998</v>
      </c>
      <c r="AL20" s="3">
        <f t="shared" si="6"/>
        <v>455.2863671998648</v>
      </c>
      <c r="AM20" s="3">
        <f t="shared" si="6"/>
        <v>441.62777618386883</v>
      </c>
      <c r="AN20" s="3">
        <f t="shared" si="6"/>
        <v>428.37894289835276</v>
      </c>
      <c r="AO20" s="3">
        <f t="shared" si="6"/>
        <v>415.52757461140214</v>
      </c>
      <c r="AP20" s="3">
        <f t="shared" si="6"/>
        <v>403.06174737306009</v>
      </c>
      <c r="AQ20" s="3">
        <f t="shared" si="6"/>
        <v>390.9698949518683</v>
      </c>
      <c r="AR20" s="3">
        <f t="shared" si="6"/>
        <v>379.24079810331222</v>
      </c>
      <c r="AS20" s="3">
        <f t="shared" si="6"/>
        <v>367.86357416021286</v>
      </c>
      <c r="AT20" s="3">
        <f t="shared" si="6"/>
        <v>356.82766693540646</v>
      </c>
      <c r="AU20" s="3">
        <f t="shared" si="6"/>
        <v>346.12283692734422</v>
      </c>
      <c r="AV20" s="3">
        <f t="shared" si="6"/>
        <v>335.7391518195239</v>
      </c>
    </row>
    <row r="21" spans="2:48" x14ac:dyDescent="0.2">
      <c r="B21" t="s">
        <v>29</v>
      </c>
      <c r="C21" s="1"/>
      <c r="D21" s="1"/>
      <c r="E21" s="1"/>
      <c r="F21" s="1"/>
      <c r="G21" s="1"/>
      <c r="H21" s="1"/>
      <c r="I21" s="1"/>
      <c r="K21" s="1">
        <f>+K20/K22</f>
        <v>4.2812531479802542</v>
      </c>
      <c r="L21" s="1">
        <f>+L20/L22</f>
        <v>2.4962481240620318</v>
      </c>
      <c r="M21" s="1">
        <f>+M20/M22</f>
        <v>4.2132746959917835</v>
      </c>
      <c r="N21" s="1"/>
      <c r="O21" s="1">
        <f>+O20/O22</f>
        <v>5.3591215875894029</v>
      </c>
      <c r="P21" s="1">
        <f>+P20/P22</f>
        <v>6.9241212852617284</v>
      </c>
      <c r="Q21" s="1">
        <f>+Q20/Q22</f>
        <v>11.555962658100782</v>
      </c>
    </row>
    <row r="22" spans="2:48" x14ac:dyDescent="0.2">
      <c r="B22" t="s">
        <v>1</v>
      </c>
      <c r="C22" s="1"/>
      <c r="D22" s="1"/>
      <c r="E22" s="1"/>
      <c r="F22" s="1"/>
      <c r="G22" s="1"/>
      <c r="H22" s="1"/>
      <c r="I22" s="1"/>
      <c r="K22" s="1">
        <v>19.853999999999999</v>
      </c>
      <c r="L22" s="1">
        <v>19.989999999999998</v>
      </c>
      <c r="M22" s="1">
        <v>19.856289</v>
      </c>
      <c r="N22" s="1"/>
      <c r="O22" s="1">
        <v>19.853999999999999</v>
      </c>
      <c r="P22" s="1">
        <v>19.887</v>
      </c>
      <c r="Q22" s="1">
        <v>19.923999999999999</v>
      </c>
    </row>
    <row r="24" spans="2:48" x14ac:dyDescent="0.2">
      <c r="B24" t="s">
        <v>31</v>
      </c>
      <c r="O24" s="2">
        <f>+O11/N11-1</f>
        <v>8.918617614268598E-4</v>
      </c>
      <c r="P24" s="2">
        <f>+P11/O11-1</f>
        <v>-2.9850746268656692E-2</v>
      </c>
      <c r="Q24" s="2">
        <f>+Q11/P11-1</f>
        <v>0.42709529276693448</v>
      </c>
      <c r="X24" t="s">
        <v>79</v>
      </c>
      <c r="Y24" s="5">
        <f>+NPV(0.08,X20:AV20)</f>
        <v>4803.8113977917474</v>
      </c>
    </row>
    <row r="25" spans="2:48" x14ac:dyDescent="0.2">
      <c r="B25" t="s">
        <v>32</v>
      </c>
      <c r="O25" s="2">
        <f>+O13/O11</f>
        <v>0.25952327912675432</v>
      </c>
      <c r="P25" s="2">
        <f>+P13/P11</f>
        <v>0.2525832376578645</v>
      </c>
      <c r="Q25" s="2">
        <f>+Q13/Q11</f>
        <v>0.27433628318584069</v>
      </c>
      <c r="X25" t="s">
        <v>5</v>
      </c>
      <c r="Y25" s="1">
        <f>+Y24-main!L6+main!L7</f>
        <v>4608.8113977917474</v>
      </c>
    </row>
    <row r="26" spans="2:48" x14ac:dyDescent="0.2">
      <c r="B26" t="s">
        <v>33</v>
      </c>
      <c r="O26" s="2">
        <f>+O16/O11</f>
        <v>5.5691690799732681E-4</v>
      </c>
      <c r="P26" s="2">
        <f>+P16/P11</f>
        <v>1.8828932261768083E-2</v>
      </c>
      <c r="Q26" s="2">
        <f>+Q16/Q11</f>
        <v>1.0378117457763475E-4</v>
      </c>
      <c r="X26" t="s">
        <v>80</v>
      </c>
      <c r="Y26">
        <f>+Y25/main!L4</f>
        <v>231.24994469602345</v>
      </c>
    </row>
    <row r="27" spans="2:48" x14ac:dyDescent="0.2">
      <c r="B27" t="s">
        <v>34</v>
      </c>
      <c r="O27" s="2">
        <f>+O19/O18</f>
        <v>0.25029377203290243</v>
      </c>
      <c r="P27" s="2">
        <f>+P19/P18</f>
        <v>0.1829896907216495</v>
      </c>
      <c r="Q27" s="2">
        <f>+Q19/Q18</f>
        <v>0.28663634128350141</v>
      </c>
    </row>
    <row r="28" spans="2:48" x14ac:dyDescent="0.2">
      <c r="B28" t="s">
        <v>35</v>
      </c>
      <c r="O28" s="2" t="e">
        <f>+O20/N20-1</f>
        <v>#DIV/0!</v>
      </c>
      <c r="P28" s="2">
        <f>+P20/O20-1</f>
        <v>0.29417293233082686</v>
      </c>
      <c r="Q28" s="2">
        <f>+Q20/P20-1</f>
        <v>0.67204793028322451</v>
      </c>
    </row>
    <row r="29" spans="2:48" x14ac:dyDescent="0.2">
      <c r="B29" t="s">
        <v>36</v>
      </c>
      <c r="O29" s="2" t="s">
        <v>30</v>
      </c>
      <c r="P29" s="2">
        <f>((P22-O22))</f>
        <v>3.3000000000001251E-2</v>
      </c>
      <c r="Q29" s="2">
        <f>((Q22-P22))</f>
        <v>3.6999999999999034E-2</v>
      </c>
    </row>
    <row r="31" spans="2:48" x14ac:dyDescent="0.2">
      <c r="B31" t="s">
        <v>3</v>
      </c>
      <c r="P31">
        <f>88.8+169.9+85.8+63.9</f>
        <v>408.4</v>
      </c>
    </row>
    <row r="32" spans="2:48" x14ac:dyDescent="0.2">
      <c r="B32" t="s">
        <v>37</v>
      </c>
      <c r="P32">
        <v>524.4</v>
      </c>
    </row>
    <row r="33" spans="2:16" x14ac:dyDescent="0.2">
      <c r="B33" t="s">
        <v>38</v>
      </c>
      <c r="P33">
        <v>104.5</v>
      </c>
    </row>
    <row r="34" spans="2:16" x14ac:dyDescent="0.2">
      <c r="B34" t="s">
        <v>39</v>
      </c>
      <c r="P34">
        <v>110.4</v>
      </c>
    </row>
    <row r="35" spans="2:16" x14ac:dyDescent="0.2">
      <c r="B35" t="s">
        <v>40</v>
      </c>
      <c r="P35">
        <v>25.9</v>
      </c>
    </row>
    <row r="36" spans="2:16" x14ac:dyDescent="0.2">
      <c r="B36" t="s">
        <v>41</v>
      </c>
      <c r="P36">
        <v>220.3</v>
      </c>
    </row>
    <row r="37" spans="2:16" x14ac:dyDescent="0.2">
      <c r="B37" t="s">
        <v>42</v>
      </c>
      <c r="P37">
        <f>107.8+38.2</f>
        <v>146</v>
      </c>
    </row>
    <row r="38" spans="2:16" x14ac:dyDescent="0.2">
      <c r="B38" t="s">
        <v>43</v>
      </c>
      <c r="P38">
        <v>14.3</v>
      </c>
    </row>
    <row r="39" spans="2:16" x14ac:dyDescent="0.2">
      <c r="B39" t="s">
        <v>44</v>
      </c>
      <c r="P39">
        <v>91.4</v>
      </c>
    </row>
    <row r="40" spans="2:16" x14ac:dyDescent="0.2">
      <c r="B40" t="s">
        <v>45</v>
      </c>
      <c r="P40">
        <v>12.7</v>
      </c>
    </row>
    <row r="41" spans="2:16" x14ac:dyDescent="0.2">
      <c r="B41" t="s">
        <v>46</v>
      </c>
      <c r="P41">
        <f>SUM(P31:P40)</f>
        <v>1658.3000000000002</v>
      </c>
    </row>
    <row r="43" spans="2:16" x14ac:dyDescent="0.2">
      <c r="B43" t="s">
        <v>4</v>
      </c>
      <c r="P43">
        <v>212.6</v>
      </c>
    </row>
    <row r="44" spans="2:16" x14ac:dyDescent="0.2">
      <c r="B44" t="s">
        <v>47</v>
      </c>
      <c r="P44">
        <v>403</v>
      </c>
    </row>
    <row r="45" spans="2:16" x14ac:dyDescent="0.2">
      <c r="B45" t="s">
        <v>48</v>
      </c>
      <c r="P45">
        <v>65.8</v>
      </c>
    </row>
    <row r="46" spans="2:16" x14ac:dyDescent="0.2">
      <c r="B46" t="s">
        <v>27</v>
      </c>
      <c r="P46">
        <v>6.8</v>
      </c>
    </row>
    <row r="47" spans="2:16" x14ac:dyDescent="0.2">
      <c r="B47" t="s">
        <v>49</v>
      </c>
      <c r="P47">
        <v>5</v>
      </c>
    </row>
    <row r="48" spans="2:16" x14ac:dyDescent="0.2">
      <c r="B48" t="s">
        <v>50</v>
      </c>
      <c r="P48">
        <f>SUM(P43:P47)</f>
        <v>693.19999999999993</v>
      </c>
    </row>
    <row r="50" spans="2:16" x14ac:dyDescent="0.2">
      <c r="B50" t="s">
        <v>52</v>
      </c>
      <c r="P50">
        <f>+P41-P48</f>
        <v>965.10000000000025</v>
      </c>
    </row>
    <row r="51" spans="2:16" x14ac:dyDescent="0.2">
      <c r="B51" t="s">
        <v>51</v>
      </c>
      <c r="P51">
        <f>+P48+P50</f>
        <v>1658.3000000000002</v>
      </c>
    </row>
    <row r="53" spans="2:16" x14ac:dyDescent="0.2">
      <c r="B53" t="s">
        <v>53</v>
      </c>
      <c r="P53" s="2">
        <f>+P20/P41</f>
        <v>8.3036844961707754E-2</v>
      </c>
    </row>
    <row r="54" spans="2:16" x14ac:dyDescent="0.2">
      <c r="B54" t="s">
        <v>54</v>
      </c>
      <c r="P54" s="2">
        <f>+P20/P50</f>
        <v>0.14267951507615786</v>
      </c>
    </row>
    <row r="56" spans="2:16" x14ac:dyDescent="0.2">
      <c r="B56" t="s">
        <v>62</v>
      </c>
      <c r="L56" s="1">
        <f>+L20</f>
        <v>49.900000000000013</v>
      </c>
      <c r="P56" s="1">
        <f>+P20</f>
        <v>137.69999999999999</v>
      </c>
    </row>
    <row r="57" spans="2:16" x14ac:dyDescent="0.2">
      <c r="B57" t="s">
        <v>63</v>
      </c>
      <c r="K57">
        <v>57.7</v>
      </c>
      <c r="O57">
        <v>91.8</v>
      </c>
    </row>
    <row r="58" spans="2:16" x14ac:dyDescent="0.2">
      <c r="B58" t="s">
        <v>55</v>
      </c>
      <c r="J58">
        <v>37.299999999999997</v>
      </c>
      <c r="N58">
        <v>27.7</v>
      </c>
    </row>
    <row r="59" spans="2:16" x14ac:dyDescent="0.2">
      <c r="B59" t="s">
        <v>61</v>
      </c>
      <c r="J59">
        <v>2</v>
      </c>
      <c r="N59">
        <v>3.8</v>
      </c>
    </row>
    <row r="60" spans="2:16" x14ac:dyDescent="0.2">
      <c r="B60" t="s">
        <v>56</v>
      </c>
      <c r="J60">
        <v>-58.4</v>
      </c>
      <c r="N60">
        <v>-46.2</v>
      </c>
    </row>
    <row r="61" spans="2:16" s="3" customFormat="1" ht="15" x14ac:dyDescent="0.25">
      <c r="B61" s="3" t="s">
        <v>60</v>
      </c>
      <c r="J61" s="3">
        <v>-13.2</v>
      </c>
      <c r="N61" s="3">
        <v>-46.6</v>
      </c>
    </row>
    <row r="62" spans="2:16" x14ac:dyDescent="0.2">
      <c r="B62" t="s">
        <v>57</v>
      </c>
      <c r="J62">
        <v>20.6</v>
      </c>
      <c r="N62">
        <v>-19.8</v>
      </c>
    </row>
    <row r="63" spans="2:16" s="3" customFormat="1" ht="15" x14ac:dyDescent="0.25">
      <c r="B63" s="3" t="s">
        <v>58</v>
      </c>
      <c r="J63" s="3">
        <f>+J58+J60+J62</f>
        <v>-0.5</v>
      </c>
      <c r="N63" s="3">
        <f>+N58+N60+N62</f>
        <v>-38.300000000000004</v>
      </c>
    </row>
    <row r="64" spans="2:16" x14ac:dyDescent="0.2">
      <c r="B64" t="s">
        <v>59</v>
      </c>
      <c r="J64">
        <f>+J58-J59+J61</f>
        <v>22.099999999999998</v>
      </c>
      <c r="N64">
        <f>+N58-N59+N61</f>
        <v>-22.700000000000003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6059-CA68-490D-83DC-9C0B775FE01B}">
  <dimension ref="B2:B15"/>
  <sheetViews>
    <sheetView workbookViewId="0">
      <selection activeCell="A16" sqref="A16"/>
    </sheetView>
  </sheetViews>
  <sheetFormatPr defaultRowHeight="14.25" x14ac:dyDescent="0.2"/>
  <sheetData>
    <row r="2" spans="2:2" x14ac:dyDescent="0.2">
      <c r="B2" t="s">
        <v>65</v>
      </c>
    </row>
    <row r="3" spans="2:2" x14ac:dyDescent="0.2">
      <c r="B3" t="s">
        <v>20</v>
      </c>
    </row>
    <row r="4" spans="2:2" x14ac:dyDescent="0.2">
      <c r="B4" t="s">
        <v>21</v>
      </c>
    </row>
    <row r="5" spans="2:2" x14ac:dyDescent="0.2">
      <c r="B5" t="s">
        <v>66</v>
      </c>
    </row>
    <row r="6" spans="2:2" x14ac:dyDescent="0.2">
      <c r="B6" t="s">
        <v>67</v>
      </c>
    </row>
    <row r="7" spans="2:2" x14ac:dyDescent="0.2">
      <c r="B7" t="s">
        <v>68</v>
      </c>
    </row>
    <row r="8" spans="2:2" x14ac:dyDescent="0.2">
      <c r="B8" t="s">
        <v>23</v>
      </c>
    </row>
    <row r="9" spans="2:2" x14ac:dyDescent="0.2">
      <c r="B9" t="s">
        <v>24</v>
      </c>
    </row>
    <row r="10" spans="2:2" x14ac:dyDescent="0.2">
      <c r="B10" t="s">
        <v>25</v>
      </c>
    </row>
    <row r="11" spans="2:2" x14ac:dyDescent="0.2">
      <c r="B11" t="s">
        <v>69</v>
      </c>
    </row>
    <row r="12" spans="2:2" x14ac:dyDescent="0.2">
      <c r="B12" t="s">
        <v>70</v>
      </c>
    </row>
    <row r="13" spans="2:2" x14ac:dyDescent="0.2">
      <c r="B13" t="s">
        <v>28</v>
      </c>
    </row>
    <row r="14" spans="2:2" x14ac:dyDescent="0.2">
      <c r="B14" t="s">
        <v>71</v>
      </c>
    </row>
    <row r="15" spans="2:2" x14ac:dyDescent="0.2">
      <c r="B1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main</vt:lpstr>
      <vt:lpstr>model 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Simão Clemente</dc:creator>
  <cp:lastModifiedBy>Simão Clemente</cp:lastModifiedBy>
  <dcterms:created xsi:type="dcterms:W3CDTF">2026-04-22T17:44:49Z</dcterms:created>
  <dcterms:modified xsi:type="dcterms:W3CDTF">2026-10-14T13:52:28Z</dcterms:modified>
</cp:coreProperties>
</file>