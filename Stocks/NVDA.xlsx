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_Shared/Stocks/"/>
    </mc:Choice>
  </mc:AlternateContent>
  <xr:revisionPtr revIDLastSave="305" documentId="13_ncr:1_{F577B6F0-892C-4F50-9419-1EE04536669B}" xr6:coauthVersionLast="47" xr6:coauthVersionMax="47" xr10:uidLastSave="{33C21D8F-8763-47B4-8506-9C5529002756}"/>
  <bookViews>
    <workbookView xWindow="-105" yWindow="0" windowWidth="14610" windowHeight="15585" activeTab="1" xr2:uid="{00000000-000D-0000-FFFF-FFFF00000000}"/>
  </bookViews>
  <sheets>
    <sheet name="main" sheetId="1" r:id="rId1"/>
    <sheet name="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C9MktPFdLnaCxKMLZw0PNhQxbZrakJP1Bptx8+C1VU="/>
    </ext>
  </extLst>
</workbook>
</file>

<file path=xl/calcChain.xml><?xml version="1.0" encoding="utf-8"?>
<calcChain xmlns="http://schemas.openxmlformats.org/spreadsheetml/2006/main">
  <c r="O10" i="2" l="1"/>
  <c r="L10" i="2"/>
  <c r="L8" i="2"/>
  <c r="L9" i="2" s="1"/>
  <c r="P10" i="2"/>
  <c r="M10" i="2"/>
  <c r="M19" i="2"/>
  <c r="M18" i="2"/>
  <c r="M8" i="2"/>
  <c r="M4" i="2"/>
  <c r="M17" i="2" s="1"/>
  <c r="Q10" i="2"/>
  <c r="Q19" i="2"/>
  <c r="P19" i="2"/>
  <c r="O19" i="2"/>
  <c r="Q18" i="2"/>
  <c r="P18" i="2"/>
  <c r="O18" i="2"/>
  <c r="Q17" i="2"/>
  <c r="Q8" i="2"/>
  <c r="P8" i="2"/>
  <c r="O8" i="2"/>
  <c r="Q4" i="2"/>
  <c r="P4" i="2"/>
  <c r="P17" i="2" s="1"/>
  <c r="O4" i="2"/>
  <c r="R10" i="2"/>
  <c r="R19" i="2"/>
  <c r="R18" i="2"/>
  <c r="R17" i="2"/>
  <c r="R8" i="2"/>
  <c r="R4" i="2"/>
  <c r="R9" i="2" s="1"/>
  <c r="N21" i="2"/>
  <c r="N20" i="2"/>
  <c r="N19" i="2"/>
  <c r="N18" i="2"/>
  <c r="N17" i="2"/>
  <c r="N10" i="2"/>
  <c r="N8" i="2"/>
  <c r="N4" i="2"/>
  <c r="N9" i="2" s="1"/>
  <c r="N11" i="2" s="1"/>
  <c r="N13" i="2" s="1"/>
  <c r="L82" i="2"/>
  <c r="L80" i="2"/>
  <c r="L65" i="2"/>
  <c r="L69" i="2"/>
  <c r="L67" i="2"/>
  <c r="L19" i="2"/>
  <c r="L18" i="2"/>
  <c r="L4" i="2"/>
  <c r="L17" i="2" s="1"/>
  <c r="J40" i="2"/>
  <c r="I40" i="2"/>
  <c r="I45" i="2" s="1"/>
  <c r="H40" i="2"/>
  <c r="H45" i="2" s="1"/>
  <c r="G40" i="2"/>
  <c r="G45" i="2" s="1"/>
  <c r="F40" i="2"/>
  <c r="F45" i="2" s="1"/>
  <c r="E40" i="2"/>
  <c r="Z10" i="2"/>
  <c r="J35" i="2"/>
  <c r="J38" i="2" s="1"/>
  <c r="I35" i="2"/>
  <c r="H35" i="2"/>
  <c r="H38" i="2" s="1"/>
  <c r="G35" i="2"/>
  <c r="G38" i="2" s="1"/>
  <c r="F35" i="2"/>
  <c r="F38" i="2" s="1"/>
  <c r="E35" i="2"/>
  <c r="I29" i="2"/>
  <c r="E29" i="2"/>
  <c r="K24" i="2"/>
  <c r="J24" i="2"/>
  <c r="I24" i="2"/>
  <c r="H24" i="2"/>
  <c r="G24" i="2"/>
  <c r="F24" i="2"/>
  <c r="K19" i="2"/>
  <c r="J19" i="2"/>
  <c r="I19" i="2"/>
  <c r="H19" i="2"/>
  <c r="G19" i="2"/>
  <c r="F19" i="2"/>
  <c r="E19" i="2"/>
  <c r="D19" i="2"/>
  <c r="C19" i="2"/>
  <c r="B19" i="2"/>
  <c r="K18" i="2"/>
  <c r="J18" i="2"/>
  <c r="I18" i="2"/>
  <c r="H18" i="2"/>
  <c r="G18" i="2"/>
  <c r="F18" i="2"/>
  <c r="E18" i="2"/>
  <c r="D18" i="2"/>
  <c r="C18" i="2"/>
  <c r="B18" i="2"/>
  <c r="AD15" i="2"/>
  <c r="AE15" i="2" s="1"/>
  <c r="AF15" i="2" s="1"/>
  <c r="AG15" i="2" s="1"/>
  <c r="AH15" i="2" s="1"/>
  <c r="AI15" i="2" s="1"/>
  <c r="AJ15" i="2" s="1"/>
  <c r="AK15" i="2" s="1"/>
  <c r="AL15" i="2" s="1"/>
  <c r="AC15" i="2"/>
  <c r="AD12" i="2"/>
  <c r="AC12" i="2"/>
  <c r="K10" i="2"/>
  <c r="J10" i="2"/>
  <c r="I10" i="2"/>
  <c r="H10" i="2"/>
  <c r="G10" i="2"/>
  <c r="F10" i="2"/>
  <c r="E10" i="2"/>
  <c r="D10" i="2"/>
  <c r="C10" i="2"/>
  <c r="B10" i="2"/>
  <c r="K8" i="2"/>
  <c r="J8" i="2"/>
  <c r="I8" i="2"/>
  <c r="H8" i="2"/>
  <c r="G8" i="2"/>
  <c r="F8" i="2"/>
  <c r="E8" i="2"/>
  <c r="D8" i="2"/>
  <c r="C8" i="2"/>
  <c r="B8" i="2"/>
  <c r="AD7" i="2"/>
  <c r="AE7" i="2" s="1"/>
  <c r="AF7" i="2" s="1"/>
  <c r="AG7" i="2" s="1"/>
  <c r="AH7" i="2" s="1"/>
  <c r="AI7" i="2" s="1"/>
  <c r="AJ7" i="2" s="1"/>
  <c r="AK7" i="2" s="1"/>
  <c r="AL7" i="2" s="1"/>
  <c r="AC7" i="2"/>
  <c r="AD6" i="2"/>
  <c r="AC6" i="2"/>
  <c r="AD5" i="2"/>
  <c r="AC5" i="2"/>
  <c r="K4" i="2"/>
  <c r="K17" i="2" s="1"/>
  <c r="J4" i="2"/>
  <c r="J17" i="2" s="1"/>
  <c r="I4" i="2"/>
  <c r="I17" i="2" s="1"/>
  <c r="H4" i="2"/>
  <c r="G4" i="2"/>
  <c r="F4" i="2"/>
  <c r="E4" i="2"/>
  <c r="D4" i="2"/>
  <c r="D17" i="2" s="1"/>
  <c r="C4" i="2"/>
  <c r="C17" i="2" s="1"/>
  <c r="B4" i="2"/>
  <c r="B17" i="2" s="1"/>
  <c r="AD3" i="2"/>
  <c r="AE3" i="2" s="1"/>
  <c r="AF3" i="2" s="1"/>
  <c r="AG3" i="2" s="1"/>
  <c r="AH3" i="2" s="1"/>
  <c r="AI3" i="2" s="1"/>
  <c r="AJ3" i="2" s="1"/>
  <c r="AK3" i="2" s="1"/>
  <c r="AL3" i="2" s="1"/>
  <c r="AC3" i="2"/>
  <c r="AD2" i="2"/>
  <c r="AC2" i="2"/>
  <c r="AD1" i="2"/>
  <c r="AE1" i="2" s="1"/>
  <c r="AF1" i="2" s="1"/>
  <c r="AG1" i="2" s="1"/>
  <c r="AH1" i="2" s="1"/>
  <c r="AI1" i="2" s="1"/>
  <c r="AJ1" i="2" s="1"/>
  <c r="AK1" i="2" s="1"/>
  <c r="AL1" i="2" s="1"/>
  <c r="M9" i="1"/>
  <c r="M8" i="1"/>
  <c r="M10" i="1" s="1"/>
  <c r="M7" i="1"/>
  <c r="O9" i="2" l="1"/>
  <c r="O11" i="2" s="1"/>
  <c r="L11" i="2"/>
  <c r="L13" i="2" s="1"/>
  <c r="L53" i="2" s="1"/>
  <c r="M9" i="2"/>
  <c r="Q9" i="2"/>
  <c r="Q20" i="2" s="1"/>
  <c r="Q11" i="2"/>
  <c r="O17" i="2"/>
  <c r="P9" i="2"/>
  <c r="N14" i="2"/>
  <c r="N22" i="2"/>
  <c r="R20" i="2"/>
  <c r="R11" i="2"/>
  <c r="L71" i="2"/>
  <c r="E9" i="2"/>
  <c r="E20" i="2" s="1"/>
  <c r="L83" i="2"/>
  <c r="G9" i="2"/>
  <c r="G11" i="2" s="1"/>
  <c r="G13" i="2" s="1"/>
  <c r="F47" i="2"/>
  <c r="F48" i="2" s="1"/>
  <c r="E38" i="2"/>
  <c r="F27" i="2"/>
  <c r="AC4" i="2"/>
  <c r="AC17" i="2" s="1"/>
  <c r="H47" i="2"/>
  <c r="H48" i="2" s="1"/>
  <c r="G27" i="2"/>
  <c r="H27" i="2"/>
  <c r="H17" i="2"/>
  <c r="H9" i="2"/>
  <c r="H20" i="2" s="1"/>
  <c r="AC18" i="2"/>
  <c r="AD8" i="2"/>
  <c r="AE5" i="2"/>
  <c r="AF5" i="2" s="1"/>
  <c r="AG5" i="2" s="1"/>
  <c r="AH5" i="2" s="1"/>
  <c r="AI5" i="2" s="1"/>
  <c r="AJ5" i="2" s="1"/>
  <c r="AK5" i="2" s="1"/>
  <c r="AL5" i="2" s="1"/>
  <c r="AC19" i="2"/>
  <c r="AD19" i="2"/>
  <c r="AE6" i="2"/>
  <c r="AF6" i="2" s="1"/>
  <c r="AG6" i="2" s="1"/>
  <c r="AH6" i="2" s="1"/>
  <c r="AI6" i="2" s="1"/>
  <c r="AJ6" i="2" s="1"/>
  <c r="AK6" i="2" s="1"/>
  <c r="AL6" i="2" s="1"/>
  <c r="G47" i="2"/>
  <c r="G48" i="2" s="1"/>
  <c r="C9" i="2"/>
  <c r="C20" i="2" s="1"/>
  <c r="D9" i="2"/>
  <c r="D11" i="2" s="1"/>
  <c r="D21" i="2" s="1"/>
  <c r="AD18" i="2"/>
  <c r="AD10" i="2"/>
  <c r="I9" i="2"/>
  <c r="I20" i="2" s="1"/>
  <c r="E27" i="2"/>
  <c r="AC27" i="2" s="1"/>
  <c r="AC10" i="2"/>
  <c r="E17" i="2"/>
  <c r="G17" i="2"/>
  <c r="I38" i="2"/>
  <c r="I47" i="2" s="1"/>
  <c r="I48" i="2" s="1"/>
  <c r="AC8" i="2"/>
  <c r="F9" i="2"/>
  <c r="F17" i="2"/>
  <c r="AD24" i="2"/>
  <c r="J9" i="2"/>
  <c r="J45" i="2"/>
  <c r="J47" i="2" s="1"/>
  <c r="J27" i="2"/>
  <c r="Z7" i="2" s="1"/>
  <c r="AE2" i="2"/>
  <c r="K9" i="2"/>
  <c r="AD4" i="2"/>
  <c r="B9" i="2"/>
  <c r="I27" i="2"/>
  <c r="AD27" i="2" s="1"/>
  <c r="E45" i="2"/>
  <c r="O20" i="2" l="1"/>
  <c r="L14" i="2"/>
  <c r="M11" i="2"/>
  <c r="M20" i="2"/>
  <c r="P20" i="2"/>
  <c r="P11" i="2"/>
  <c r="Q21" i="2"/>
  <c r="Q13" i="2"/>
  <c r="O21" i="2"/>
  <c r="O13" i="2"/>
  <c r="R13" i="2"/>
  <c r="R21" i="2"/>
  <c r="E11" i="2"/>
  <c r="E21" i="2" s="1"/>
  <c r="G26" i="2"/>
  <c r="G51" i="2"/>
  <c r="G14" i="2"/>
  <c r="G50" i="2"/>
  <c r="G21" i="2"/>
  <c r="G22" i="2"/>
  <c r="G20" i="2"/>
  <c r="AC9" i="2"/>
  <c r="AC11" i="2" s="1"/>
  <c r="H11" i="2"/>
  <c r="H21" i="2" s="1"/>
  <c r="C11" i="2"/>
  <c r="C21" i="2" s="1"/>
  <c r="D13" i="2"/>
  <c r="D22" i="2" s="1"/>
  <c r="L20" i="2"/>
  <c r="AE18" i="2"/>
  <c r="AE4" i="2"/>
  <c r="AE17" i="2" s="1"/>
  <c r="I11" i="2"/>
  <c r="I13" i="2" s="1"/>
  <c r="D20" i="2"/>
  <c r="AE24" i="2"/>
  <c r="AF2" i="2"/>
  <c r="AF4" i="2" s="1"/>
  <c r="AD9" i="2"/>
  <c r="AD17" i="2"/>
  <c r="K20" i="2"/>
  <c r="K11" i="2"/>
  <c r="J48" i="2"/>
  <c r="J20" i="2"/>
  <c r="J11" i="2"/>
  <c r="F11" i="2"/>
  <c r="F20" i="2"/>
  <c r="E47" i="2"/>
  <c r="E48" i="2" s="1"/>
  <c r="B20" i="2"/>
  <c r="B11" i="2"/>
  <c r="M21" i="2" l="1"/>
  <c r="M13" i="2"/>
  <c r="P21" i="2"/>
  <c r="P13" i="2"/>
  <c r="O22" i="2"/>
  <c r="O14" i="2"/>
  <c r="Q22" i="2"/>
  <c r="Q14" i="2"/>
  <c r="R22" i="2"/>
  <c r="R14" i="2"/>
  <c r="E13" i="2"/>
  <c r="E14" i="2" s="1"/>
  <c r="H13" i="2"/>
  <c r="H51" i="2" s="1"/>
  <c r="AC20" i="2"/>
  <c r="C13" i="2"/>
  <c r="C14" i="2" s="1"/>
  <c r="E22" i="2"/>
  <c r="D14" i="2"/>
  <c r="I21" i="2"/>
  <c r="L21" i="2"/>
  <c r="I14" i="2"/>
  <c r="I51" i="2"/>
  <c r="I26" i="2"/>
  <c r="I22" i="2"/>
  <c r="I50" i="2"/>
  <c r="AD11" i="2"/>
  <c r="AD20" i="2"/>
  <c r="K21" i="2"/>
  <c r="K13" i="2"/>
  <c r="F21" i="2"/>
  <c r="F13" i="2"/>
  <c r="J21" i="2"/>
  <c r="J13" i="2"/>
  <c r="AF24" i="2"/>
  <c r="AF17" i="2"/>
  <c r="AG2" i="2"/>
  <c r="AG4" i="2" s="1"/>
  <c r="AF19" i="2"/>
  <c r="AE19" i="2"/>
  <c r="AE8" i="2"/>
  <c r="AE9" i="2" s="1"/>
  <c r="B21" i="2"/>
  <c r="B13" i="2"/>
  <c r="AC21" i="2"/>
  <c r="AC13" i="2"/>
  <c r="M14" i="2" l="1"/>
  <c r="M22" i="2"/>
  <c r="P22" i="2"/>
  <c r="P14" i="2"/>
  <c r="E50" i="2"/>
  <c r="E51" i="2"/>
  <c r="E26" i="2"/>
  <c r="H22" i="2"/>
  <c r="H14" i="2"/>
  <c r="H26" i="2"/>
  <c r="H50" i="2"/>
  <c r="C22" i="2"/>
  <c r="L22" i="2"/>
  <c r="AE20" i="2"/>
  <c r="AD13" i="2"/>
  <c r="AD21" i="2"/>
  <c r="AF8" i="2"/>
  <c r="AF9" i="2" s="1"/>
  <c r="AF20" i="2" s="1"/>
  <c r="AF18" i="2"/>
  <c r="K22" i="2"/>
  <c r="K14" i="2"/>
  <c r="F50" i="2"/>
  <c r="F26" i="2"/>
  <c r="F22" i="2"/>
  <c r="F51" i="2"/>
  <c r="F14" i="2"/>
  <c r="J51" i="2"/>
  <c r="J26" i="2"/>
  <c r="J22" i="2"/>
  <c r="J50" i="2"/>
  <c r="J14" i="2"/>
  <c r="AC14" i="2"/>
  <c r="AC22" i="2"/>
  <c r="AG24" i="2"/>
  <c r="AG17" i="2"/>
  <c r="AH2" i="2"/>
  <c r="AH4" i="2" s="1"/>
  <c r="AG19" i="2"/>
  <c r="B22" i="2"/>
  <c r="B14" i="2"/>
  <c r="AG8" i="2" l="1"/>
  <c r="AG9" i="2" s="1"/>
  <c r="AG20" i="2" s="1"/>
  <c r="AG18" i="2"/>
  <c r="AH17" i="2"/>
  <c r="AI2" i="2"/>
  <c r="AI4" i="2" s="1"/>
  <c r="AH19" i="2"/>
  <c r="AH24" i="2"/>
  <c r="AD14" i="2"/>
  <c r="AD22" i="2"/>
  <c r="AE10" i="2"/>
  <c r="AE11" i="2" s="1"/>
  <c r="AE12" i="2" s="1"/>
  <c r="AE21" i="2" s="1"/>
  <c r="AE13" i="2" l="1"/>
  <c r="AE22" i="2"/>
  <c r="AJ2" i="2"/>
  <c r="AJ4" i="2" s="1"/>
  <c r="AI24" i="2"/>
  <c r="AI17" i="2"/>
  <c r="AI19" i="2"/>
  <c r="AH18" i="2"/>
  <c r="AH8" i="2"/>
  <c r="AH9" i="2" s="1"/>
  <c r="AH20" i="2" s="1"/>
  <c r="AE27" i="2" l="1"/>
  <c r="AF10" i="2" s="1"/>
  <c r="AF11" i="2" s="1"/>
  <c r="AF12" i="2" s="1"/>
  <c r="AF21" i="2" s="1"/>
  <c r="AE14" i="2"/>
  <c r="AI18" i="2"/>
  <c r="AI8" i="2"/>
  <c r="AI9" i="2" s="1"/>
  <c r="AI20" i="2" s="1"/>
  <c r="AJ19" i="2"/>
  <c r="AJ24" i="2"/>
  <c r="AK2" i="2"/>
  <c r="AK4" i="2" s="1"/>
  <c r="AJ17" i="2"/>
  <c r="AF13" i="2" l="1"/>
  <c r="AF14" i="2" s="1"/>
  <c r="AJ18" i="2"/>
  <c r="AJ8" i="2"/>
  <c r="AJ9" i="2" s="1"/>
  <c r="AJ20" i="2" s="1"/>
  <c r="AK19" i="2"/>
  <c r="AK17" i="2"/>
  <c r="AK24" i="2"/>
  <c r="AL2" i="2"/>
  <c r="AL4" i="2" s="1"/>
  <c r="AF27" i="2" l="1"/>
  <c r="AG10" i="2" s="1"/>
  <c r="AG11" i="2" s="1"/>
  <c r="AG12" i="2" s="1"/>
  <c r="AG21" i="2" s="1"/>
  <c r="AF22" i="2"/>
  <c r="AL19" i="2"/>
  <c r="AL24" i="2"/>
  <c r="AL17" i="2"/>
  <c r="AK8" i="2"/>
  <c r="AK9" i="2" s="1"/>
  <c r="AK20" i="2" s="1"/>
  <c r="AK18" i="2"/>
  <c r="AG13" i="2" l="1"/>
  <c r="AG27" i="2" s="1"/>
  <c r="AL8" i="2"/>
  <c r="AL9" i="2" s="1"/>
  <c r="AL20" i="2" s="1"/>
  <c r="AL18" i="2"/>
  <c r="AG14" i="2" l="1"/>
  <c r="AG22" i="2"/>
  <c r="AH10" i="2"/>
  <c r="AH11" i="2" s="1"/>
  <c r="AH12" i="2" l="1"/>
  <c r="AH21" i="2" s="1"/>
  <c r="AH13" i="2" l="1"/>
  <c r="AH27" i="2" l="1"/>
  <c r="AH14" i="2"/>
  <c r="AH22" i="2"/>
  <c r="AI10" i="2" l="1"/>
  <c r="AI11" i="2" s="1"/>
  <c r="AI12" i="2" l="1"/>
  <c r="AI21" i="2" s="1"/>
  <c r="AI13" i="2" l="1"/>
  <c r="AI27" i="2" l="1"/>
  <c r="AI22" i="2"/>
  <c r="AI14" i="2"/>
  <c r="AJ10" i="2" l="1"/>
  <c r="AJ11" i="2" s="1"/>
  <c r="AJ12" i="2" l="1"/>
  <c r="AJ21" i="2" s="1"/>
  <c r="AJ13" i="2" l="1"/>
  <c r="AJ27" i="2" l="1"/>
  <c r="AJ14" i="2"/>
  <c r="AJ22" i="2"/>
  <c r="AK10" i="2" l="1"/>
  <c r="AK11" i="2" s="1"/>
  <c r="AK12" i="2" l="1"/>
  <c r="AK21" i="2" s="1"/>
  <c r="AK13" i="2" l="1"/>
  <c r="AK27" i="2" l="1"/>
  <c r="AL10" i="2" s="1"/>
  <c r="AL11" i="2" s="1"/>
  <c r="AK22" i="2"/>
  <c r="AK14" i="2"/>
  <c r="AL12" i="2" l="1"/>
  <c r="AL21" i="2" s="1"/>
  <c r="AL13" i="2" l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BN13" i="2" s="1"/>
  <c r="BO13" i="2" s="1"/>
  <c r="BP13" i="2" s="1"/>
  <c r="Z6" i="2" s="1"/>
  <c r="AL27" i="2" l="1"/>
  <c r="AL14" i="2"/>
  <c r="AL22" i="2"/>
  <c r="Z8" i="2" l="1"/>
  <c r="Z9" i="2" s="1"/>
  <c r="Z11" i="2" s="1"/>
</calcChain>
</file>

<file path=xl/sharedStrings.xml><?xml version="1.0" encoding="utf-8"?>
<sst xmlns="http://schemas.openxmlformats.org/spreadsheetml/2006/main" count="139" uniqueCount="107">
  <si>
    <t>NVDA</t>
  </si>
  <si>
    <t xml:space="preserve">price </t>
  </si>
  <si>
    <t>shares</t>
  </si>
  <si>
    <t>MC</t>
  </si>
  <si>
    <t xml:space="preserve"> </t>
  </si>
  <si>
    <t>Cash</t>
  </si>
  <si>
    <t>Debt</t>
  </si>
  <si>
    <t>EV</t>
  </si>
  <si>
    <t>Q123</t>
  </si>
  <si>
    <t>Q223</t>
  </si>
  <si>
    <t>Q323</t>
  </si>
  <si>
    <t>Q423</t>
  </si>
  <si>
    <t>Q124</t>
  </si>
  <si>
    <t>Q224</t>
  </si>
  <si>
    <t>Q324</t>
  </si>
  <si>
    <t xml:space="preserve">revenue </t>
  </si>
  <si>
    <t>COGS</t>
  </si>
  <si>
    <t>ROIC</t>
  </si>
  <si>
    <t>Gross Profit</t>
  </si>
  <si>
    <t>MR</t>
  </si>
  <si>
    <t>RD</t>
  </si>
  <si>
    <t>DR</t>
  </si>
  <si>
    <t>SGA</t>
  </si>
  <si>
    <t>NPV</t>
  </si>
  <si>
    <t>Acquisition Cost</t>
  </si>
  <si>
    <t>NC</t>
  </si>
  <si>
    <t>OPEX</t>
  </si>
  <si>
    <t>Total value</t>
  </si>
  <si>
    <t>Operating Income</t>
  </si>
  <si>
    <t>Per Share</t>
  </si>
  <si>
    <t>Interest income</t>
  </si>
  <si>
    <t>Current</t>
  </si>
  <si>
    <t>Pretaxe</t>
  </si>
  <si>
    <t>Ratio</t>
  </si>
  <si>
    <t>Taxes</t>
  </si>
  <si>
    <t>Net Income</t>
  </si>
  <si>
    <t>EPS</t>
  </si>
  <si>
    <t>Shares</t>
  </si>
  <si>
    <t>Gross Margin</t>
  </si>
  <si>
    <t>RD %</t>
  </si>
  <si>
    <t>SGD%</t>
  </si>
  <si>
    <t>Operaing Margin</t>
  </si>
  <si>
    <t>Taxe Rate</t>
  </si>
  <si>
    <t>Net Margin</t>
  </si>
  <si>
    <t>revenue y/y</t>
  </si>
  <si>
    <t xml:space="preserve">   </t>
  </si>
  <si>
    <t>Yield</t>
  </si>
  <si>
    <t>Net Cash</t>
  </si>
  <si>
    <t>A/R</t>
  </si>
  <si>
    <t>Inventory</t>
  </si>
  <si>
    <t>OCA</t>
  </si>
  <si>
    <t>PPE</t>
  </si>
  <si>
    <t>OLA</t>
  </si>
  <si>
    <t>Intangible</t>
  </si>
  <si>
    <t>DT</t>
  </si>
  <si>
    <t>ONCA</t>
  </si>
  <si>
    <t>Assets</t>
  </si>
  <si>
    <t>A/P</t>
  </si>
  <si>
    <t>OCL</t>
  </si>
  <si>
    <t>ONCL</t>
  </si>
  <si>
    <t>OLL</t>
  </si>
  <si>
    <t>Liabilities</t>
  </si>
  <si>
    <t>S/E</t>
  </si>
  <si>
    <t xml:space="preserve">       </t>
  </si>
  <si>
    <t>Liabilities + S/E</t>
  </si>
  <si>
    <t xml:space="preserve">  </t>
  </si>
  <si>
    <t>ROA</t>
  </si>
  <si>
    <t>ROE</t>
  </si>
  <si>
    <t>SBC</t>
  </si>
  <si>
    <t>DA</t>
  </si>
  <si>
    <t>Other</t>
  </si>
  <si>
    <t>AR</t>
  </si>
  <si>
    <t>Invetories</t>
  </si>
  <si>
    <t>Prepaid expenses</t>
  </si>
  <si>
    <t>AP</t>
  </si>
  <si>
    <t xml:space="preserve">Accued </t>
  </si>
  <si>
    <t>Other liabilites</t>
  </si>
  <si>
    <t xml:space="preserve">CFFO </t>
  </si>
  <si>
    <t>Reported NI</t>
  </si>
  <si>
    <t>Model NI</t>
  </si>
  <si>
    <t>Marktable securities</t>
  </si>
  <si>
    <t>Acquiditions</t>
  </si>
  <si>
    <t>Investments</t>
  </si>
  <si>
    <t>CFFF</t>
  </si>
  <si>
    <t>Employee stock</t>
  </si>
  <si>
    <t>Repurchases</t>
  </si>
  <si>
    <t>Repayment</t>
  </si>
  <si>
    <t>restricted stock taxes</t>
  </si>
  <si>
    <t>Dividend paid</t>
  </si>
  <si>
    <t xml:space="preserve">Principal PPE </t>
  </si>
  <si>
    <t>CFFI</t>
  </si>
  <si>
    <t>CaPex</t>
  </si>
  <si>
    <t>FCF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</si>
  <si>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</si>
  <si>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</si>
  <si>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</si>
  <si>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</si>
  <si>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</si>
  <si>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</si>
  <si>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</si>
  <si>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</si>
  <si>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</si>
  <si>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Q127</t>
  </si>
  <si>
    <t>Q227</t>
  </si>
  <si>
    <t>Q327</t>
  </si>
  <si>
    <t>Q427</t>
  </si>
  <si>
    <t>Q128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</si>
</sst>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0"/>
    <numFmt numFmtId="165" formatCode="0.000"/>
  </numFmts>
  <fonts count="8" x14ac:knownFonts="1">
    <font>
      <sz val="11"/>
      <color theme="1"/>
      <name val="Arial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3" fontId="7" fillId="0" borderId="0" xfId="0" applyNumberFormat="1" applyFont="1"/>
    <xf numFmtId="3" fontId="4" fillId="0" borderId="0" xfId="0" applyNumberFormat="1" applyFont="1"/>
    <xf numFmtId="1" fontId="4" fillId="0" borderId="0" xfId="0" applyNumberFormat="1" applyFont="1"/>
    <xf numFmtId="0" fontId="4" fillId="0" borderId="0" xfId="0" applyFont="1"/>
    <xf numFmtId="9" fontId="4" fillId="0" borderId="0" xfId="0" applyNumberFormat="1" applyFont="1"/>
    <xf numFmtId="8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4" fontId="4" fillId="0" borderId="0" xfId="0" applyNumberFormat="1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9525</xdr:colOff>
      <xdr:row>0</xdr:row>
      <xdr:rowOff>76200</xdr:rowOff>
    </xdr:from>
    <xdr:ext cx="38100" cy="53911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7735550" y="76200"/>
          <a:ext cx="38100" cy="5391150"/>
          <a:chOff x="5346000" y="1084425"/>
          <a:chExt cx="0" cy="53911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CxnSpPr/>
        </xdr:nvCxnSpPr>
        <xdr:spPr>
          <a:xfrm>
            <a:off x="5346000" y="1084425"/>
            <a:ext cx="0" cy="5391150"/>
          </a:xfrm>
          <a:prstGeom prst="straightConnector1">
            <a:avLst/>
          </a:prstGeom>
          <a:noFill/>
          <a:ln w="19050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30</xdr:col>
      <xdr:colOff>-9525</xdr:colOff>
      <xdr:row>0</xdr:row>
      <xdr:rowOff>38100</xdr:rowOff>
    </xdr:from>
    <xdr:ext cx="38100" cy="539115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23793450" y="38100"/>
          <a:ext cx="38100" cy="5391150"/>
          <a:chOff x="5346000" y="1084425"/>
          <a:chExt cx="0" cy="5391150"/>
        </a:xfrm>
      </xdr:grpSpPr>
      <xdr:cxnSp macro="">
        <xdr:nvCxnSpPr>
          <xdr:cNvPr id="7" name="Shape 4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CxnSpPr/>
        </xdr:nvCxnSpPr>
        <xdr:spPr>
          <a:xfrm>
            <a:off x="5346000" y="1084425"/>
            <a:ext cx="0" cy="5391150"/>
          </a:xfrm>
          <a:prstGeom prst="straightConnector1">
            <a:avLst/>
          </a:prstGeom>
          <a:noFill/>
          <a:ln w="19050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00"/>
  <sheetViews>
    <sheetView topLeftCell="I1" zoomScale="168" workbookViewId="0">
      <selection activeCell="L12" sqref="L12"/>
    </sheetView>
  </sheetViews>
  <sheetFormatPr defaultColWidth="12.625" defaultRowHeight="15" customHeight="1" x14ac:dyDescent="0.2"/>
  <cols>
    <col min="1" max="12" width="8.625" customWidth="1"/>
    <col min="13" max="13" width="10.875" customWidth="1"/>
    <col min="14" max="26" width="8.625" customWidth="1"/>
  </cols>
  <sheetData>
    <row r="1" spans="2:15" ht="13.5" customHeight="1" x14ac:dyDescent="0.2"/>
    <row r="2" spans="2:15" ht="13.5" customHeight="1" x14ac:dyDescent="0.25">
      <c r="B2" s="1" t="s">
        <v>0</v>
      </c>
    </row>
    <row r="3" spans="2:15" ht="13.5" customHeight="1" x14ac:dyDescent="0.2"/>
    <row r="4" spans="2:15" ht="13.5" customHeight="1" x14ac:dyDescent="0.2"/>
    <row r="5" spans="2:15" ht="13.5" customHeight="1" x14ac:dyDescent="0.2">
      <c r="L5" s="2" t="s">
        <v>1</v>
      </c>
      <c r="M5" s="5">
        <v>130</v>
      </c>
    </row>
    <row r="6" spans="2:15" ht="13.5" customHeight="1" x14ac:dyDescent="0.2">
      <c r="L6" s="2" t="s">
        <v>2</v>
      </c>
      <c r="M6" s="5">
        <v>2460</v>
      </c>
    </row>
    <row r="7" spans="2:15" ht="13.5" customHeight="1" x14ac:dyDescent="0.2">
      <c r="L7" s="2" t="s">
        <v>3</v>
      </c>
      <c r="M7" s="5">
        <f>+M5*M6</f>
        <v>319800</v>
      </c>
      <c r="O7" t="s">
        <v>4</v>
      </c>
    </row>
    <row r="8" spans="2:15" ht="13.5" customHeight="1" x14ac:dyDescent="0.2">
      <c r="L8" s="2" t="s">
        <v>5</v>
      </c>
      <c r="M8" s="2">
        <f>7587+23851</f>
        <v>31438</v>
      </c>
      <c r="N8" t="s">
        <v>4</v>
      </c>
    </row>
    <row r="9" spans="2:15" ht="13.5" customHeight="1" x14ac:dyDescent="0.2">
      <c r="L9" s="2" t="s">
        <v>6</v>
      </c>
      <c r="M9" s="2">
        <f>1250+8460+2966</f>
        <v>12676</v>
      </c>
    </row>
    <row r="10" spans="2:15" ht="13.5" customHeight="1" x14ac:dyDescent="0.2">
      <c r="L10" s="2" t="s">
        <v>7</v>
      </c>
      <c r="M10" s="5">
        <f>+M7-M8+M9</f>
        <v>301038</v>
      </c>
    </row>
    <row r="11" spans="2:15" ht="13.5" customHeight="1" x14ac:dyDescent="0.2"/>
    <row r="12" spans="2:15" ht="13.5" customHeight="1" x14ac:dyDescent="0.2">
      <c r="M12" t="s">
        <v>4</v>
      </c>
    </row>
    <row r="13" spans="2:15" ht="13.5" customHeight="1" x14ac:dyDescent="0.2"/>
    <row r="14" spans="2:15" ht="13.5" customHeight="1" x14ac:dyDescent="0.2"/>
    <row r="15" spans="2:15" ht="13.5" customHeight="1" x14ac:dyDescent="0.2"/>
    <row r="16" spans="2:15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1002"/>
  <sheetViews>
    <sheetView tabSelected="1" workbookViewId="0">
      <pane xSplit="1" ySplit="1" topLeftCell="P2" activePane="bottomRight" state="frozen"/>
      <selection pane="topRight" activeCell="B1" sqref="B1"/>
      <selection pane="bottomLeft" activeCell="A2" sqref="A2"/>
      <selection pane="bottomRight" activeCell="W2" sqref="W2"/>
    </sheetView>
  </sheetViews>
  <sheetFormatPr defaultColWidth="12.625" defaultRowHeight="15" customHeight="1" x14ac:dyDescent="0.2"/>
  <cols>
    <col min="1" max="2" width="15.625" customWidth="1"/>
    <col min="3" max="11" width="8.625" customWidth="1"/>
    <col min="12" max="24" width="11.25" customWidth="1"/>
    <col min="25" max="25" width="11.375" customWidth="1"/>
    <col min="26" max="26" width="11.375" bestFit="1" customWidth="1"/>
    <col min="27" max="38" width="8.625" customWidth="1"/>
  </cols>
  <sheetData>
    <row r="1" spans="1:68" ht="13.5" customHeight="1" x14ac:dyDescent="0.2">
      <c r="B1" s="16" t="s">
        <v>8</v>
      </c>
      <c r="C1" s="16" t="s">
        <v>9</v>
      </c>
      <c r="D1" s="16" t="s">
        <v>10</v>
      </c>
      <c r="E1" s="16" t="s">
        <v>11</v>
      </c>
      <c r="F1" s="16" t="s">
        <v>12</v>
      </c>
      <c r="G1" s="16" t="s">
        <v>13</v>
      </c>
      <c r="H1" s="16" t="s">
        <v>14</v>
      </c>
      <c r="I1" s="16" t="s">
        <v>93</v>
      </c>
      <c r="J1" s="16" t="s">
        <v>94</v>
      </c>
      <c r="K1" s="16" t="s">
        <v>95</v>
      </c>
      <c r="L1" s="16" t="s">
        <v>96</v>
      </c>
      <c r="M1" s="16" t="s">
        <v>97</v>
      </c>
      <c r="N1" s="16" t="s">
        <v>98</v>
      </c>
      <c r="O1" s="16" t="s">
        <v>99</v>
      </c>
      <c r="P1" s="16" t="s">
        <v>100</v>
      </c>
      <c r="Q1" s="16" t="s">
        <v>101</v>
      </c>
      <c r="R1" s="16" t="s">
        <v>102</v>
      </c>
      <c r="S1" s="16" t="s">
        <v>103</v>
      </c>
      <c r="T1" s="16" t="s">
        <v>104</v>
      </c>
      <c r="U1" s="16" t="s">
        <v>105</v>
      </c>
      <c r="V1" s="16" t="s">
        <v>106</v>
      </c>
      <c r="W1" s="15"/>
      <c r="X1" s="5"/>
      <c r="Y1" s="5"/>
      <c r="Z1" s="5" t="s">
        <v>4</v>
      </c>
      <c r="AA1" s="5"/>
      <c r="AB1" s="5"/>
      <c r="AC1" s="6">
        <v>2022</v>
      </c>
      <c r="AD1" s="6">
        <f t="shared" ref="AD1:AL1" si="0">+AC1+1</f>
        <v>2023</v>
      </c>
      <c r="AE1" s="6">
        <f t="shared" si="0"/>
        <v>2024</v>
      </c>
      <c r="AF1" s="6">
        <f t="shared" si="0"/>
        <v>2025</v>
      </c>
      <c r="AG1" s="6">
        <f t="shared" si="0"/>
        <v>2026</v>
      </c>
      <c r="AH1" s="6">
        <f t="shared" si="0"/>
        <v>2027</v>
      </c>
      <c r="AI1" s="6">
        <f t="shared" si="0"/>
        <v>2028</v>
      </c>
      <c r="AJ1" s="6">
        <f t="shared" si="0"/>
        <v>2029</v>
      </c>
      <c r="AK1" s="6">
        <f t="shared" si="0"/>
        <v>2030</v>
      </c>
      <c r="AL1" s="6">
        <f t="shared" si="0"/>
        <v>2031</v>
      </c>
    </row>
    <row r="2" spans="1:68" ht="13.5" customHeight="1" x14ac:dyDescent="0.25">
      <c r="A2" s="3" t="s">
        <v>15</v>
      </c>
      <c r="B2" s="4">
        <v>8288</v>
      </c>
      <c r="C2" s="4">
        <v>6704</v>
      </c>
      <c r="D2" s="4">
        <v>5931</v>
      </c>
      <c r="E2" s="4">
        <v>6051</v>
      </c>
      <c r="F2" s="4">
        <v>7192</v>
      </c>
      <c r="G2" s="4">
        <v>13507</v>
      </c>
      <c r="H2" s="4">
        <v>18120</v>
      </c>
      <c r="I2" s="4">
        <v>22103</v>
      </c>
      <c r="J2" s="4">
        <v>26044</v>
      </c>
      <c r="K2" s="4">
        <v>30040</v>
      </c>
      <c r="L2" s="4">
        <v>35082</v>
      </c>
      <c r="M2" s="4">
        <v>39331</v>
      </c>
      <c r="N2" s="4">
        <v>44062</v>
      </c>
      <c r="O2" s="4">
        <v>46743</v>
      </c>
      <c r="P2" s="4">
        <v>57006</v>
      </c>
      <c r="Q2" s="4">
        <v>68127</v>
      </c>
      <c r="R2" s="4">
        <v>81615</v>
      </c>
      <c r="S2" s="4"/>
      <c r="T2" s="4"/>
      <c r="U2" s="4"/>
      <c r="V2" s="4"/>
      <c r="W2" s="4"/>
      <c r="X2" s="4"/>
      <c r="Y2" s="4" t="s">
        <v>0</v>
      </c>
      <c r="Z2" s="4"/>
      <c r="AA2" s="4"/>
      <c r="AB2" s="4"/>
      <c r="AC2" s="4">
        <f t="shared" ref="AC2:AC3" si="1">SUM(B2:E2)</f>
        <v>26974</v>
      </c>
      <c r="AD2" s="4">
        <f t="shared" ref="AD2:AD3" si="2">SUM(F2:I2)</f>
        <v>60922</v>
      </c>
      <c r="AE2" s="4">
        <f t="shared" ref="AE2:AL2" si="3">+AD2*(1-$Z$4)</f>
        <v>67014.200000000012</v>
      </c>
      <c r="AF2" s="4">
        <f t="shared" si="3"/>
        <v>73715.620000000024</v>
      </c>
      <c r="AG2" s="4">
        <f t="shared" si="3"/>
        <v>81087.18200000003</v>
      </c>
      <c r="AH2" s="4">
        <f t="shared" si="3"/>
        <v>89195.900200000033</v>
      </c>
      <c r="AI2" s="4">
        <f t="shared" si="3"/>
        <v>98115.490220000051</v>
      </c>
      <c r="AJ2" s="4">
        <f t="shared" si="3"/>
        <v>107927.03924200006</v>
      </c>
      <c r="AK2" s="4">
        <f t="shared" si="3"/>
        <v>118719.74316620007</v>
      </c>
      <c r="AL2" s="4">
        <f t="shared" si="3"/>
        <v>130591.7174828201</v>
      </c>
    </row>
    <row r="3" spans="1:68" ht="13.5" customHeight="1" x14ac:dyDescent="0.2">
      <c r="A3" s="2" t="s">
        <v>16</v>
      </c>
      <c r="B3" s="5">
        <v>2857</v>
      </c>
      <c r="C3" s="5">
        <v>3789</v>
      </c>
      <c r="D3" s="5">
        <v>2754</v>
      </c>
      <c r="E3" s="5">
        <v>2218</v>
      </c>
      <c r="F3" s="5">
        <v>2544</v>
      </c>
      <c r="G3" s="5">
        <v>4045</v>
      </c>
      <c r="H3" s="5">
        <v>4720</v>
      </c>
      <c r="I3" s="5">
        <v>5312</v>
      </c>
      <c r="J3" s="5">
        <v>5638</v>
      </c>
      <c r="K3" s="5">
        <v>7466</v>
      </c>
      <c r="L3" s="5">
        <v>8926</v>
      </c>
      <c r="M3" s="5">
        <v>10609</v>
      </c>
      <c r="N3" s="5">
        <v>17394</v>
      </c>
      <c r="O3" s="5">
        <v>12890</v>
      </c>
      <c r="P3" s="5">
        <v>15157</v>
      </c>
      <c r="Q3" s="5">
        <v>17034</v>
      </c>
      <c r="R3" s="5">
        <v>20458</v>
      </c>
      <c r="S3" s="5"/>
      <c r="T3" s="5"/>
      <c r="U3" s="5"/>
      <c r="V3" s="5"/>
      <c r="W3" s="5"/>
      <c r="X3" s="5"/>
      <c r="Y3" s="7" t="s">
        <v>17</v>
      </c>
      <c r="Z3" s="8">
        <v>0.01</v>
      </c>
      <c r="AA3" s="8"/>
      <c r="AB3" s="5"/>
      <c r="AC3" s="5">
        <f t="shared" si="1"/>
        <v>11618</v>
      </c>
      <c r="AD3" s="5">
        <f t="shared" si="2"/>
        <v>16621</v>
      </c>
      <c r="AE3" s="5">
        <f>+AD3*1.08</f>
        <v>17950.68</v>
      </c>
      <c r="AF3" s="5">
        <f t="shared" ref="AF3:AL3" si="4">+AE3*1.08</f>
        <v>19386.734400000001</v>
      </c>
      <c r="AG3" s="5">
        <f t="shared" si="4"/>
        <v>20937.673152000003</v>
      </c>
      <c r="AH3" s="5">
        <f t="shared" si="4"/>
        <v>22612.687004160005</v>
      </c>
      <c r="AI3" s="5">
        <f t="shared" si="4"/>
        <v>24421.701964492808</v>
      </c>
      <c r="AJ3" s="5">
        <f t="shared" si="4"/>
        <v>26375.438121652234</v>
      </c>
      <c r="AK3" s="5">
        <f t="shared" si="4"/>
        <v>28485.473171384416</v>
      </c>
      <c r="AL3" s="5">
        <f t="shared" si="4"/>
        <v>30764.311025095172</v>
      </c>
    </row>
    <row r="4" spans="1:68" ht="13.5" customHeight="1" x14ac:dyDescent="0.25">
      <c r="A4" s="3" t="s">
        <v>18</v>
      </c>
      <c r="B4" s="4">
        <f t="shared" ref="B4:K4" si="5">+B2-B3</f>
        <v>5431</v>
      </c>
      <c r="C4" s="4">
        <f t="shared" si="5"/>
        <v>2915</v>
      </c>
      <c r="D4" s="4">
        <f t="shared" si="5"/>
        <v>3177</v>
      </c>
      <c r="E4" s="4">
        <f t="shared" si="5"/>
        <v>3833</v>
      </c>
      <c r="F4" s="4">
        <f t="shared" si="5"/>
        <v>4648</v>
      </c>
      <c r="G4" s="4">
        <f t="shared" si="5"/>
        <v>9462</v>
      </c>
      <c r="H4" s="4">
        <f t="shared" si="5"/>
        <v>13400</v>
      </c>
      <c r="I4" s="4">
        <f t="shared" si="5"/>
        <v>16791</v>
      </c>
      <c r="J4" s="4">
        <f t="shared" si="5"/>
        <v>20406</v>
      </c>
      <c r="K4" s="4">
        <f t="shared" si="5"/>
        <v>22574</v>
      </c>
      <c r="L4" s="4">
        <f>+L2-L3</f>
        <v>26156</v>
      </c>
      <c r="M4" s="4">
        <f>+M2-M3</f>
        <v>28722</v>
      </c>
      <c r="N4" s="4">
        <f>+N2-N3</f>
        <v>26668</v>
      </c>
      <c r="O4" s="4">
        <f t="shared" ref="O4:Q4" si="6">+O2-O3</f>
        <v>33853</v>
      </c>
      <c r="P4" s="4">
        <f t="shared" si="6"/>
        <v>41849</v>
      </c>
      <c r="Q4" s="4">
        <f t="shared" si="6"/>
        <v>51093</v>
      </c>
      <c r="R4" s="4">
        <f>+R2-R3</f>
        <v>61157</v>
      </c>
      <c r="S4" s="4"/>
      <c r="T4" s="4"/>
      <c r="U4" s="4"/>
      <c r="V4" s="4"/>
      <c r="W4" s="4"/>
      <c r="X4" s="4"/>
      <c r="Y4" s="7" t="s">
        <v>19</v>
      </c>
      <c r="Z4" s="8">
        <v>-0.1</v>
      </c>
      <c r="AA4" s="8"/>
      <c r="AB4" s="4"/>
      <c r="AC4" s="4">
        <f t="shared" ref="AC4:AD4" si="7">+AC2-AC3</f>
        <v>15356</v>
      </c>
      <c r="AD4" s="4">
        <f t="shared" si="7"/>
        <v>44301</v>
      </c>
      <c r="AE4" s="4">
        <f>+AE2-AE3</f>
        <v>49063.520000000011</v>
      </c>
      <c r="AF4" s="4">
        <f t="shared" ref="AF4:AL4" si="8">+AF2-AF3</f>
        <v>54328.885600000023</v>
      </c>
      <c r="AG4" s="4">
        <f t="shared" si="8"/>
        <v>60149.508848000027</v>
      </c>
      <c r="AH4" s="4">
        <f t="shared" si="8"/>
        <v>66583.213195840028</v>
      </c>
      <c r="AI4" s="4">
        <f t="shared" si="8"/>
        <v>73693.788255507243</v>
      </c>
      <c r="AJ4" s="4">
        <f t="shared" si="8"/>
        <v>81551.601120347827</v>
      </c>
      <c r="AK4" s="4">
        <f t="shared" si="8"/>
        <v>90234.269994815666</v>
      </c>
      <c r="AL4" s="4">
        <f t="shared" si="8"/>
        <v>99827.406457724923</v>
      </c>
    </row>
    <row r="5" spans="1:68" ht="13.5" customHeight="1" x14ac:dyDescent="0.2">
      <c r="A5" s="2" t="s">
        <v>20</v>
      </c>
      <c r="B5" s="5">
        <v>1618</v>
      </c>
      <c r="C5" s="5">
        <v>1824</v>
      </c>
      <c r="D5" s="5">
        <v>1945</v>
      </c>
      <c r="E5" s="5">
        <v>1951</v>
      </c>
      <c r="F5" s="5">
        <v>1875</v>
      </c>
      <c r="G5" s="5">
        <v>2040</v>
      </c>
      <c r="H5" s="5">
        <v>2294</v>
      </c>
      <c r="I5" s="5">
        <v>2465</v>
      </c>
      <c r="J5" s="5">
        <v>2720</v>
      </c>
      <c r="K5" s="5">
        <v>3090</v>
      </c>
      <c r="L5" s="5">
        <v>3390</v>
      </c>
      <c r="M5" s="5">
        <v>3714</v>
      </c>
      <c r="N5" s="5">
        <v>3989</v>
      </c>
      <c r="O5" s="5">
        <v>4291</v>
      </c>
      <c r="P5" s="5">
        <v>4705</v>
      </c>
      <c r="Q5" s="5">
        <v>5512</v>
      </c>
      <c r="R5" s="5">
        <v>6321</v>
      </c>
      <c r="S5" s="5"/>
      <c r="T5" s="5"/>
      <c r="U5" s="5"/>
      <c r="V5" s="5"/>
      <c r="W5" s="5"/>
      <c r="X5" s="5"/>
      <c r="Y5" s="7" t="s">
        <v>21</v>
      </c>
      <c r="Z5" s="8">
        <v>7.4999999999999997E-2</v>
      </c>
      <c r="AA5" s="8"/>
      <c r="AB5" s="5"/>
      <c r="AC5" s="5">
        <f t="shared" ref="AC5:AC7" si="9">SUM(B5:E5)</f>
        <v>7338</v>
      </c>
      <c r="AD5" s="5">
        <f t="shared" ref="AD5:AD7" si="10">SUM(F5:I5)</f>
        <v>8674</v>
      </c>
      <c r="AE5" s="5">
        <f>+AD5*1.08</f>
        <v>9367.92</v>
      </c>
      <c r="AF5" s="5">
        <f t="shared" ref="AF5:AL5" si="11">+AE5*1.08</f>
        <v>10117.3536</v>
      </c>
      <c r="AG5" s="5">
        <f t="shared" si="11"/>
        <v>10926.741888</v>
      </c>
      <c r="AH5" s="5">
        <f t="shared" si="11"/>
        <v>11800.881239040002</v>
      </c>
      <c r="AI5" s="5">
        <f t="shared" si="11"/>
        <v>12744.951738163203</v>
      </c>
      <c r="AJ5" s="5">
        <f t="shared" si="11"/>
        <v>13764.547877216261</v>
      </c>
      <c r="AK5" s="5">
        <f t="shared" si="11"/>
        <v>14865.711707393562</v>
      </c>
      <c r="AL5" s="5">
        <f t="shared" si="11"/>
        <v>16054.968643985048</v>
      </c>
    </row>
    <row r="6" spans="1:68" ht="13.5" customHeight="1" x14ac:dyDescent="0.2">
      <c r="A6" s="2" t="s">
        <v>22</v>
      </c>
      <c r="B6" s="5">
        <v>592</v>
      </c>
      <c r="C6" s="5">
        <v>592</v>
      </c>
      <c r="D6" s="5">
        <v>631</v>
      </c>
      <c r="E6" s="5">
        <v>625</v>
      </c>
      <c r="F6" s="5">
        <v>633</v>
      </c>
      <c r="G6" s="5">
        <v>622</v>
      </c>
      <c r="H6" s="5">
        <v>689</v>
      </c>
      <c r="I6" s="5">
        <v>711</v>
      </c>
      <c r="J6" s="5">
        <v>777</v>
      </c>
      <c r="K6" s="5">
        <v>842</v>
      </c>
      <c r="L6" s="5">
        <v>897</v>
      </c>
      <c r="M6" s="5">
        <v>975</v>
      </c>
      <c r="N6" s="5">
        <v>1041</v>
      </c>
      <c r="O6" s="5">
        <v>1122</v>
      </c>
      <c r="P6" s="5">
        <v>1134</v>
      </c>
      <c r="Q6" s="5">
        <v>1282</v>
      </c>
      <c r="R6" s="5">
        <v>1300</v>
      </c>
      <c r="S6" s="5"/>
      <c r="T6" s="5"/>
      <c r="U6" s="5"/>
      <c r="V6" s="5"/>
      <c r="W6" s="5"/>
      <c r="X6" s="5"/>
      <c r="Y6" s="7" t="s">
        <v>23</v>
      </c>
      <c r="Z6" s="9">
        <f>+NPV(Z5,AF13:BP13)</f>
        <v>727786.98397850525</v>
      </c>
      <c r="AA6" s="9"/>
      <c r="AB6" s="5" t="s">
        <v>4</v>
      </c>
      <c r="AC6" s="5">
        <f t="shared" si="9"/>
        <v>2440</v>
      </c>
      <c r="AD6" s="5">
        <f t="shared" si="10"/>
        <v>2655</v>
      </c>
      <c r="AE6" s="5">
        <f>+AD6*1.05</f>
        <v>2787.75</v>
      </c>
      <c r="AF6" s="5">
        <f t="shared" ref="AF6:AL6" si="12">+AE6*1.05</f>
        <v>2927.1375000000003</v>
      </c>
      <c r="AG6" s="5">
        <f t="shared" si="12"/>
        <v>3073.4943750000002</v>
      </c>
      <c r="AH6" s="5">
        <f t="shared" si="12"/>
        <v>3227.1690937500002</v>
      </c>
      <c r="AI6" s="5">
        <f t="shared" si="12"/>
        <v>3388.5275484375002</v>
      </c>
      <c r="AJ6" s="5">
        <f t="shared" si="12"/>
        <v>3557.9539258593754</v>
      </c>
      <c r="AK6" s="5">
        <f t="shared" si="12"/>
        <v>3735.8516221523441</v>
      </c>
      <c r="AL6" s="5">
        <f t="shared" si="12"/>
        <v>3922.6442032599616</v>
      </c>
    </row>
    <row r="7" spans="1:68" ht="13.5" customHeight="1" x14ac:dyDescent="0.2">
      <c r="A7" s="2" t="s">
        <v>24</v>
      </c>
      <c r="B7" s="5">
        <v>1353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/>
      <c r="T7" s="5"/>
      <c r="U7" s="5"/>
      <c r="V7" s="5"/>
      <c r="W7" s="5"/>
      <c r="X7" s="5"/>
      <c r="Y7" s="7" t="s">
        <v>25</v>
      </c>
      <c r="Z7" s="5">
        <f>+J27</f>
        <v>18762</v>
      </c>
      <c r="AA7" s="5"/>
      <c r="AB7" s="5"/>
      <c r="AC7" s="5">
        <f t="shared" si="9"/>
        <v>1353</v>
      </c>
      <c r="AD7" s="5">
        <f t="shared" si="10"/>
        <v>0</v>
      </c>
      <c r="AE7" s="5">
        <f t="shared" ref="AE7:AL7" si="13">+AD7</f>
        <v>0</v>
      </c>
      <c r="AF7" s="5">
        <f t="shared" si="13"/>
        <v>0</v>
      </c>
      <c r="AG7" s="5">
        <f t="shared" si="13"/>
        <v>0</v>
      </c>
      <c r="AH7" s="5">
        <f t="shared" si="13"/>
        <v>0</v>
      </c>
      <c r="AI7" s="5">
        <f t="shared" si="13"/>
        <v>0</v>
      </c>
      <c r="AJ7" s="5">
        <f t="shared" si="13"/>
        <v>0</v>
      </c>
      <c r="AK7" s="5">
        <f t="shared" si="13"/>
        <v>0</v>
      </c>
      <c r="AL7" s="5">
        <f t="shared" si="13"/>
        <v>0</v>
      </c>
    </row>
    <row r="8" spans="1:68" ht="13.5" customHeight="1" x14ac:dyDescent="0.2">
      <c r="A8" s="2" t="s">
        <v>26</v>
      </c>
      <c r="B8" s="5">
        <f>+B5+B6+B7</f>
        <v>3563</v>
      </c>
      <c r="C8" s="5">
        <f t="shared" ref="C8:M8" si="14">+C5+C6</f>
        <v>2416</v>
      </c>
      <c r="D8" s="5">
        <f t="shared" si="14"/>
        <v>2576</v>
      </c>
      <c r="E8" s="5">
        <f t="shared" si="14"/>
        <v>2576</v>
      </c>
      <c r="F8" s="5">
        <f t="shared" si="14"/>
        <v>2508</v>
      </c>
      <c r="G8" s="5">
        <f t="shared" si="14"/>
        <v>2662</v>
      </c>
      <c r="H8" s="5">
        <f t="shared" si="14"/>
        <v>2983</v>
      </c>
      <c r="I8" s="5">
        <f t="shared" si="14"/>
        <v>3176</v>
      </c>
      <c r="J8" s="5">
        <f t="shared" si="14"/>
        <v>3497</v>
      </c>
      <c r="K8" s="5">
        <f t="shared" si="14"/>
        <v>3932</v>
      </c>
      <c r="L8" s="5">
        <f>+L5+L6</f>
        <v>4287</v>
      </c>
      <c r="M8" s="5">
        <f>+M5+M6</f>
        <v>4689</v>
      </c>
      <c r="N8" s="5">
        <f>+N5+N6</f>
        <v>5030</v>
      </c>
      <c r="O8" s="5">
        <f t="shared" ref="O8:R8" si="15">+O5+O6</f>
        <v>5413</v>
      </c>
      <c r="P8" s="5">
        <f t="shared" si="15"/>
        <v>5839</v>
      </c>
      <c r="Q8" s="5">
        <f t="shared" si="15"/>
        <v>6794</v>
      </c>
      <c r="R8" s="5">
        <f t="shared" ref="R8" si="16">+R5+R6</f>
        <v>7621</v>
      </c>
      <c r="S8" s="5"/>
      <c r="T8" s="5"/>
      <c r="U8" s="5"/>
      <c r="V8" s="5"/>
      <c r="W8" s="5"/>
      <c r="X8" s="5"/>
      <c r="Y8" s="7" t="s">
        <v>27</v>
      </c>
      <c r="Z8" s="10">
        <f>+Z6+Z7</f>
        <v>746548.98397850525</v>
      </c>
      <c r="AA8" s="10"/>
      <c r="AB8" s="5"/>
      <c r="AC8" s="5">
        <f t="shared" ref="AC8:AL8" si="17">+AC5+AC6+AC7</f>
        <v>11131</v>
      </c>
      <c r="AD8" s="5">
        <f t="shared" si="17"/>
        <v>11329</v>
      </c>
      <c r="AE8" s="5">
        <f t="shared" si="17"/>
        <v>12155.67</v>
      </c>
      <c r="AF8" s="5">
        <f t="shared" si="17"/>
        <v>13044.491100000001</v>
      </c>
      <c r="AG8" s="5">
        <f t="shared" si="17"/>
        <v>14000.236263000001</v>
      </c>
      <c r="AH8" s="5">
        <f t="shared" si="17"/>
        <v>15028.050332790002</v>
      </c>
      <c r="AI8" s="5">
        <f t="shared" si="17"/>
        <v>16133.479286600703</v>
      </c>
      <c r="AJ8" s="5">
        <f t="shared" si="17"/>
        <v>17322.501803075636</v>
      </c>
      <c r="AK8" s="5">
        <f t="shared" si="17"/>
        <v>18601.563329545905</v>
      </c>
      <c r="AL8" s="5">
        <f t="shared" si="17"/>
        <v>19977.612847245011</v>
      </c>
    </row>
    <row r="9" spans="1:68" ht="13.5" customHeight="1" x14ac:dyDescent="0.25">
      <c r="A9" s="3" t="s">
        <v>28</v>
      </c>
      <c r="B9" s="4">
        <f t="shared" ref="B9:K9" si="18">+B4-B8</f>
        <v>1868</v>
      </c>
      <c r="C9" s="4">
        <f t="shared" si="18"/>
        <v>499</v>
      </c>
      <c r="D9" s="4">
        <f t="shared" si="18"/>
        <v>601</v>
      </c>
      <c r="E9" s="4">
        <f t="shared" si="18"/>
        <v>1257</v>
      </c>
      <c r="F9" s="4">
        <f t="shared" si="18"/>
        <v>2140</v>
      </c>
      <c r="G9" s="4">
        <f t="shared" si="18"/>
        <v>6800</v>
      </c>
      <c r="H9" s="4">
        <f t="shared" si="18"/>
        <v>10417</v>
      </c>
      <c r="I9" s="4">
        <f t="shared" si="18"/>
        <v>13615</v>
      </c>
      <c r="J9" s="4">
        <f t="shared" si="18"/>
        <v>16909</v>
      </c>
      <c r="K9" s="4">
        <f t="shared" si="18"/>
        <v>18642</v>
      </c>
      <c r="L9" s="4">
        <f>+L4-L8</f>
        <v>21869</v>
      </c>
      <c r="M9" s="4">
        <f>+M4-M8</f>
        <v>24033</v>
      </c>
      <c r="N9" s="4">
        <f>+N4-N8</f>
        <v>21638</v>
      </c>
      <c r="O9" s="4">
        <f t="shared" ref="O9:R9" si="19">+O4-O8</f>
        <v>28440</v>
      </c>
      <c r="P9" s="4">
        <f t="shared" si="19"/>
        <v>36010</v>
      </c>
      <c r="Q9" s="4">
        <f t="shared" si="19"/>
        <v>44299</v>
      </c>
      <c r="R9" s="4">
        <f t="shared" ref="R9" si="20">+R4-R8</f>
        <v>53536</v>
      </c>
      <c r="S9" s="4"/>
      <c r="T9" s="4"/>
      <c r="U9" s="4"/>
      <c r="V9" s="4"/>
      <c r="W9" s="4"/>
      <c r="X9" s="4"/>
      <c r="Y9" s="7" t="s">
        <v>29</v>
      </c>
      <c r="Z9" s="11">
        <f>+Z8/main!M6</f>
        <v>303.47519673922977</v>
      </c>
      <c r="AA9" s="11"/>
      <c r="AB9" s="4" t="s">
        <v>4</v>
      </c>
      <c r="AC9" s="4">
        <f t="shared" ref="AC9:AL9" si="21">+AC4-AC8</f>
        <v>4225</v>
      </c>
      <c r="AD9" s="4">
        <f t="shared" si="21"/>
        <v>32972</v>
      </c>
      <c r="AE9" s="4">
        <f t="shared" si="21"/>
        <v>36907.850000000013</v>
      </c>
      <c r="AF9" s="4">
        <f t="shared" si="21"/>
        <v>41284.394500000024</v>
      </c>
      <c r="AG9" s="4">
        <f t="shared" si="21"/>
        <v>46149.272585000028</v>
      </c>
      <c r="AH9" s="4">
        <f t="shared" si="21"/>
        <v>51555.162863050027</v>
      </c>
      <c r="AI9" s="4">
        <f t="shared" si="21"/>
        <v>57560.308968906538</v>
      </c>
      <c r="AJ9" s="4">
        <f t="shared" si="21"/>
        <v>64229.099317272194</v>
      </c>
      <c r="AK9" s="4">
        <f t="shared" si="21"/>
        <v>71632.706665269769</v>
      </c>
      <c r="AL9" s="4">
        <f t="shared" si="21"/>
        <v>79849.793610479916</v>
      </c>
    </row>
    <row r="10" spans="1:68" ht="13.5" customHeight="1" x14ac:dyDescent="0.2">
      <c r="A10" s="2" t="s">
        <v>30</v>
      </c>
      <c r="B10" s="5">
        <f>18-68-13</f>
        <v>-63</v>
      </c>
      <c r="C10" s="5">
        <f>46-65-5</f>
        <v>-24</v>
      </c>
      <c r="D10" s="5">
        <f>88-65-11</f>
        <v>12</v>
      </c>
      <c r="E10" s="5">
        <f>115-65-18</f>
        <v>32</v>
      </c>
      <c r="F10" s="5">
        <f>150-66-15</f>
        <v>69</v>
      </c>
      <c r="G10" s="5">
        <f>187-65+59</f>
        <v>181</v>
      </c>
      <c r="H10" s="5">
        <f>234-63-66</f>
        <v>105</v>
      </c>
      <c r="I10" s="5">
        <f>294-63+260</f>
        <v>491</v>
      </c>
      <c r="J10" s="5">
        <f>359-64+75</f>
        <v>370</v>
      </c>
      <c r="K10" s="5">
        <f>444-61+189</f>
        <v>572</v>
      </c>
      <c r="L10" s="5">
        <f>472-61+36</f>
        <v>447</v>
      </c>
      <c r="M10" s="5">
        <f>511-61+733</f>
        <v>1183</v>
      </c>
      <c r="N10" s="5">
        <f>515-63-180</f>
        <v>272</v>
      </c>
      <c r="O10" s="5">
        <f>592-62+2236</f>
        <v>2766</v>
      </c>
      <c r="P10" s="5">
        <f>624-61+1363</f>
        <v>1926</v>
      </c>
      <c r="Q10" s="5">
        <f>568-74+5604</f>
        <v>6098</v>
      </c>
      <c r="R10" s="5">
        <f>540-102+15929</f>
        <v>16367</v>
      </c>
      <c r="S10" s="5"/>
      <c r="T10" s="5"/>
      <c r="U10" s="5"/>
      <c r="V10" s="5"/>
      <c r="W10" s="5"/>
      <c r="X10" s="5"/>
      <c r="Y10" s="7" t="s">
        <v>31</v>
      </c>
      <c r="Z10" s="5">
        <f>+main!M5</f>
        <v>130</v>
      </c>
      <c r="AA10" s="5"/>
      <c r="AB10" s="5" t="s">
        <v>4</v>
      </c>
      <c r="AC10" s="5">
        <f>SUM(B10:E10)</f>
        <v>-43</v>
      </c>
      <c r="AD10" s="5">
        <f>SUM(F10:I10)</f>
        <v>846</v>
      </c>
      <c r="AE10" s="5">
        <f>+AD27*$Z$3</f>
        <v>162.75</v>
      </c>
      <c r="AF10" s="5">
        <f t="shared" ref="AF10:AL10" si="22">+AE27*$Z$3</f>
        <v>481.55716000000018</v>
      </c>
      <c r="AG10" s="5">
        <f t="shared" si="22"/>
        <v>840.74434427600033</v>
      </c>
      <c r="AH10" s="5">
        <f t="shared" si="22"/>
        <v>1244.8584898677743</v>
      </c>
      <c r="AI10" s="5">
        <f t="shared" si="22"/>
        <v>1698.9386735028672</v>
      </c>
      <c r="AJ10" s="5">
        <f t="shared" si="22"/>
        <v>2208.5682032275881</v>
      </c>
      <c r="AK10" s="5">
        <f t="shared" si="22"/>
        <v>2779.9321439038863</v>
      </c>
      <c r="AL10" s="5">
        <f t="shared" si="22"/>
        <v>3419.8808376627799</v>
      </c>
    </row>
    <row r="11" spans="1:68" ht="13.5" customHeight="1" x14ac:dyDescent="0.2">
      <c r="A11" s="2" t="s">
        <v>32</v>
      </c>
      <c r="B11" s="5">
        <f t="shared" ref="B11:K11" si="23">+B9+B10</f>
        <v>1805</v>
      </c>
      <c r="C11" s="5">
        <f t="shared" si="23"/>
        <v>475</v>
      </c>
      <c r="D11" s="5">
        <f t="shared" si="23"/>
        <v>613</v>
      </c>
      <c r="E11" s="5">
        <f t="shared" si="23"/>
        <v>1289</v>
      </c>
      <c r="F11" s="5">
        <f t="shared" si="23"/>
        <v>2209</v>
      </c>
      <c r="G11" s="5">
        <f t="shared" si="23"/>
        <v>6981</v>
      </c>
      <c r="H11" s="5">
        <f t="shared" si="23"/>
        <v>10522</v>
      </c>
      <c r="I11" s="5">
        <f t="shared" si="23"/>
        <v>14106</v>
      </c>
      <c r="J11" s="5">
        <f t="shared" si="23"/>
        <v>17279</v>
      </c>
      <c r="K11" s="5">
        <f t="shared" si="23"/>
        <v>19214</v>
      </c>
      <c r="L11" s="5">
        <f>+L9+L10</f>
        <v>22316</v>
      </c>
      <c r="M11" s="5">
        <f>+M9+M10</f>
        <v>25216</v>
      </c>
      <c r="N11" s="5">
        <f>+N9+N10</f>
        <v>21910</v>
      </c>
      <c r="O11" s="5">
        <f t="shared" ref="O11:R11" si="24">+O9+O10</f>
        <v>31206</v>
      </c>
      <c r="P11" s="5">
        <f t="shared" si="24"/>
        <v>37936</v>
      </c>
      <c r="Q11" s="5">
        <f t="shared" si="24"/>
        <v>50397</v>
      </c>
      <c r="R11" s="5">
        <f t="shared" ref="R11" si="25">+R9+R10</f>
        <v>69903</v>
      </c>
      <c r="S11" s="5"/>
      <c r="T11" s="5"/>
      <c r="U11" s="5"/>
      <c r="V11" s="5"/>
      <c r="W11" s="5"/>
      <c r="X11" s="5"/>
      <c r="Y11" s="7" t="s">
        <v>33</v>
      </c>
      <c r="Z11" s="8">
        <f>+Z9/Z10-1</f>
        <v>1.3344245903017673</v>
      </c>
      <c r="AA11" s="8"/>
      <c r="AB11" s="5"/>
      <c r="AC11" s="5">
        <f t="shared" ref="AC11:AD11" si="26">+AC9+AC10</f>
        <v>4182</v>
      </c>
      <c r="AD11" s="5">
        <f t="shared" si="26"/>
        <v>33818</v>
      </c>
      <c r="AE11" s="5">
        <f>+AE9+AE10</f>
        <v>37070.600000000013</v>
      </c>
      <c r="AF11" s="5">
        <f t="shared" ref="AF11:AL11" si="27">+AF9+AF10</f>
        <v>41765.951660000021</v>
      </c>
      <c r="AG11" s="5">
        <f t="shared" si="27"/>
        <v>46990.016929276026</v>
      </c>
      <c r="AH11" s="5">
        <f t="shared" si="27"/>
        <v>52800.0213529178</v>
      </c>
      <c r="AI11" s="5">
        <f t="shared" si="27"/>
        <v>59259.247642409406</v>
      </c>
      <c r="AJ11" s="5">
        <f t="shared" si="27"/>
        <v>66437.667520499788</v>
      </c>
      <c r="AK11" s="5">
        <f t="shared" si="27"/>
        <v>74412.638809173659</v>
      </c>
      <c r="AL11" s="5">
        <f t="shared" si="27"/>
        <v>83269.674448142701</v>
      </c>
    </row>
    <row r="12" spans="1:68" ht="13.5" customHeight="1" x14ac:dyDescent="0.2">
      <c r="A12" s="2" t="s">
        <v>34</v>
      </c>
      <c r="B12" s="5">
        <v>187</v>
      </c>
      <c r="C12" s="5">
        <v>-181</v>
      </c>
      <c r="D12" s="5">
        <v>-67</v>
      </c>
      <c r="E12" s="5">
        <v>-125</v>
      </c>
      <c r="F12" s="5">
        <v>166</v>
      </c>
      <c r="G12" s="5">
        <v>793</v>
      </c>
      <c r="H12" s="5">
        <v>1279</v>
      </c>
      <c r="I12" s="5">
        <v>1821</v>
      </c>
      <c r="J12" s="5">
        <v>2398</v>
      </c>
      <c r="K12" s="5">
        <v>2615</v>
      </c>
      <c r="L12" s="5">
        <v>3007</v>
      </c>
      <c r="M12" s="5">
        <v>3126</v>
      </c>
      <c r="N12" s="5">
        <v>3135</v>
      </c>
      <c r="O12" s="5">
        <v>4784</v>
      </c>
      <c r="P12" s="5">
        <v>6026</v>
      </c>
      <c r="Q12" s="5">
        <v>7437</v>
      </c>
      <c r="R12" s="5">
        <v>11582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f>SUM(B12:E12)</f>
        <v>-186</v>
      </c>
      <c r="AD12" s="5">
        <f>SUM(F12:I12)</f>
        <v>4059</v>
      </c>
      <c r="AE12" s="5">
        <f t="shared" ref="AE12" si="28">+AE11*0.14</f>
        <v>5189.8840000000027</v>
      </c>
      <c r="AF12" s="5">
        <f t="shared" ref="AF12:AL12" si="29">+AF11*0.14</f>
        <v>5847.2332324000035</v>
      </c>
      <c r="AG12" s="5">
        <f t="shared" si="29"/>
        <v>6578.6023700986443</v>
      </c>
      <c r="AH12" s="5">
        <f t="shared" si="29"/>
        <v>7392.0029894084928</v>
      </c>
      <c r="AI12" s="5">
        <f t="shared" si="29"/>
        <v>8296.2946699373169</v>
      </c>
      <c r="AJ12" s="5">
        <f t="shared" si="29"/>
        <v>9301.2734528699712</v>
      </c>
      <c r="AK12" s="5">
        <f t="shared" si="29"/>
        <v>10417.769433284313</v>
      </c>
      <c r="AL12" s="5">
        <f t="shared" si="29"/>
        <v>11657.754422739979</v>
      </c>
    </row>
    <row r="13" spans="1:68" ht="13.5" customHeight="1" x14ac:dyDescent="0.25">
      <c r="A13" s="3" t="s">
        <v>35</v>
      </c>
      <c r="B13" s="4">
        <f t="shared" ref="B13:M13" si="30">+B11-B12</f>
        <v>1618</v>
      </c>
      <c r="C13" s="4">
        <f t="shared" si="30"/>
        <v>656</v>
      </c>
      <c r="D13" s="4">
        <f t="shared" si="30"/>
        <v>680</v>
      </c>
      <c r="E13" s="4">
        <f t="shared" si="30"/>
        <v>1414</v>
      </c>
      <c r="F13" s="4">
        <f t="shared" si="30"/>
        <v>2043</v>
      </c>
      <c r="G13" s="4">
        <f t="shared" si="30"/>
        <v>6188</v>
      </c>
      <c r="H13" s="4">
        <f t="shared" si="30"/>
        <v>9243</v>
      </c>
      <c r="I13" s="4">
        <f t="shared" si="30"/>
        <v>12285</v>
      </c>
      <c r="J13" s="4">
        <f t="shared" si="30"/>
        <v>14881</v>
      </c>
      <c r="K13" s="4">
        <f t="shared" si="30"/>
        <v>16599</v>
      </c>
      <c r="L13" s="4">
        <f>+L11-L12</f>
        <v>19309</v>
      </c>
      <c r="M13" s="4">
        <f>+M11-M12</f>
        <v>22090</v>
      </c>
      <c r="N13" s="4">
        <f>+N11-N12</f>
        <v>18775</v>
      </c>
      <c r="O13" s="4">
        <f t="shared" ref="O13:R13" si="31">+O11-O12</f>
        <v>26422</v>
      </c>
      <c r="P13" s="4">
        <f t="shared" si="31"/>
        <v>31910</v>
      </c>
      <c r="Q13" s="4">
        <f t="shared" si="31"/>
        <v>42960</v>
      </c>
      <c r="R13" s="4">
        <f t="shared" ref="R13" si="32">+R11-R12</f>
        <v>58321</v>
      </c>
      <c r="S13" s="4"/>
      <c r="T13" s="4"/>
      <c r="U13" s="4"/>
      <c r="V13" s="4"/>
      <c r="W13" s="4"/>
      <c r="X13" s="4"/>
      <c r="Y13" s="4"/>
      <c r="Z13" s="4"/>
      <c r="AA13" s="4" t="s">
        <v>4</v>
      </c>
      <c r="AB13" s="4"/>
      <c r="AC13" s="4">
        <f t="shared" ref="AC13:AE13" si="33">+AC11-AC12</f>
        <v>4368</v>
      </c>
      <c r="AD13" s="4">
        <f t="shared" si="33"/>
        <v>29759</v>
      </c>
      <c r="AE13" s="4">
        <f t="shared" si="33"/>
        <v>31880.716000000011</v>
      </c>
      <c r="AF13" s="4">
        <f t="shared" ref="AF13:AL13" si="34">+AF11-AF12</f>
        <v>35918.718427600019</v>
      </c>
      <c r="AG13" s="4">
        <f t="shared" si="34"/>
        <v>40411.414559177385</v>
      </c>
      <c r="AH13" s="4">
        <f t="shared" si="34"/>
        <v>45408.018363509305</v>
      </c>
      <c r="AI13" s="4">
        <f t="shared" si="34"/>
        <v>50962.952972472092</v>
      </c>
      <c r="AJ13" s="4">
        <f t="shared" si="34"/>
        <v>57136.394067629815</v>
      </c>
      <c r="AK13" s="4">
        <f t="shared" si="34"/>
        <v>63994.86937588935</v>
      </c>
      <c r="AL13" s="4">
        <f t="shared" si="34"/>
        <v>71611.920025402724</v>
      </c>
      <c r="AM13" s="4">
        <f>+AL13*0.99</f>
        <v>70895.80082514869</v>
      </c>
      <c r="AN13" s="4">
        <f t="shared" ref="AN13:BP13" si="35">+AM13*0.99</f>
        <v>70186.842816897202</v>
      </c>
      <c r="AO13" s="4">
        <f t="shared" si="35"/>
        <v>69484.974388728224</v>
      </c>
      <c r="AP13" s="4">
        <f t="shared" si="35"/>
        <v>68790.124644840937</v>
      </c>
      <c r="AQ13" s="4">
        <f t="shared" si="35"/>
        <v>68102.223398392525</v>
      </c>
      <c r="AR13" s="4">
        <f t="shared" si="35"/>
        <v>67421.201164408601</v>
      </c>
      <c r="AS13" s="4">
        <f t="shared" si="35"/>
        <v>66746.989152764509</v>
      </c>
      <c r="AT13" s="4">
        <f t="shared" si="35"/>
        <v>66079.51926123687</v>
      </c>
      <c r="AU13" s="4">
        <f t="shared" si="35"/>
        <v>65418.724068624499</v>
      </c>
      <c r="AV13" s="4">
        <f t="shared" si="35"/>
        <v>64764.536827938253</v>
      </c>
      <c r="AW13" s="4">
        <f t="shared" si="35"/>
        <v>64116.891459658873</v>
      </c>
      <c r="AX13" s="4">
        <f t="shared" si="35"/>
        <v>63475.722545062286</v>
      </c>
      <c r="AY13" s="4">
        <f t="shared" si="35"/>
        <v>62840.965319611663</v>
      </c>
      <c r="AZ13" s="4">
        <f t="shared" si="35"/>
        <v>62212.555666415545</v>
      </c>
      <c r="BA13" s="4">
        <f t="shared" si="35"/>
        <v>61590.430109751389</v>
      </c>
      <c r="BB13" s="4">
        <f t="shared" si="35"/>
        <v>60974.525808653874</v>
      </c>
      <c r="BC13" s="4">
        <f t="shared" si="35"/>
        <v>60364.780550567331</v>
      </c>
      <c r="BD13" s="4">
        <f t="shared" si="35"/>
        <v>59761.132745061659</v>
      </c>
      <c r="BE13" s="4">
        <f t="shared" si="35"/>
        <v>59163.521417611038</v>
      </c>
      <c r="BF13" s="4">
        <f t="shared" si="35"/>
        <v>58571.886203434929</v>
      </c>
      <c r="BG13" s="4">
        <f t="shared" si="35"/>
        <v>57986.167341400578</v>
      </c>
      <c r="BH13" s="4">
        <f t="shared" si="35"/>
        <v>57406.305667986569</v>
      </c>
      <c r="BI13" s="4">
        <f t="shared" si="35"/>
        <v>56832.242611306705</v>
      </c>
      <c r="BJ13" s="4">
        <f t="shared" si="35"/>
        <v>56263.920185193638</v>
      </c>
      <c r="BK13" s="4">
        <f t="shared" si="35"/>
        <v>55701.280983341698</v>
      </c>
      <c r="BL13" s="4">
        <f t="shared" si="35"/>
        <v>55144.268173508281</v>
      </c>
      <c r="BM13" s="4">
        <f t="shared" si="35"/>
        <v>54592.825491773197</v>
      </c>
      <c r="BN13" s="4">
        <f t="shared" si="35"/>
        <v>54046.897236855468</v>
      </c>
      <c r="BO13" s="4">
        <f t="shared" si="35"/>
        <v>53506.428264486909</v>
      </c>
      <c r="BP13" s="4">
        <f t="shared" si="35"/>
        <v>52971.363981842042</v>
      </c>
    </row>
    <row r="14" spans="1:68" ht="13.5" customHeight="1" x14ac:dyDescent="0.2">
      <c r="A14" s="2" t="s">
        <v>36</v>
      </c>
      <c r="B14" s="12">
        <f t="shared" ref="B14:K14" si="36">+B13/B15</f>
        <v>0.64565043894652829</v>
      </c>
      <c r="C14" s="12">
        <f t="shared" si="36"/>
        <v>0.26292585170340682</v>
      </c>
      <c r="D14" s="12">
        <f t="shared" si="36"/>
        <v>0.27386226339105918</v>
      </c>
      <c r="E14" s="12">
        <f t="shared" si="36"/>
        <v>0.57386363636363635</v>
      </c>
      <c r="F14" s="12">
        <f t="shared" si="36"/>
        <v>0.82712550607287449</v>
      </c>
      <c r="G14" s="12">
        <f t="shared" si="36"/>
        <v>2.5022240194096241</v>
      </c>
      <c r="H14" s="12">
        <f t="shared" si="36"/>
        <v>3.7451377633711509</v>
      </c>
      <c r="I14" s="12">
        <f t="shared" si="36"/>
        <v>4.9817518248175183</v>
      </c>
      <c r="J14" s="12">
        <f t="shared" si="36"/>
        <v>6.0442729488220959</v>
      </c>
      <c r="K14" s="12">
        <f t="shared" si="36"/>
        <v>0.67536007811864274</v>
      </c>
      <c r="L14" s="12">
        <f>+L13/L15</f>
        <v>0.78706232421636169</v>
      </c>
      <c r="M14" s="12">
        <f>+M13/M15</f>
        <v>0.90203764955694399</v>
      </c>
      <c r="N14" s="12">
        <f>+N13/N15</f>
        <v>0.76817642485986659</v>
      </c>
      <c r="O14" s="12">
        <f t="shared" ref="O14:R14" si="37">+O13/O15</f>
        <v>1.0843798735943528</v>
      </c>
      <c r="P14" s="12">
        <f t="shared" si="37"/>
        <v>1.3117112673161508</v>
      </c>
      <c r="Q14" s="12">
        <f t="shared" si="37"/>
        <v>1.7676102699144174</v>
      </c>
      <c r="R14" s="12">
        <f t="shared" ref="R14" si="38">+R13/R15</f>
        <v>2.4014246891213045</v>
      </c>
      <c r="S14" s="12"/>
      <c r="T14" s="12"/>
      <c r="U14" s="12"/>
      <c r="V14" s="12"/>
      <c r="W14" s="12"/>
      <c r="X14" s="12"/>
      <c r="Y14" s="5"/>
      <c r="Z14" s="5"/>
      <c r="AA14" s="5"/>
      <c r="AB14" s="5"/>
      <c r="AC14" s="12">
        <f t="shared" ref="AC14:AL14" si="39">+AC13/AC15</f>
        <v>1.7563329312424607</v>
      </c>
      <c r="AD14" s="12">
        <f t="shared" si="39"/>
        <v>12.051837602510885</v>
      </c>
      <c r="AE14" s="12">
        <f t="shared" si="39"/>
        <v>12.911092841956064</v>
      </c>
      <c r="AF14" s="12">
        <f t="shared" si="39"/>
        <v>14.546408191799136</v>
      </c>
      <c r="AG14" s="12">
        <f t="shared" si="39"/>
        <v>16.365865975165491</v>
      </c>
      <c r="AH14" s="12">
        <f t="shared" si="39"/>
        <v>18.389396927613365</v>
      </c>
      <c r="AI14" s="12">
        <f t="shared" si="39"/>
        <v>20.639041398186531</v>
      </c>
      <c r="AJ14" s="12">
        <f t="shared" si="39"/>
        <v>23.139169410804826</v>
      </c>
      <c r="AK14" s="12">
        <f t="shared" si="39"/>
        <v>25.916723448775681</v>
      </c>
      <c r="AL14" s="12">
        <f t="shared" si="39"/>
        <v>29.001486291547121</v>
      </c>
    </row>
    <row r="15" spans="1:68" ht="13.5" customHeight="1" x14ac:dyDescent="0.2">
      <c r="A15" s="2" t="s">
        <v>37</v>
      </c>
      <c r="B15" s="5">
        <v>2506</v>
      </c>
      <c r="C15" s="5">
        <v>2495</v>
      </c>
      <c r="D15" s="5">
        <v>2483</v>
      </c>
      <c r="E15" s="5">
        <v>2464</v>
      </c>
      <c r="F15" s="5">
        <v>2470</v>
      </c>
      <c r="G15" s="5">
        <v>2473</v>
      </c>
      <c r="H15" s="5">
        <v>2468</v>
      </c>
      <c r="I15" s="5">
        <v>2466</v>
      </c>
      <c r="J15" s="5">
        <v>2462</v>
      </c>
      <c r="K15" s="5">
        <v>24578</v>
      </c>
      <c r="L15" s="5">
        <v>24533</v>
      </c>
      <c r="M15" s="5">
        <v>24489</v>
      </c>
      <c r="N15" s="5">
        <v>24441</v>
      </c>
      <c r="O15" s="5">
        <v>24366</v>
      </c>
      <c r="P15" s="5">
        <v>24327</v>
      </c>
      <c r="Q15" s="5">
        <v>24304</v>
      </c>
      <c r="R15" s="5">
        <v>24286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f>AVERAGE(B15:E15)</f>
        <v>2487</v>
      </c>
      <c r="AD15" s="5">
        <f>AVERAGE(F15:I15)</f>
        <v>2469.25</v>
      </c>
      <c r="AE15" s="5">
        <f t="shared" ref="AE15:AL15" si="40">+AD15</f>
        <v>2469.25</v>
      </c>
      <c r="AF15" s="5">
        <f t="shared" si="40"/>
        <v>2469.25</v>
      </c>
      <c r="AG15" s="5">
        <f t="shared" si="40"/>
        <v>2469.25</v>
      </c>
      <c r="AH15" s="5">
        <f t="shared" si="40"/>
        <v>2469.25</v>
      </c>
      <c r="AI15" s="5">
        <f t="shared" si="40"/>
        <v>2469.25</v>
      </c>
      <c r="AJ15" s="5">
        <f t="shared" si="40"/>
        <v>2469.25</v>
      </c>
      <c r="AK15" s="5">
        <f t="shared" si="40"/>
        <v>2469.25</v>
      </c>
      <c r="AL15" s="5">
        <f t="shared" si="40"/>
        <v>2469.25</v>
      </c>
    </row>
    <row r="16" spans="1:68" ht="13.5" customHeight="1" x14ac:dyDescent="0.2">
      <c r="AE16" t="s">
        <v>4</v>
      </c>
    </row>
    <row r="17" spans="1:38" ht="13.5" customHeight="1" x14ac:dyDescent="0.2">
      <c r="A17" s="2" t="s">
        <v>38</v>
      </c>
      <c r="B17" s="8">
        <f t="shared" ref="B17:K17" si="41">+B4/B2</f>
        <v>0.65528474903474898</v>
      </c>
      <c r="C17" s="8">
        <f t="shared" si="41"/>
        <v>0.43481503579952269</v>
      </c>
      <c r="D17" s="8">
        <f t="shared" si="41"/>
        <v>0.53566009104704093</v>
      </c>
      <c r="E17" s="8">
        <f t="shared" si="41"/>
        <v>0.63344901669145592</v>
      </c>
      <c r="F17" s="8">
        <f t="shared" si="41"/>
        <v>0.64627363737486099</v>
      </c>
      <c r="G17" s="8">
        <f t="shared" si="41"/>
        <v>0.7005256533649219</v>
      </c>
      <c r="H17" s="8">
        <f t="shared" si="41"/>
        <v>0.73951434878587197</v>
      </c>
      <c r="I17" s="8">
        <f t="shared" si="41"/>
        <v>0.75967063294575399</v>
      </c>
      <c r="J17" s="8">
        <f t="shared" si="41"/>
        <v>0.78352019659038552</v>
      </c>
      <c r="K17" s="8">
        <f t="shared" si="41"/>
        <v>0.75146471371504664</v>
      </c>
      <c r="L17" s="8">
        <f t="shared" ref="L17:M17" si="42">+L4/L2</f>
        <v>0.74556752750698363</v>
      </c>
      <c r="M17" s="8">
        <f>+M4/M2</f>
        <v>0.73026365970862683</v>
      </c>
      <c r="N17" s="8">
        <f>+N4/N2</f>
        <v>0.60523807362353044</v>
      </c>
      <c r="O17" s="8">
        <f t="shared" ref="O17:R17" si="43">+O4/O2</f>
        <v>0.72423678411740799</v>
      </c>
      <c r="P17" s="8">
        <f t="shared" si="43"/>
        <v>0.7341157071185489</v>
      </c>
      <c r="Q17" s="8">
        <f t="shared" si="43"/>
        <v>0.74996697344665109</v>
      </c>
      <c r="R17" s="8">
        <f t="shared" ref="R17" si="44">+R4/R2</f>
        <v>0.74933529375727503</v>
      </c>
      <c r="S17" s="8"/>
      <c r="T17" s="8"/>
      <c r="U17" s="8"/>
      <c r="V17" s="8"/>
      <c r="W17" s="8"/>
      <c r="X17" s="8"/>
      <c r="AC17" s="8">
        <f t="shared" ref="AC17:AL17" si="45">+AC4/AC2</f>
        <v>0.56928894490991322</v>
      </c>
      <c r="AD17" s="8">
        <f t="shared" si="45"/>
        <v>0.72717573290436954</v>
      </c>
      <c r="AE17" s="8">
        <f t="shared" si="45"/>
        <v>0.73213617412429011</v>
      </c>
      <c r="AF17" s="8">
        <f t="shared" si="45"/>
        <v>0.73700642550384854</v>
      </c>
      <c r="AG17" s="8">
        <f t="shared" si="45"/>
        <v>0.74178812685832396</v>
      </c>
      <c r="AH17" s="8">
        <f t="shared" si="45"/>
        <v>0.74648288818817266</v>
      </c>
      <c r="AI17" s="8">
        <f t="shared" si="45"/>
        <v>0.7510922902211149</v>
      </c>
      <c r="AJ17" s="8">
        <f t="shared" si="45"/>
        <v>0.75561788494436744</v>
      </c>
      <c r="AK17" s="8">
        <f t="shared" si="45"/>
        <v>0.76006119612719714</v>
      </c>
      <c r="AL17" s="8">
        <f t="shared" si="45"/>
        <v>0.76442371983397528</v>
      </c>
    </row>
    <row r="18" spans="1:38" ht="13.5" customHeight="1" x14ac:dyDescent="0.2">
      <c r="A18" s="2" t="s">
        <v>39</v>
      </c>
      <c r="B18" s="8">
        <f t="shared" ref="B18:K18" si="46">+B5/B2</f>
        <v>0.19522200772200773</v>
      </c>
      <c r="C18" s="8">
        <f t="shared" si="46"/>
        <v>0.27207637231503579</v>
      </c>
      <c r="D18" s="8">
        <f t="shared" si="46"/>
        <v>0.32793795312763446</v>
      </c>
      <c r="E18" s="8">
        <f t="shared" si="46"/>
        <v>0.3224260452817716</v>
      </c>
      <c r="F18" s="8">
        <f t="shared" si="46"/>
        <v>0.26070634037819801</v>
      </c>
      <c r="G18" s="8">
        <f t="shared" si="46"/>
        <v>0.15103279780854373</v>
      </c>
      <c r="H18" s="8">
        <f t="shared" si="46"/>
        <v>0.12660044150110375</v>
      </c>
      <c r="I18" s="8">
        <f t="shared" si="46"/>
        <v>0.11152332262588789</v>
      </c>
      <c r="J18" s="8">
        <f t="shared" si="46"/>
        <v>0.10443864229765012</v>
      </c>
      <c r="K18" s="8">
        <f t="shared" si="46"/>
        <v>0.10286284953395473</v>
      </c>
      <c r="L18" s="8">
        <f t="shared" ref="L18:M18" si="47">+L5/L2</f>
        <v>9.6630750812382413E-2</v>
      </c>
      <c r="M18" s="8">
        <f>+M5/M2</f>
        <v>9.4429330553507412E-2</v>
      </c>
      <c r="N18" s="8">
        <f>+N5/N2</f>
        <v>9.0531523761971766E-2</v>
      </c>
      <c r="O18" s="8">
        <f t="shared" ref="O18:R18" si="48">+O5/O2</f>
        <v>9.1799841687525405E-2</v>
      </c>
      <c r="P18" s="8">
        <f t="shared" si="48"/>
        <v>8.2535171736308463E-2</v>
      </c>
      <c r="Q18" s="8">
        <f t="shared" si="48"/>
        <v>8.0907716470709115E-2</v>
      </c>
      <c r="R18" s="8">
        <f t="shared" ref="R18" si="49">+R5/R2</f>
        <v>7.7448998345892306E-2</v>
      </c>
      <c r="S18" s="8"/>
      <c r="T18" s="8"/>
      <c r="U18" s="8"/>
      <c r="V18" s="8"/>
      <c r="W18" s="8"/>
      <c r="X18" s="8"/>
      <c r="AC18" s="8">
        <f t="shared" ref="AC18:AL18" si="50">+AC5/AC2</f>
        <v>0.27203974197375252</v>
      </c>
      <c r="AD18" s="8">
        <f t="shared" si="50"/>
        <v>0.14237877942286858</v>
      </c>
      <c r="AE18" s="8">
        <f t="shared" si="50"/>
        <v>0.13979007434245277</v>
      </c>
      <c r="AF18" s="8">
        <f t="shared" si="50"/>
        <v>0.13724843662713543</v>
      </c>
      <c r="AG18" s="8">
        <f t="shared" si="50"/>
        <v>0.13475301050664207</v>
      </c>
      <c r="AH18" s="8">
        <f t="shared" si="50"/>
        <v>0.13230295577015766</v>
      </c>
      <c r="AI18" s="8">
        <f t="shared" si="50"/>
        <v>0.12989744748342752</v>
      </c>
      <c r="AJ18" s="8">
        <f t="shared" si="50"/>
        <v>0.12753567571100158</v>
      </c>
      <c r="AK18" s="8">
        <f t="shared" si="50"/>
        <v>0.12521684524352883</v>
      </c>
      <c r="AL18" s="8">
        <f t="shared" si="50"/>
        <v>0.1229401753300101</v>
      </c>
    </row>
    <row r="19" spans="1:38" ht="13.5" customHeight="1" x14ac:dyDescent="0.2">
      <c r="A19" s="2" t="s">
        <v>40</v>
      </c>
      <c r="B19" s="8">
        <f t="shared" ref="B19:K19" si="51">+B6/B2</f>
        <v>7.1428571428571425E-2</v>
      </c>
      <c r="C19" s="8">
        <f t="shared" si="51"/>
        <v>8.83054892601432E-2</v>
      </c>
      <c r="D19" s="8">
        <f t="shared" si="51"/>
        <v>0.1063901534311246</v>
      </c>
      <c r="E19" s="8">
        <f t="shared" si="51"/>
        <v>0.10328871260948604</v>
      </c>
      <c r="F19" s="8">
        <f t="shared" si="51"/>
        <v>8.8014460511679646E-2</v>
      </c>
      <c r="G19" s="8">
        <f t="shared" si="51"/>
        <v>4.6050196194565782E-2</v>
      </c>
      <c r="H19" s="8">
        <f t="shared" si="51"/>
        <v>3.8024282560706404E-2</v>
      </c>
      <c r="I19" s="8">
        <f t="shared" si="51"/>
        <v>3.2167579061665834E-2</v>
      </c>
      <c r="J19" s="8">
        <f t="shared" si="51"/>
        <v>2.9834126862233145E-2</v>
      </c>
      <c r="K19" s="8">
        <f t="shared" si="51"/>
        <v>2.8029294274300932E-2</v>
      </c>
      <c r="L19" s="8">
        <f t="shared" ref="L19:M19" si="52">+L6/L2</f>
        <v>2.5568667692833932E-2</v>
      </c>
      <c r="M19" s="8">
        <f>+M6/M2</f>
        <v>2.478960616307747E-2</v>
      </c>
      <c r="N19" s="8">
        <f>+N6/N2</f>
        <v>2.3625800009078116E-2</v>
      </c>
      <c r="O19" s="8">
        <f t="shared" ref="O19:R19" si="53">+O6/O2</f>
        <v>2.4003594121044861E-2</v>
      </c>
      <c r="P19" s="8">
        <f t="shared" si="53"/>
        <v>1.9892642879696873E-2</v>
      </c>
      <c r="Q19" s="8">
        <f t="shared" si="53"/>
        <v>1.88177961747912E-2</v>
      </c>
      <c r="R19" s="8">
        <f t="shared" ref="R19" si="54">+R6/R2</f>
        <v>1.5928444526128776E-2</v>
      </c>
      <c r="S19" s="8"/>
      <c r="T19" s="8"/>
      <c r="U19" s="8"/>
      <c r="V19" s="8"/>
      <c r="W19" s="8"/>
      <c r="X19" s="8"/>
      <c r="AC19" s="8">
        <f t="shared" ref="AC19:AL19" si="55">+AC6/AC2</f>
        <v>9.0457477570994288E-2</v>
      </c>
      <c r="AD19" s="8">
        <f t="shared" si="55"/>
        <v>4.3580315813663374E-2</v>
      </c>
      <c r="AE19" s="8">
        <f t="shared" si="55"/>
        <v>4.1599392367587758E-2</v>
      </c>
      <c r="AF19" s="8">
        <f t="shared" si="55"/>
        <v>3.9708510896333767E-2</v>
      </c>
      <c r="AG19" s="8">
        <f t="shared" si="55"/>
        <v>3.7903578582864049E-2</v>
      </c>
      <c r="AH19" s="8">
        <f t="shared" si="55"/>
        <v>3.6180688647279316E-2</v>
      </c>
      <c r="AI19" s="8">
        <f t="shared" si="55"/>
        <v>3.4536111890584795E-2</v>
      </c>
      <c r="AJ19" s="8">
        <f t="shared" si="55"/>
        <v>3.2966288622830943E-2</v>
      </c>
      <c r="AK19" s="8">
        <f t="shared" si="55"/>
        <v>3.1467820958156804E-2</v>
      </c>
      <c r="AL19" s="8">
        <f t="shared" si="55"/>
        <v>3.0037465460058772E-2</v>
      </c>
    </row>
    <row r="20" spans="1:38" ht="13.5" customHeight="1" x14ac:dyDescent="0.2">
      <c r="A20" s="2" t="s">
        <v>41</v>
      </c>
      <c r="B20" s="8">
        <f t="shared" ref="B20:K20" si="56">+B9/B2</f>
        <v>0.22538610038610038</v>
      </c>
      <c r="C20" s="8">
        <f t="shared" si="56"/>
        <v>7.4433174224343673E-2</v>
      </c>
      <c r="D20" s="8">
        <f t="shared" si="56"/>
        <v>0.10133198448828191</v>
      </c>
      <c r="E20" s="8">
        <f t="shared" si="56"/>
        <v>0.2077342588001983</v>
      </c>
      <c r="F20" s="8">
        <f t="shared" si="56"/>
        <v>0.29755283648498332</v>
      </c>
      <c r="G20" s="8">
        <f t="shared" si="56"/>
        <v>0.50344265936181243</v>
      </c>
      <c r="H20" s="8">
        <f t="shared" si="56"/>
        <v>0.5748896247240618</v>
      </c>
      <c r="I20" s="8">
        <f t="shared" si="56"/>
        <v>0.61597973125820027</v>
      </c>
      <c r="J20" s="8">
        <f t="shared" si="56"/>
        <v>0.64924742743050223</v>
      </c>
      <c r="K20" s="8">
        <f t="shared" si="56"/>
        <v>0.62057256990679099</v>
      </c>
      <c r="L20" s="8">
        <f t="shared" ref="L20:M20" si="57">+L9/L2</f>
        <v>0.62336810900176731</v>
      </c>
      <c r="M20" s="8">
        <f>+M9/M2</f>
        <v>0.61104472299204193</v>
      </c>
      <c r="N20" s="8">
        <f>+N9/N2</f>
        <v>0.49108074985248057</v>
      </c>
      <c r="O20" s="8">
        <f t="shared" ref="O20:R20" si="58">+O9/O2</f>
        <v>0.60843334830883766</v>
      </c>
      <c r="P20" s="8">
        <f t="shared" si="58"/>
        <v>0.63168789250254365</v>
      </c>
      <c r="Q20" s="8">
        <f t="shared" si="58"/>
        <v>0.65024146080115075</v>
      </c>
      <c r="R20" s="8">
        <f t="shared" ref="R20" si="59">+R9/R2</f>
        <v>0.65595785088525393</v>
      </c>
      <c r="S20" s="8"/>
      <c r="T20" s="8"/>
      <c r="U20" s="8"/>
      <c r="V20" s="8"/>
      <c r="W20" s="8"/>
      <c r="X20" s="8"/>
      <c r="AC20" s="8">
        <f t="shared" ref="AC20:AL20" si="60">+AC9/AC2</f>
        <v>0.15663231259731594</v>
      </c>
      <c r="AD20" s="8">
        <f t="shared" si="60"/>
        <v>0.54121663766783756</v>
      </c>
      <c r="AE20" s="8">
        <f t="shared" si="60"/>
        <v>0.55074670741424958</v>
      </c>
      <c r="AF20" s="8">
        <f t="shared" si="60"/>
        <v>0.5600494779803793</v>
      </c>
      <c r="AG20" s="8">
        <f t="shared" si="60"/>
        <v>0.56913153776881786</v>
      </c>
      <c r="AH20" s="8">
        <f t="shared" si="60"/>
        <v>0.57799924377073564</v>
      </c>
      <c r="AI20" s="8">
        <f t="shared" si="60"/>
        <v>0.58665873084710263</v>
      </c>
      <c r="AJ20" s="8">
        <f t="shared" si="60"/>
        <v>0.59511592061053498</v>
      </c>
      <c r="AK20" s="8">
        <f t="shared" si="60"/>
        <v>0.60337652992551161</v>
      </c>
      <c r="AL20" s="8">
        <f t="shared" si="60"/>
        <v>0.61144607904390647</v>
      </c>
    </row>
    <row r="21" spans="1:38" ht="13.5" customHeight="1" x14ac:dyDescent="0.2">
      <c r="A21" s="2" t="s">
        <v>42</v>
      </c>
      <c r="B21" s="8">
        <f t="shared" ref="B21:K21" si="61">+B12/B11</f>
        <v>0.10360110803324099</v>
      </c>
      <c r="C21" s="8">
        <f t="shared" si="61"/>
        <v>-0.38105263157894737</v>
      </c>
      <c r="D21" s="8">
        <f t="shared" si="61"/>
        <v>-0.10929853181076672</v>
      </c>
      <c r="E21" s="8">
        <f t="shared" si="61"/>
        <v>-9.6974398758727695E-2</v>
      </c>
      <c r="F21" s="8">
        <f t="shared" si="61"/>
        <v>7.5147125396106837E-2</v>
      </c>
      <c r="G21" s="8">
        <f t="shared" si="61"/>
        <v>0.11359404096834265</v>
      </c>
      <c r="H21" s="8">
        <f t="shared" si="61"/>
        <v>0.12155483748336818</v>
      </c>
      <c r="I21" s="8">
        <f t="shared" si="61"/>
        <v>0.12909400255210549</v>
      </c>
      <c r="J21" s="8">
        <f t="shared" si="61"/>
        <v>0.13878117946640431</v>
      </c>
      <c r="K21" s="8">
        <f t="shared" si="61"/>
        <v>0.1360986780472572</v>
      </c>
      <c r="L21" s="8">
        <f t="shared" ref="L21:M21" si="62">+L12/L11</f>
        <v>0.13474637031726117</v>
      </c>
      <c r="M21" s="8">
        <f>+M12/M11</f>
        <v>0.12396890862944163</v>
      </c>
      <c r="N21" s="8">
        <f>+N12/N11</f>
        <v>0.1430853491556367</v>
      </c>
      <c r="O21" s="8">
        <f t="shared" ref="O21:R21" si="63">+O12/O11</f>
        <v>0.15330385182336731</v>
      </c>
      <c r="P21" s="8">
        <f t="shared" si="63"/>
        <v>0.15884647827920709</v>
      </c>
      <c r="Q21" s="8">
        <f t="shared" si="63"/>
        <v>0.14756830763735937</v>
      </c>
      <c r="R21" s="8">
        <f t="shared" ref="R21" si="64">+R12/R11</f>
        <v>0.16568673733602277</v>
      </c>
      <c r="S21" s="8"/>
      <c r="T21" s="8"/>
      <c r="U21" s="8"/>
      <c r="V21" s="8"/>
      <c r="W21" s="8"/>
      <c r="X21" s="8"/>
      <c r="AC21" s="8">
        <f t="shared" ref="AC21:AL21" si="65">+AC12/AC11</f>
        <v>-4.4476327116212341E-2</v>
      </c>
      <c r="AD21" s="8">
        <f t="shared" si="65"/>
        <v>0.12002483884321959</v>
      </c>
      <c r="AE21" s="8">
        <f t="shared" si="65"/>
        <v>0.14000000000000001</v>
      </c>
      <c r="AF21" s="8">
        <f t="shared" si="65"/>
        <v>0.14000000000000001</v>
      </c>
      <c r="AG21" s="8">
        <f t="shared" si="65"/>
        <v>0.14000000000000001</v>
      </c>
      <c r="AH21" s="8">
        <f t="shared" si="65"/>
        <v>0.14000000000000001</v>
      </c>
      <c r="AI21" s="8">
        <f t="shared" si="65"/>
        <v>0.14000000000000001</v>
      </c>
      <c r="AJ21" s="8">
        <f t="shared" si="65"/>
        <v>0.14000000000000001</v>
      </c>
      <c r="AK21" s="8">
        <f t="shared" si="65"/>
        <v>0.14000000000000001</v>
      </c>
      <c r="AL21" s="8">
        <f t="shared" si="65"/>
        <v>0.14000000000000001</v>
      </c>
    </row>
    <row r="22" spans="1:38" ht="13.5" customHeight="1" x14ac:dyDescent="0.2">
      <c r="A22" s="2" t="s">
        <v>43</v>
      </c>
      <c r="B22" s="8">
        <f t="shared" ref="B22:K22" si="66">+B13/B4</f>
        <v>0.29791935186890073</v>
      </c>
      <c r="C22" s="8">
        <f t="shared" si="66"/>
        <v>0.22504288164665523</v>
      </c>
      <c r="D22" s="8">
        <f t="shared" si="66"/>
        <v>0.21403840100723953</v>
      </c>
      <c r="E22" s="8">
        <f t="shared" si="66"/>
        <v>0.36890164362118444</v>
      </c>
      <c r="F22" s="8">
        <f t="shared" si="66"/>
        <v>0.43954388984509468</v>
      </c>
      <c r="G22" s="8">
        <f t="shared" si="66"/>
        <v>0.65398435848657788</v>
      </c>
      <c r="H22" s="8">
        <f t="shared" si="66"/>
        <v>0.68977611940298511</v>
      </c>
      <c r="I22" s="8">
        <f t="shared" si="66"/>
        <v>0.7316419510452028</v>
      </c>
      <c r="J22" s="8">
        <f t="shared" si="66"/>
        <v>0.72924630010781144</v>
      </c>
      <c r="K22" s="8">
        <f t="shared" si="66"/>
        <v>0.73531496411801189</v>
      </c>
      <c r="L22" s="8">
        <f t="shared" ref="L22:M22" si="67">+L13/L4</f>
        <v>0.73822449915889277</v>
      </c>
      <c r="M22" s="8">
        <f>+M13/M4</f>
        <v>0.7690968595501706</v>
      </c>
      <c r="N22" s="8">
        <f>+N13/N4</f>
        <v>0.7040272986350683</v>
      </c>
      <c r="O22" s="8">
        <f t="shared" ref="O22:R22" si="68">+O13/O4</f>
        <v>0.78049212772870946</v>
      </c>
      <c r="P22" s="8">
        <f t="shared" si="68"/>
        <v>0.76250328562211767</v>
      </c>
      <c r="Q22" s="8">
        <f t="shared" si="68"/>
        <v>0.84081968175679644</v>
      </c>
      <c r="R22" s="8">
        <f t="shared" ref="R22" si="69">+R13/R4</f>
        <v>0.95362754876792521</v>
      </c>
      <c r="S22" s="8"/>
      <c r="T22" s="8"/>
      <c r="U22" s="8"/>
      <c r="V22" s="8"/>
      <c r="W22" s="8"/>
      <c r="X22" s="8"/>
      <c r="AC22" s="8">
        <f t="shared" ref="AC22:AL22" si="70">+AC13/AC4</f>
        <v>0.28444907528002084</v>
      </c>
      <c r="AD22" s="8">
        <f t="shared" si="70"/>
        <v>0.67174555879099795</v>
      </c>
      <c r="AE22" s="8">
        <f>+AE10/AE4</f>
        <v>3.3171284897618425E-3</v>
      </c>
      <c r="AF22" s="8">
        <f t="shared" si="70"/>
        <v>0.66113482783456912</v>
      </c>
      <c r="AG22" s="8">
        <f t="shared" si="70"/>
        <v>0.67184945202625812</v>
      </c>
      <c r="AH22" s="8">
        <f t="shared" si="70"/>
        <v>0.68197397187713826</v>
      </c>
      <c r="AI22" s="8">
        <f t="shared" si="70"/>
        <v>0.69155018596378859</v>
      </c>
      <c r="AJ22" s="8">
        <f t="shared" si="70"/>
        <v>0.70061645979595355</v>
      </c>
      <c r="AK22" s="8">
        <f t="shared" si="70"/>
        <v>0.70920803570047297</v>
      </c>
      <c r="AL22" s="8">
        <f t="shared" si="70"/>
        <v>0.71735731265070035</v>
      </c>
    </row>
    <row r="23" spans="1:38" ht="13.5" customHeight="1" x14ac:dyDescent="0.2"/>
    <row r="24" spans="1:38" ht="13.5" customHeight="1" x14ac:dyDescent="0.2">
      <c r="A24" s="2" t="s">
        <v>44</v>
      </c>
      <c r="D24" s="2" t="s">
        <v>4</v>
      </c>
      <c r="F24" s="8">
        <f t="shared" ref="F24:K24" si="71">+F2/B2-1</f>
        <v>-0.13223938223938225</v>
      </c>
      <c r="G24" s="8">
        <f t="shared" si="71"/>
        <v>1.0147673031026252</v>
      </c>
      <c r="H24" s="8">
        <f t="shared" si="71"/>
        <v>2.0551340414769852</v>
      </c>
      <c r="I24" s="8">
        <f t="shared" si="71"/>
        <v>2.6527846636919516</v>
      </c>
      <c r="J24" s="8">
        <f t="shared" si="71"/>
        <v>2.6212458286985538</v>
      </c>
      <c r="K24" s="8">
        <f t="shared" si="71"/>
        <v>1.2240319834160065</v>
      </c>
      <c r="Y24" s="2" t="s">
        <v>4</v>
      </c>
      <c r="Z24" s="2" t="s">
        <v>45</v>
      </c>
      <c r="AA24" s="2"/>
      <c r="AB24" s="2" t="s">
        <v>4</v>
      </c>
      <c r="AD24" s="8">
        <f t="shared" ref="AD24:AL24" si="72">+AD2/AC2-1</f>
        <v>1.2585452658115224</v>
      </c>
      <c r="AE24" s="8">
        <f t="shared" si="72"/>
        <v>0.10000000000000009</v>
      </c>
      <c r="AF24" s="8">
        <f t="shared" si="72"/>
        <v>0.10000000000000009</v>
      </c>
      <c r="AG24" s="8">
        <f t="shared" si="72"/>
        <v>0.10000000000000009</v>
      </c>
      <c r="AH24" s="8">
        <f t="shared" si="72"/>
        <v>0.10000000000000009</v>
      </c>
      <c r="AI24" s="8">
        <f t="shared" si="72"/>
        <v>0.10000000000000009</v>
      </c>
      <c r="AJ24" s="8">
        <f t="shared" si="72"/>
        <v>0.10000000000000009</v>
      </c>
      <c r="AK24" s="8">
        <f t="shared" si="72"/>
        <v>0.10000000000000009</v>
      </c>
      <c r="AL24" s="8">
        <f t="shared" si="72"/>
        <v>0.10000000000000009</v>
      </c>
    </row>
    <row r="25" spans="1:38" ht="13.5" customHeight="1" x14ac:dyDescent="0.2"/>
    <row r="26" spans="1:38" ht="13.5" customHeight="1" x14ac:dyDescent="0.2">
      <c r="A26" s="2" t="s">
        <v>46</v>
      </c>
      <c r="E26" s="8">
        <f t="shared" ref="E26:J26" si="73">+E13/E27</f>
        <v>0.60349978659837811</v>
      </c>
      <c r="F26" s="8">
        <f t="shared" si="73"/>
        <v>0.45653631284916202</v>
      </c>
      <c r="G26" s="8">
        <f t="shared" si="73"/>
        <v>1.0975523235189784</v>
      </c>
      <c r="H26" s="8">
        <f t="shared" si="73"/>
        <v>1.241671144545943</v>
      </c>
      <c r="I26" s="8">
        <f t="shared" si="73"/>
        <v>0.75483870967741939</v>
      </c>
      <c r="J26" s="8">
        <f t="shared" si="73"/>
        <v>0.79314572007248696</v>
      </c>
      <c r="AC26" s="2" t="s">
        <v>4</v>
      </c>
    </row>
    <row r="27" spans="1:38" ht="13.5" customHeight="1" x14ac:dyDescent="0.25">
      <c r="A27" s="3" t="s">
        <v>47</v>
      </c>
      <c r="B27" s="3"/>
      <c r="C27" s="3"/>
      <c r="D27" s="3"/>
      <c r="E27" s="4">
        <f t="shared" ref="E27:J27" si="74">+E29-E40</f>
        <v>2343</v>
      </c>
      <c r="F27" s="4">
        <f t="shared" si="74"/>
        <v>4475</v>
      </c>
      <c r="G27" s="4">
        <f t="shared" si="74"/>
        <v>5638</v>
      </c>
      <c r="H27" s="4">
        <f t="shared" si="74"/>
        <v>7444</v>
      </c>
      <c r="I27" s="4">
        <f t="shared" si="74"/>
        <v>16275</v>
      </c>
      <c r="J27" s="4">
        <f t="shared" si="74"/>
        <v>18762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 t="s">
        <v>4</v>
      </c>
      <c r="AA27" s="3"/>
      <c r="AB27" s="3"/>
      <c r="AC27" s="4">
        <f>+E27</f>
        <v>2343</v>
      </c>
      <c r="AD27" s="4">
        <f>+I27</f>
        <v>16275</v>
      </c>
      <c r="AE27" s="4">
        <f>+AD27+AE13</f>
        <v>48155.716000000015</v>
      </c>
      <c r="AF27" s="4">
        <f t="shared" ref="AF27:AL27" si="75">+AE27+AF13</f>
        <v>84074.434427600034</v>
      </c>
      <c r="AG27" s="4">
        <f t="shared" si="75"/>
        <v>124485.84898677742</v>
      </c>
      <c r="AH27" s="4">
        <f t="shared" si="75"/>
        <v>169893.86735028672</v>
      </c>
      <c r="AI27" s="4">
        <f t="shared" si="75"/>
        <v>220856.82032275881</v>
      </c>
      <c r="AJ27" s="4">
        <f t="shared" si="75"/>
        <v>277993.21439038863</v>
      </c>
      <c r="AK27" s="4">
        <f t="shared" si="75"/>
        <v>341988.083766278</v>
      </c>
      <c r="AL27" s="4">
        <f t="shared" si="75"/>
        <v>413600.00379168073</v>
      </c>
    </row>
    <row r="28" spans="1:38" ht="13.5" customHeight="1" x14ac:dyDescent="0.2">
      <c r="F28" s="2" t="s">
        <v>4</v>
      </c>
      <c r="J28" s="5"/>
      <c r="AC28" s="2" t="s">
        <v>4</v>
      </c>
      <c r="AE28" s="5" t="s">
        <v>4</v>
      </c>
    </row>
    <row r="29" spans="1:38" ht="13.5" customHeight="1" x14ac:dyDescent="0.2">
      <c r="A29" s="2" t="s">
        <v>5</v>
      </c>
      <c r="E29" s="2">
        <f>3389+9907</f>
        <v>13296</v>
      </c>
      <c r="F29" s="2">
        <v>15320</v>
      </c>
      <c r="G29" s="2">
        <v>16023</v>
      </c>
      <c r="H29" s="2">
        <v>18281</v>
      </c>
      <c r="I29" s="2">
        <f>7280+18704</f>
        <v>25984</v>
      </c>
      <c r="J29" s="5">
        <v>31438</v>
      </c>
    </row>
    <row r="30" spans="1:38" ht="13.5" customHeight="1" x14ac:dyDescent="0.2">
      <c r="A30" s="2" t="s">
        <v>48</v>
      </c>
      <c r="E30" s="2">
        <v>3827</v>
      </c>
      <c r="F30" s="2">
        <v>4080</v>
      </c>
      <c r="G30" s="2">
        <v>7066</v>
      </c>
      <c r="H30" s="2">
        <v>8309</v>
      </c>
      <c r="I30" s="2">
        <v>9999</v>
      </c>
      <c r="J30" s="5">
        <v>12365</v>
      </c>
      <c r="AC30" s="2" t="s">
        <v>4</v>
      </c>
    </row>
    <row r="31" spans="1:38" ht="13.5" customHeight="1" x14ac:dyDescent="0.2">
      <c r="A31" s="2" t="s">
        <v>49</v>
      </c>
      <c r="E31" s="2">
        <v>5199</v>
      </c>
      <c r="F31" s="2">
        <v>4611</v>
      </c>
      <c r="G31" s="2">
        <v>4319</v>
      </c>
      <c r="H31" s="2">
        <v>4779</v>
      </c>
      <c r="I31" s="2">
        <v>5282</v>
      </c>
      <c r="J31" s="5">
        <v>5864</v>
      </c>
    </row>
    <row r="32" spans="1:38" ht="13.5" customHeight="1" x14ac:dyDescent="0.2">
      <c r="A32" s="2" t="s">
        <v>50</v>
      </c>
      <c r="E32" s="2">
        <v>719</v>
      </c>
      <c r="F32" s="2">
        <v>872</v>
      </c>
      <c r="G32" s="2">
        <v>1389</v>
      </c>
      <c r="H32" s="2">
        <v>1289</v>
      </c>
      <c r="I32" s="2">
        <v>3080</v>
      </c>
      <c r="J32" s="5">
        <v>4062</v>
      </c>
    </row>
    <row r="33" spans="1:30" ht="13.5" customHeight="1" x14ac:dyDescent="0.2">
      <c r="A33" s="2" t="s">
        <v>51</v>
      </c>
      <c r="E33" s="2">
        <v>3807</v>
      </c>
      <c r="F33" s="2">
        <v>3740</v>
      </c>
      <c r="G33" s="2">
        <v>3799</v>
      </c>
      <c r="H33" s="2">
        <v>3844</v>
      </c>
      <c r="I33" s="2">
        <v>3914</v>
      </c>
      <c r="J33" s="5">
        <v>4006</v>
      </c>
    </row>
    <row r="34" spans="1:30" ht="13.5" customHeight="1" x14ac:dyDescent="0.2">
      <c r="A34" s="2" t="s">
        <v>52</v>
      </c>
      <c r="E34" s="2">
        <v>1038</v>
      </c>
      <c r="F34" s="2">
        <v>1094</v>
      </c>
      <c r="G34" s="2">
        <v>1235</v>
      </c>
      <c r="H34" s="2">
        <v>1316</v>
      </c>
      <c r="I34" s="2">
        <v>1346</v>
      </c>
      <c r="J34" s="5">
        <v>1532</v>
      </c>
    </row>
    <row r="35" spans="1:30" ht="13.5" customHeight="1" x14ac:dyDescent="0.2">
      <c r="A35" s="2" t="s">
        <v>53</v>
      </c>
      <c r="E35" s="2">
        <f>4372+1676</f>
        <v>6048</v>
      </c>
      <c r="F35" s="2">
        <f>4430+1541</f>
        <v>5971</v>
      </c>
      <c r="G35" s="2">
        <f>4430+1395</f>
        <v>5825</v>
      </c>
      <c r="H35" s="2">
        <f>4430+1251</f>
        <v>5681</v>
      </c>
      <c r="I35" s="2">
        <f>4430+1112</f>
        <v>5542</v>
      </c>
      <c r="J35" s="5">
        <f>4453+986</f>
        <v>5439</v>
      </c>
    </row>
    <row r="36" spans="1:30" ht="13.5" customHeight="1" x14ac:dyDescent="0.2">
      <c r="A36" s="2" t="s">
        <v>54</v>
      </c>
      <c r="E36" s="2">
        <v>3396</v>
      </c>
      <c r="F36" s="2">
        <v>4568</v>
      </c>
      <c r="G36" s="2">
        <v>5398</v>
      </c>
      <c r="H36" s="2">
        <v>5982</v>
      </c>
      <c r="I36" s="2">
        <v>6081</v>
      </c>
      <c r="J36" s="5">
        <v>7798</v>
      </c>
    </row>
    <row r="37" spans="1:30" ht="13.5" customHeight="1" x14ac:dyDescent="0.2">
      <c r="A37" s="2" t="s">
        <v>55</v>
      </c>
      <c r="E37" s="2">
        <v>3820</v>
      </c>
      <c r="F37" s="2">
        <v>4204</v>
      </c>
      <c r="G37" s="2">
        <v>4501</v>
      </c>
      <c r="H37" s="2">
        <v>4667</v>
      </c>
      <c r="I37" s="2">
        <v>4500</v>
      </c>
      <c r="J37" s="5">
        <v>4568</v>
      </c>
    </row>
    <row r="38" spans="1:30" ht="13.5" customHeight="1" x14ac:dyDescent="0.25">
      <c r="A38" s="3" t="s">
        <v>56</v>
      </c>
      <c r="B38" s="3"/>
      <c r="C38" s="3"/>
      <c r="D38" s="3"/>
      <c r="E38" s="4">
        <f t="shared" ref="E38:J38" si="76">SUM(E29:E37)</f>
        <v>41150</v>
      </c>
      <c r="F38" s="4">
        <f t="shared" si="76"/>
        <v>44460</v>
      </c>
      <c r="G38" s="4">
        <f t="shared" si="76"/>
        <v>49555</v>
      </c>
      <c r="H38" s="4">
        <f t="shared" si="76"/>
        <v>54148</v>
      </c>
      <c r="I38" s="4">
        <f t="shared" si="76"/>
        <v>65728</v>
      </c>
      <c r="J38" s="4">
        <f t="shared" si="76"/>
        <v>77072</v>
      </c>
      <c r="AC38" s="4"/>
      <c r="AD38" s="4"/>
    </row>
    <row r="39" spans="1:30" ht="13.5" customHeight="1" x14ac:dyDescent="0.2">
      <c r="F39" s="2" t="s">
        <v>4</v>
      </c>
      <c r="J39" s="5"/>
    </row>
    <row r="40" spans="1:30" ht="13.5" customHeight="1" x14ac:dyDescent="0.2">
      <c r="A40" s="2" t="s">
        <v>6</v>
      </c>
      <c r="E40" s="2">
        <f>1250+9703</f>
        <v>10953</v>
      </c>
      <c r="F40" s="2">
        <f>1141+9704</f>
        <v>10845</v>
      </c>
      <c r="G40" s="2">
        <f>1929+8456</f>
        <v>10385</v>
      </c>
      <c r="H40" s="2">
        <f>2380+8457</f>
        <v>10837</v>
      </c>
      <c r="I40" s="2">
        <f>1250+8459</f>
        <v>9709</v>
      </c>
      <c r="J40" s="5">
        <f>1250+8460+2966</f>
        <v>12676</v>
      </c>
    </row>
    <row r="41" spans="1:30" ht="13.5" customHeight="1" x14ac:dyDescent="0.2">
      <c r="A41" s="2" t="s">
        <v>57</v>
      </c>
      <c r="E41" s="2">
        <v>1193</v>
      </c>
      <c r="F41" s="2">
        <v>4869</v>
      </c>
      <c r="G41" s="2">
        <v>7156</v>
      </c>
      <c r="H41" s="2">
        <v>5472</v>
      </c>
      <c r="I41" s="2">
        <v>2699</v>
      </c>
      <c r="J41" s="5">
        <v>2715</v>
      </c>
    </row>
    <row r="42" spans="1:30" ht="13.5" customHeight="1" x14ac:dyDescent="0.2">
      <c r="A42" s="2" t="s">
        <v>58</v>
      </c>
      <c r="E42" s="2">
        <v>4120</v>
      </c>
      <c r="F42" s="2">
        <v>1250</v>
      </c>
      <c r="G42" s="2">
        <v>1249</v>
      </c>
      <c r="H42" s="2">
        <v>1249</v>
      </c>
      <c r="I42" s="2">
        <v>6682</v>
      </c>
      <c r="J42" s="5">
        <v>11258</v>
      </c>
    </row>
    <row r="43" spans="1:30" ht="13.5" customHeight="1" x14ac:dyDescent="0.2">
      <c r="A43" s="2" t="s">
        <v>59</v>
      </c>
      <c r="E43" s="2">
        <v>1913</v>
      </c>
      <c r="F43" s="2">
        <v>939</v>
      </c>
      <c r="G43" s="2">
        <v>1041</v>
      </c>
      <c r="H43" s="2">
        <v>1091</v>
      </c>
      <c r="I43" s="2">
        <v>1119</v>
      </c>
      <c r="J43" s="5">
        <v>0</v>
      </c>
    </row>
    <row r="44" spans="1:30" ht="13.5" customHeight="1" x14ac:dyDescent="0.2">
      <c r="A44" s="2" t="s">
        <v>60</v>
      </c>
      <c r="E44" s="2">
        <v>902</v>
      </c>
      <c r="F44" s="2">
        <v>2037</v>
      </c>
      <c r="G44" s="2">
        <v>2223</v>
      </c>
      <c r="H44" s="2">
        <v>2234</v>
      </c>
      <c r="I44" s="2">
        <v>2541</v>
      </c>
      <c r="J44" s="5">
        <v>1281</v>
      </c>
    </row>
    <row r="45" spans="1:30" ht="13.5" customHeight="1" x14ac:dyDescent="0.25">
      <c r="A45" s="3" t="s">
        <v>61</v>
      </c>
      <c r="B45" s="3"/>
      <c r="C45" s="3"/>
      <c r="D45" s="3"/>
      <c r="E45" s="4">
        <f t="shared" ref="E45:J45" si="77">SUM(E40:E44)</f>
        <v>19081</v>
      </c>
      <c r="F45" s="4">
        <f t="shared" si="77"/>
        <v>19940</v>
      </c>
      <c r="G45" s="4">
        <f t="shared" si="77"/>
        <v>22054</v>
      </c>
      <c r="H45" s="4">
        <f t="shared" si="77"/>
        <v>20883</v>
      </c>
      <c r="I45" s="4">
        <f t="shared" si="77"/>
        <v>22750</v>
      </c>
      <c r="J45" s="4">
        <f t="shared" si="77"/>
        <v>27930</v>
      </c>
      <c r="AC45" s="4"/>
      <c r="AD45" s="4"/>
    </row>
    <row r="46" spans="1:30" ht="13.5" customHeight="1" x14ac:dyDescent="0.2">
      <c r="J46" s="5"/>
    </row>
    <row r="47" spans="1:30" ht="13.5" customHeight="1" x14ac:dyDescent="0.25">
      <c r="A47" s="3" t="s">
        <v>62</v>
      </c>
      <c r="B47" s="3"/>
      <c r="C47" s="3"/>
      <c r="D47" s="3"/>
      <c r="E47" s="4">
        <f t="shared" ref="E47:J47" si="78">+E38-E45</f>
        <v>22069</v>
      </c>
      <c r="F47" s="4">
        <f t="shared" si="78"/>
        <v>24520</v>
      </c>
      <c r="G47" s="4">
        <f t="shared" si="78"/>
        <v>27501</v>
      </c>
      <c r="H47" s="4">
        <f t="shared" si="78"/>
        <v>33265</v>
      </c>
      <c r="I47" s="4">
        <f t="shared" si="78"/>
        <v>42978</v>
      </c>
      <c r="J47" s="4">
        <f t="shared" si="78"/>
        <v>49142</v>
      </c>
      <c r="Y47" s="2" t="s">
        <v>63</v>
      </c>
      <c r="AC47" s="4" t="s">
        <v>4</v>
      </c>
      <c r="AD47" s="4"/>
    </row>
    <row r="48" spans="1:30" ht="13.5" customHeight="1" x14ac:dyDescent="0.25">
      <c r="A48" s="3" t="s">
        <v>64</v>
      </c>
      <c r="B48" s="3"/>
      <c r="C48" s="3" t="s">
        <v>4</v>
      </c>
      <c r="D48" s="3"/>
      <c r="E48" s="4">
        <f t="shared" ref="E48:J48" si="79">+E45+E47</f>
        <v>41150</v>
      </c>
      <c r="F48" s="4">
        <f t="shared" si="79"/>
        <v>44460</v>
      </c>
      <c r="G48" s="4">
        <f t="shared" si="79"/>
        <v>49555</v>
      </c>
      <c r="H48" s="4">
        <f t="shared" si="79"/>
        <v>54148</v>
      </c>
      <c r="I48" s="4">
        <f t="shared" si="79"/>
        <v>65728</v>
      </c>
      <c r="J48" s="4">
        <f t="shared" si="79"/>
        <v>77072</v>
      </c>
      <c r="AC48" s="4" t="s">
        <v>65</v>
      </c>
      <c r="AD48" s="4"/>
    </row>
    <row r="49" spans="1:31" ht="13.5" customHeight="1" x14ac:dyDescent="0.2">
      <c r="AE49" s="2" t="s">
        <v>4</v>
      </c>
    </row>
    <row r="50" spans="1:31" ht="13.5" customHeight="1" x14ac:dyDescent="0.25">
      <c r="A50" s="3" t="s">
        <v>66</v>
      </c>
      <c r="E50" s="8">
        <f t="shared" ref="E50:J50" si="80">+E13/E38</f>
        <v>3.4362089914945319E-2</v>
      </c>
      <c r="F50" s="8">
        <f t="shared" si="80"/>
        <v>4.5951417004048582E-2</v>
      </c>
      <c r="G50" s="8">
        <f t="shared" si="80"/>
        <v>0.1248713550600343</v>
      </c>
      <c r="H50" s="8">
        <f t="shared" si="80"/>
        <v>0.17069882544138287</v>
      </c>
      <c r="I50" s="8">
        <f t="shared" si="80"/>
        <v>0.18690664556962025</v>
      </c>
      <c r="J50" s="8">
        <f t="shared" si="80"/>
        <v>0.19307919867137222</v>
      </c>
      <c r="AC50" s="8" t="s">
        <v>4</v>
      </c>
      <c r="AD50" s="8" t="s">
        <v>4</v>
      </c>
    </row>
    <row r="51" spans="1:31" ht="13.5" customHeight="1" x14ac:dyDescent="0.25">
      <c r="A51" s="3" t="s">
        <v>67</v>
      </c>
      <c r="E51" s="8">
        <f t="shared" ref="E51:J51" si="81">+E13/(E38-E45)</f>
        <v>6.4071774887851735E-2</v>
      </c>
      <c r="F51" s="8">
        <f t="shared" si="81"/>
        <v>8.3319738988580749E-2</v>
      </c>
      <c r="G51" s="8">
        <f t="shared" si="81"/>
        <v>0.22500999963637686</v>
      </c>
      <c r="H51" s="8">
        <f t="shared" si="81"/>
        <v>0.27785961220502031</v>
      </c>
      <c r="I51" s="8">
        <f t="shared" si="81"/>
        <v>0.28584392014519056</v>
      </c>
      <c r="J51" s="8">
        <f t="shared" si="81"/>
        <v>0.30281632819177079</v>
      </c>
      <c r="AC51" s="8" t="s">
        <v>4</v>
      </c>
      <c r="AD51" s="8" t="s">
        <v>4</v>
      </c>
      <c r="AE51" s="2" t="s">
        <v>4</v>
      </c>
    </row>
    <row r="52" spans="1:31" ht="13.5" customHeight="1" x14ac:dyDescent="0.2"/>
    <row r="53" spans="1:31" ht="13.5" customHeight="1" x14ac:dyDescent="0.2">
      <c r="A53" s="13" t="s">
        <v>79</v>
      </c>
      <c r="L53" s="14">
        <f>+L13</f>
        <v>19309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spans="1:31" ht="13.5" customHeight="1" x14ac:dyDescent="0.2">
      <c r="A54" s="13" t="s">
        <v>78</v>
      </c>
      <c r="L54">
        <v>19309</v>
      </c>
    </row>
    <row r="55" spans="1:31" ht="13.5" customHeight="1" x14ac:dyDescent="0.2">
      <c r="A55" s="13" t="s">
        <v>68</v>
      </c>
      <c r="L55">
        <v>1252</v>
      </c>
    </row>
    <row r="56" spans="1:31" ht="13.5" customHeight="1" x14ac:dyDescent="0.2">
      <c r="A56" s="2" t="s">
        <v>69</v>
      </c>
      <c r="L56">
        <v>478</v>
      </c>
    </row>
    <row r="57" spans="1:31" ht="13.5" customHeight="1" x14ac:dyDescent="0.2">
      <c r="A57" s="2" t="s">
        <v>54</v>
      </c>
      <c r="L57">
        <v>-602</v>
      </c>
    </row>
    <row r="58" spans="1:31" ht="13.5" customHeight="1" x14ac:dyDescent="0.2">
      <c r="A58" s="2" t="s">
        <v>70</v>
      </c>
      <c r="L58">
        <v>-79</v>
      </c>
    </row>
    <row r="59" spans="1:31" ht="13.5" customHeight="1" x14ac:dyDescent="0.2">
      <c r="A59" s="2" t="s">
        <v>71</v>
      </c>
      <c r="L59">
        <v>-3561</v>
      </c>
    </row>
    <row r="60" spans="1:31" ht="13.5" customHeight="1" x14ac:dyDescent="0.2">
      <c r="A60" s="2" t="s">
        <v>72</v>
      </c>
      <c r="L60">
        <v>-978</v>
      </c>
    </row>
    <row r="61" spans="1:31" ht="13.5" customHeight="1" x14ac:dyDescent="0.2">
      <c r="A61" s="2" t="s">
        <v>73</v>
      </c>
      <c r="L61">
        <v>-714</v>
      </c>
    </row>
    <row r="62" spans="1:31" ht="13.5" customHeight="1" x14ac:dyDescent="0.2">
      <c r="A62" s="2" t="s">
        <v>74</v>
      </c>
      <c r="L62">
        <v>1689</v>
      </c>
    </row>
    <row r="63" spans="1:31" ht="13.5" customHeight="1" x14ac:dyDescent="0.2">
      <c r="A63" s="2" t="s">
        <v>75</v>
      </c>
      <c r="L63">
        <v>606</v>
      </c>
    </row>
    <row r="64" spans="1:31" ht="13.5" customHeight="1" x14ac:dyDescent="0.2">
      <c r="A64" s="2" t="s">
        <v>76</v>
      </c>
      <c r="L64">
        <v>266</v>
      </c>
    </row>
    <row r="65" spans="1:23" ht="13.5" customHeight="1" x14ac:dyDescent="0.2">
      <c r="A65" s="2" t="s">
        <v>77</v>
      </c>
      <c r="L65" s="14">
        <f>+SUM(L54:L64)</f>
        <v>17666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spans="1:23" ht="13.5" customHeight="1" x14ac:dyDescent="0.2"/>
    <row r="67" spans="1:23" ht="13.5" customHeight="1" x14ac:dyDescent="0.2">
      <c r="A67" s="2" t="s">
        <v>80</v>
      </c>
      <c r="L67">
        <f>1386+154-4518-813</f>
        <v>-3791</v>
      </c>
    </row>
    <row r="68" spans="1:23" ht="13.5" customHeight="1" x14ac:dyDescent="0.2">
      <c r="A68" s="2" t="s">
        <v>81</v>
      </c>
      <c r="L68">
        <v>-147</v>
      </c>
    </row>
    <row r="69" spans="1:23" ht="13.5" customHeight="1" x14ac:dyDescent="0.2">
      <c r="A69" s="2" t="s">
        <v>82</v>
      </c>
      <c r="L69">
        <f>-473+66</f>
        <v>-407</v>
      </c>
    </row>
    <row r="70" spans="1:23" ht="13.5" customHeight="1" x14ac:dyDescent="0.2">
      <c r="A70" s="2" t="s">
        <v>70</v>
      </c>
      <c r="L70" s="2">
        <v>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3.5" customHeight="1" x14ac:dyDescent="0.2">
      <c r="A71" s="2" t="s">
        <v>83</v>
      </c>
      <c r="L71">
        <f>+SUM(L67:L70)</f>
        <v>-4345</v>
      </c>
    </row>
    <row r="72" spans="1:23" ht="13.5" customHeight="1" x14ac:dyDescent="0.2"/>
    <row r="73" spans="1:23" ht="13.5" customHeight="1" x14ac:dyDescent="0.2">
      <c r="A73" s="2" t="s">
        <v>84</v>
      </c>
      <c r="L73">
        <v>204</v>
      </c>
    </row>
    <row r="74" spans="1:23" ht="13.5" customHeight="1" x14ac:dyDescent="0.2">
      <c r="A74" s="2" t="s">
        <v>85</v>
      </c>
      <c r="L74">
        <v>-10998</v>
      </c>
    </row>
    <row r="75" spans="1:23" ht="13.5" customHeight="1" x14ac:dyDescent="0.2">
      <c r="A75" s="2" t="s">
        <v>86</v>
      </c>
      <c r="L75">
        <v>0</v>
      </c>
    </row>
    <row r="76" spans="1:23" ht="13.5" customHeight="1" x14ac:dyDescent="0.2">
      <c r="A76" s="2" t="s">
        <v>87</v>
      </c>
      <c r="L76">
        <v>-1680</v>
      </c>
    </row>
    <row r="77" spans="1:23" ht="13.5" customHeight="1" x14ac:dyDescent="0.2">
      <c r="A77" s="2" t="s">
        <v>88</v>
      </c>
      <c r="L77">
        <v>-245</v>
      </c>
    </row>
    <row r="78" spans="1:23" ht="13.5" customHeight="1" x14ac:dyDescent="0.2">
      <c r="A78" s="2" t="s">
        <v>89</v>
      </c>
      <c r="L78">
        <v>-29</v>
      </c>
    </row>
    <row r="79" spans="1:23" ht="13.5" customHeight="1" x14ac:dyDescent="0.2">
      <c r="A79" s="2" t="s">
        <v>70</v>
      </c>
      <c r="L79">
        <v>0</v>
      </c>
    </row>
    <row r="80" spans="1:23" ht="13.5" customHeight="1" x14ac:dyDescent="0.2">
      <c r="A80" s="2" t="s">
        <v>90</v>
      </c>
      <c r="L80">
        <f>+SUM(L73:L79)</f>
        <v>-12748</v>
      </c>
    </row>
    <row r="81" spans="1:23" ht="13.5" customHeight="1" x14ac:dyDescent="0.2"/>
    <row r="82" spans="1:23" ht="13.5" customHeight="1" x14ac:dyDescent="0.2">
      <c r="A82" s="2" t="s">
        <v>91</v>
      </c>
      <c r="L82" s="14">
        <f>+L68</f>
        <v>-147</v>
      </c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 spans="1:23" ht="13.5" customHeight="1" x14ac:dyDescent="0.2">
      <c r="A83" s="2" t="s">
        <v>92</v>
      </c>
      <c r="L83" s="14">
        <f>+L82+L80+L74+L65</f>
        <v>-6227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spans="1:23" ht="13.5" customHeight="1" x14ac:dyDescent="0.2"/>
    <row r="85" spans="1:23" ht="13.5" customHeight="1" x14ac:dyDescent="0.2"/>
    <row r="86" spans="1:23" ht="13.5" customHeight="1" x14ac:dyDescent="0.2"/>
    <row r="87" spans="1:23" ht="13.5" customHeight="1" x14ac:dyDescent="0.2"/>
    <row r="88" spans="1:23" ht="13.5" customHeight="1" x14ac:dyDescent="0.2"/>
    <row r="89" spans="1:23" ht="13.5" customHeight="1" x14ac:dyDescent="0.2"/>
    <row r="90" spans="1:23" ht="13.5" customHeight="1" x14ac:dyDescent="0.2"/>
    <row r="91" spans="1:23" ht="13.5" customHeight="1" x14ac:dyDescent="0.2"/>
    <row r="92" spans="1:23" ht="13.5" customHeight="1" x14ac:dyDescent="0.2"/>
    <row r="93" spans="1:23" ht="13.5" customHeight="1" x14ac:dyDescent="0.2"/>
    <row r="94" spans="1:23" ht="13.5" customHeight="1" x14ac:dyDescent="0.2"/>
    <row r="95" spans="1:23" ht="13.5" customHeight="1" x14ac:dyDescent="0.2"/>
    <row r="96" spans="1:23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  <row r="1001" ht="13.5" customHeight="1" x14ac:dyDescent="0.2"/>
    <row r="1002" ht="13.5" customHeight="1" x14ac:dyDescent="0.2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Simão Clemente</dc:creator>
  <cp:keywords/>
  <dc:description/>
  <cp:lastModifiedBy>Simão Clemente</cp:lastModifiedBy>
  <cp:revision/>
  <dcterms:created xsi:type="dcterms:W3CDTF">2024-08-26T10:38:04Z</dcterms:created>
  <dcterms:modified xsi:type="dcterms:W3CDTF">2026-05-21T10:53:03Z</dcterms:modified>
  <cp:category/>
  <cp:contentStatus/>
</cp:coreProperties>
</file>