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234" documentId="8_{BF0DC1EB-9EFA-41D8-920B-7529DE2597DB}" xr6:coauthVersionLast="47" xr6:coauthVersionMax="47" xr10:uidLastSave="{79074BF4-8CF4-4605-B777-76E39FFA13D3}"/>
  <bookViews>
    <workbookView xWindow="-105" yWindow="0" windowWidth="14610" windowHeight="15585" activeTab="1" xr2:uid="{14AC5EBB-8FD5-492E-8BAE-20241778A1ED}"/>
  </bookViews>
  <sheets>
    <sheet name="main" sheetId="1" r:id="rId1"/>
    <sheet name="mode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2" l="1"/>
  <c r="X27" i="2"/>
  <c r="X28" i="2" s="1"/>
  <c r="AC21" i="2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AB21" i="2"/>
  <c r="AA21" i="2"/>
  <c r="V21" i="2"/>
  <c r="W21" i="2" s="1"/>
  <c r="X21" i="2" s="1"/>
  <c r="Y21" i="2" s="1"/>
  <c r="Z21" i="2" s="1"/>
  <c r="U21" i="2"/>
  <c r="S26" i="2"/>
  <c r="R26" i="2"/>
  <c r="Q26" i="2"/>
  <c r="S29" i="2"/>
  <c r="R29" i="2"/>
  <c r="Q29" i="2"/>
  <c r="T29" i="2"/>
  <c r="T26" i="2"/>
  <c r="T28" i="2"/>
  <c r="S28" i="2"/>
  <c r="T27" i="2"/>
  <c r="S27" i="2"/>
  <c r="Q21" i="2"/>
  <c r="P21" i="2"/>
  <c r="R21" i="2"/>
  <c r="S21" i="2"/>
  <c r="S20" i="2"/>
  <c r="S19" i="2"/>
  <c r="S18" i="2"/>
  <c r="S17" i="2"/>
  <c r="S16" i="2"/>
  <c r="S15" i="2"/>
  <c r="S14" i="2"/>
  <c r="S13" i="2"/>
  <c r="S12" i="2"/>
  <c r="S10" i="2"/>
  <c r="S11" i="2" s="1"/>
  <c r="S9" i="2"/>
  <c r="S8" i="2"/>
  <c r="S7" i="2"/>
  <c r="S6" i="2"/>
  <c r="S5" i="2"/>
  <c r="S4" i="2"/>
  <c r="S3" i="2"/>
  <c r="T21" i="2"/>
  <c r="T20" i="2"/>
  <c r="T19" i="2"/>
  <c r="T18" i="2"/>
  <c r="T16" i="2"/>
  <c r="T17" i="2" s="1"/>
  <c r="T15" i="2"/>
  <c r="T14" i="2"/>
  <c r="T13" i="2"/>
  <c r="T12" i="2"/>
  <c r="T10" i="2"/>
  <c r="T11" i="2" s="1"/>
  <c r="T9" i="2"/>
  <c r="T8" i="2"/>
  <c r="T7" i="2"/>
  <c r="T6" i="2"/>
  <c r="T5" i="2"/>
  <c r="T4" i="2"/>
  <c r="T3" i="2"/>
  <c r="Z2" i="2"/>
  <c r="S2" i="2"/>
  <c r="T2" i="2" s="1"/>
  <c r="U2" i="2" s="1"/>
  <c r="V2" i="2" s="1"/>
  <c r="W2" i="2" s="1"/>
  <c r="X2" i="2" s="1"/>
  <c r="Y2" i="2" s="1"/>
  <c r="R2" i="2"/>
  <c r="C18" i="2"/>
  <c r="C16" i="2"/>
  <c r="C10" i="2"/>
  <c r="C6" i="2"/>
  <c r="G18" i="2"/>
  <c r="G16" i="2"/>
  <c r="G10" i="2"/>
  <c r="G6" i="2"/>
  <c r="I29" i="2"/>
  <c r="H29" i="2"/>
  <c r="F29" i="2"/>
  <c r="E29" i="2"/>
  <c r="D29" i="2"/>
  <c r="I28" i="2"/>
  <c r="H28" i="2"/>
  <c r="F28" i="2"/>
  <c r="E28" i="2"/>
  <c r="D28" i="2"/>
  <c r="I27" i="2"/>
  <c r="H27" i="2"/>
  <c r="F27" i="2"/>
  <c r="E27" i="2"/>
  <c r="D27" i="2"/>
  <c r="I26" i="2"/>
  <c r="H26" i="2"/>
  <c r="F26" i="2"/>
  <c r="E26" i="2"/>
  <c r="D26" i="2"/>
  <c r="D18" i="2"/>
  <c r="D16" i="2"/>
  <c r="D10" i="2"/>
  <c r="D6" i="2"/>
  <c r="F6" i="2"/>
  <c r="E6" i="2"/>
  <c r="J6" i="2"/>
  <c r="H18" i="2"/>
  <c r="H10" i="2"/>
  <c r="H16" i="2"/>
  <c r="H6" i="2"/>
  <c r="E18" i="2"/>
  <c r="E16" i="2"/>
  <c r="E10" i="2"/>
  <c r="I18" i="2"/>
  <c r="F18" i="2"/>
  <c r="J18" i="2"/>
  <c r="I16" i="2"/>
  <c r="I10" i="2"/>
  <c r="I6" i="2"/>
  <c r="F16" i="2"/>
  <c r="F10" i="2"/>
  <c r="J16" i="2"/>
  <c r="J10" i="2"/>
  <c r="L7" i="1"/>
  <c r="L6" i="1"/>
  <c r="L5" i="1"/>
  <c r="C11" i="2" l="1"/>
  <c r="C17" i="2" s="1"/>
  <c r="C19" i="2" s="1"/>
  <c r="C21" i="2" s="1"/>
  <c r="G26" i="2"/>
  <c r="G11" i="2"/>
  <c r="D11" i="2"/>
  <c r="D17" i="2" s="1"/>
  <c r="D19" i="2" s="1"/>
  <c r="D21" i="2" s="1"/>
  <c r="I11" i="2"/>
  <c r="I17" i="2" s="1"/>
  <c r="I19" i="2" s="1"/>
  <c r="I21" i="2" s="1"/>
  <c r="H11" i="2"/>
  <c r="H17" i="2" s="1"/>
  <c r="H19" i="2" s="1"/>
  <c r="H21" i="2" s="1"/>
  <c r="E11" i="2"/>
  <c r="E17" i="2" s="1"/>
  <c r="E19" i="2" s="1"/>
  <c r="E21" i="2" s="1"/>
  <c r="J11" i="2"/>
  <c r="J27" i="2" s="1"/>
  <c r="J26" i="2"/>
  <c r="F11" i="2"/>
  <c r="L8" i="1"/>
  <c r="G17" i="2" l="1"/>
  <c r="G27" i="2"/>
  <c r="J17" i="2"/>
  <c r="J28" i="2" s="1"/>
  <c r="F17" i="2"/>
  <c r="G19" i="2" l="1"/>
  <c r="G28" i="2"/>
  <c r="J19" i="2"/>
  <c r="J21" i="2" s="1"/>
  <c r="F19" i="2"/>
  <c r="G21" i="2" l="1"/>
  <c r="G29" i="2"/>
  <c r="J29" i="2"/>
  <c r="F21" i="2"/>
</calcChain>
</file>

<file path=xl/sharedStrings.xml><?xml version="1.0" encoding="utf-8"?>
<sst xmlns="http://schemas.openxmlformats.org/spreadsheetml/2006/main" count="52" uniqueCount="41">
  <si>
    <t>Price</t>
  </si>
  <si>
    <t>Shares</t>
  </si>
  <si>
    <t>MC</t>
  </si>
  <si>
    <t>Cash</t>
  </si>
  <si>
    <t>Debt</t>
  </si>
  <si>
    <t>EV</t>
  </si>
  <si>
    <t>EUR</t>
  </si>
  <si>
    <t>Q425</t>
  </si>
  <si>
    <t>Q124</t>
  </si>
  <si>
    <t>Q224</t>
  </si>
  <si>
    <t>Q324</t>
  </si>
  <si>
    <t>Q424</t>
  </si>
  <si>
    <t>Q125</t>
  </si>
  <si>
    <t>Q225</t>
  </si>
  <si>
    <t>Q325</t>
  </si>
  <si>
    <t>Cloud</t>
  </si>
  <si>
    <t>Services</t>
  </si>
  <si>
    <t>Revenues</t>
  </si>
  <si>
    <t>COGS</t>
  </si>
  <si>
    <t>Operating Profit</t>
  </si>
  <si>
    <t>RD</t>
  </si>
  <si>
    <t>SM</t>
  </si>
  <si>
    <t>GA</t>
  </si>
  <si>
    <t>Other</t>
  </si>
  <si>
    <t>OPEX</t>
  </si>
  <si>
    <t>Gross Profit</t>
  </si>
  <si>
    <t>Interest Income</t>
  </si>
  <si>
    <t>Pretax</t>
  </si>
  <si>
    <t>Tax</t>
  </si>
  <si>
    <t>NI</t>
  </si>
  <si>
    <t>EPS</t>
  </si>
  <si>
    <t xml:space="preserve"> </t>
  </si>
  <si>
    <t xml:space="preserve">Revenue Growth </t>
  </si>
  <si>
    <t>Gross %</t>
  </si>
  <si>
    <t>Operating %</t>
  </si>
  <si>
    <t>Taxe Rate</t>
  </si>
  <si>
    <t>NI y/y</t>
  </si>
  <si>
    <t>Software</t>
  </si>
  <si>
    <t>NPV</t>
  </si>
  <si>
    <t>Per Share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</si>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</sst>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Fon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A4AF-1D5E-4BCC-93C9-7C2FE5BF3BA3}">
  <dimension ref="K3:M8"/>
  <sheetViews>
    <sheetView topLeftCell="B1" workbookViewId="0">
      <selection activeCell="M8" sqref="M8"/>
    </sheetView>
  </sheetViews>
  <sheetFormatPr defaultRowHeight="14.25" x14ac:dyDescent="0.2"/>
  <sheetData>
    <row r="3" spans="11:13" x14ac:dyDescent="0.2">
      <c r="K3" t="s">
        <v>0</v>
      </c>
      <c r="L3" s="1">
        <v>164</v>
      </c>
      <c r="M3" t="s">
        <v>6</v>
      </c>
    </row>
    <row r="4" spans="11:13" x14ac:dyDescent="0.2">
      <c r="K4" t="s">
        <v>1</v>
      </c>
      <c r="L4" s="1">
        <v>1.1659999999999999</v>
      </c>
      <c r="M4" t="s">
        <v>7</v>
      </c>
    </row>
    <row r="5" spans="11:13" x14ac:dyDescent="0.2">
      <c r="K5" t="s">
        <v>2</v>
      </c>
      <c r="L5" s="1">
        <f>+L3*L4</f>
        <v>191.22399999999999</v>
      </c>
    </row>
    <row r="6" spans="11:13" x14ac:dyDescent="0.2">
      <c r="K6" t="s">
        <v>3</v>
      </c>
      <c r="L6" s="1">
        <f>8.22+1.552</f>
        <v>9.7720000000000002</v>
      </c>
      <c r="M6" t="s">
        <v>7</v>
      </c>
    </row>
    <row r="7" spans="11:13" x14ac:dyDescent="0.2">
      <c r="K7" t="s">
        <v>4</v>
      </c>
      <c r="L7" s="1">
        <f>2.05+6.581+6.021+0.524</f>
        <v>15.176000000000002</v>
      </c>
      <c r="M7" t="s">
        <v>7</v>
      </c>
    </row>
    <row r="8" spans="11:13" x14ac:dyDescent="0.2">
      <c r="K8" t="s">
        <v>5</v>
      </c>
      <c r="L8" s="1">
        <f>+L5-L6+L7</f>
        <v>196.62799999999999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C880-EBC3-4D68-A44F-EF27181A368F}">
  <dimension ref="B2:BF30"/>
  <sheetViews>
    <sheetView tabSelected="1" topLeftCell="B1" workbookViewId="0">
      <pane xSplit="1" ySplit="2" topLeftCell="R3" activePane="bottomRight" state="frozen"/>
      <selection activeCell="B1" sqref="B1"/>
      <selection pane="topRight" activeCell="C1" sqref="C1"/>
      <selection pane="bottomLeft" activeCell="B3" sqref="B3"/>
      <selection pane="bottomRight" activeCell="Y27" sqref="Y27"/>
    </sheetView>
  </sheetViews>
  <sheetFormatPr defaultRowHeight="14.25" x14ac:dyDescent="0.2"/>
  <cols>
    <col min="24" max="24" width="11.375" bestFit="1" customWidth="1"/>
  </cols>
  <sheetData>
    <row r="2" spans="2:27" x14ac:dyDescent="0.2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7</v>
      </c>
      <c r="P2">
        <v>2021</v>
      </c>
      <c r="Q2">
        <v>2022</v>
      </c>
      <c r="R2">
        <f>+Q2+1</f>
        <v>2023</v>
      </c>
      <c r="S2">
        <f t="shared" ref="S2:AA2" si="0">+R2+1</f>
        <v>2024</v>
      </c>
      <c r="T2">
        <f t="shared" si="0"/>
        <v>2025</v>
      </c>
      <c r="U2">
        <f t="shared" si="0"/>
        <v>2026</v>
      </c>
      <c r="V2">
        <f t="shared" si="0"/>
        <v>2027</v>
      </c>
      <c r="W2">
        <f t="shared" si="0"/>
        <v>2028</v>
      </c>
      <c r="X2">
        <f t="shared" si="0"/>
        <v>2029</v>
      </c>
      <c r="Y2">
        <f t="shared" si="0"/>
        <v>2030</v>
      </c>
      <c r="Z2">
        <f t="shared" si="0"/>
        <v>2031</v>
      </c>
      <c r="AA2" t="s">
        <v>31</v>
      </c>
    </row>
    <row r="3" spans="2:27" x14ac:dyDescent="0.2">
      <c r="B3" t="s">
        <v>15</v>
      </c>
      <c r="C3">
        <v>3928</v>
      </c>
      <c r="D3">
        <v>4153</v>
      </c>
      <c r="E3">
        <v>4351</v>
      </c>
      <c r="F3">
        <v>4708</v>
      </c>
      <c r="G3">
        <v>4993</v>
      </c>
      <c r="H3">
        <v>5130</v>
      </c>
      <c r="I3">
        <v>5290</v>
      </c>
      <c r="J3">
        <v>5610</v>
      </c>
      <c r="S3">
        <f>+SUM(C3:F3)</f>
        <v>17140</v>
      </c>
      <c r="T3">
        <f>+SUM(G3:J3)</f>
        <v>21023</v>
      </c>
    </row>
    <row r="4" spans="2:27" x14ac:dyDescent="0.2">
      <c r="B4" t="s">
        <v>37</v>
      </c>
      <c r="C4">
        <v>3031</v>
      </c>
      <c r="D4">
        <v>3021</v>
      </c>
      <c r="E4">
        <v>3078</v>
      </c>
      <c r="F4">
        <v>3559</v>
      </c>
      <c r="G4">
        <v>2945</v>
      </c>
      <c r="H4">
        <v>2836</v>
      </c>
      <c r="I4">
        <v>2726</v>
      </c>
      <c r="J4">
        <v>3009</v>
      </c>
      <c r="S4">
        <f>+SUM(C4:F4)</f>
        <v>12689</v>
      </c>
      <c r="T4">
        <f>+SUM(G4:J4)</f>
        <v>11516</v>
      </c>
    </row>
    <row r="5" spans="2:27" x14ac:dyDescent="0.2">
      <c r="B5" t="s">
        <v>16</v>
      </c>
      <c r="C5">
        <v>1081</v>
      </c>
      <c r="D5">
        <v>1114</v>
      </c>
      <c r="E5">
        <v>1041</v>
      </c>
      <c r="F5">
        <v>1110</v>
      </c>
      <c r="G5">
        <v>1075</v>
      </c>
      <c r="H5">
        <v>1061</v>
      </c>
      <c r="I5">
        <v>1060</v>
      </c>
      <c r="J5">
        <v>1066</v>
      </c>
      <c r="S5">
        <f>+SUM(C5:F5)</f>
        <v>4346</v>
      </c>
      <c r="T5">
        <f>+SUM(G5:J5)</f>
        <v>4262</v>
      </c>
    </row>
    <row r="6" spans="2:27" s="2" customFormat="1" ht="15" x14ac:dyDescent="0.25">
      <c r="B6" s="2" t="s">
        <v>17</v>
      </c>
      <c r="C6" s="2">
        <f>+SUM(C3:C5)</f>
        <v>8040</v>
      </c>
      <c r="D6" s="2">
        <f>+SUM(D3:D5)</f>
        <v>8288</v>
      </c>
      <c r="E6" s="2">
        <f>+SUM(E3:E5)</f>
        <v>8470</v>
      </c>
      <c r="F6" s="2">
        <f>+SUM(F3:F5)</f>
        <v>9377</v>
      </c>
      <c r="G6" s="2">
        <f>+SUM(G3:G5)</f>
        <v>9013</v>
      </c>
      <c r="H6" s="2">
        <f>+SUM(H3:H5)</f>
        <v>9027</v>
      </c>
      <c r="I6" s="2">
        <f>+SUM(I3:I5)</f>
        <v>9076</v>
      </c>
      <c r="J6" s="2">
        <f>+SUM(J3:J5)</f>
        <v>9685</v>
      </c>
      <c r="P6" s="2">
        <v>26953</v>
      </c>
      <c r="Q6" s="2">
        <v>29520</v>
      </c>
      <c r="R6" s="2">
        <v>31207</v>
      </c>
      <c r="S6" s="2">
        <f>+SUM(S3:S5)</f>
        <v>34175</v>
      </c>
      <c r="T6" s="2">
        <f>+SUM(T3:T5)</f>
        <v>36801</v>
      </c>
    </row>
    <row r="7" spans="2:27" x14ac:dyDescent="0.2">
      <c r="B7" t="s">
        <v>15</v>
      </c>
      <c r="C7">
        <v>1091</v>
      </c>
      <c r="D7">
        <v>1123</v>
      </c>
      <c r="E7">
        <v>1167</v>
      </c>
      <c r="F7">
        <v>1279</v>
      </c>
      <c r="G7">
        <v>1273</v>
      </c>
      <c r="H7">
        <v>1297</v>
      </c>
      <c r="I7">
        <v>1342</v>
      </c>
      <c r="J7">
        <v>1504</v>
      </c>
      <c r="S7">
        <f t="shared" ref="S7:S9" si="1">+SUM(C7:F7)</f>
        <v>4660</v>
      </c>
      <c r="T7">
        <f t="shared" ref="T7:T9" si="2">+SUM(G7:J7)</f>
        <v>5416</v>
      </c>
    </row>
    <row r="8" spans="2:27" x14ac:dyDescent="0.2">
      <c r="B8" t="s">
        <v>37</v>
      </c>
      <c r="C8">
        <v>326</v>
      </c>
      <c r="D8">
        <v>311</v>
      </c>
      <c r="E8">
        <v>306</v>
      </c>
      <c r="F8">
        <v>319</v>
      </c>
      <c r="G8">
        <v>292</v>
      </c>
      <c r="H8">
        <v>313</v>
      </c>
      <c r="I8">
        <v>303</v>
      </c>
      <c r="J8">
        <v>340</v>
      </c>
      <c r="S8">
        <f t="shared" si="1"/>
        <v>1262</v>
      </c>
      <c r="T8">
        <f t="shared" si="2"/>
        <v>1248</v>
      </c>
    </row>
    <row r="9" spans="2:27" x14ac:dyDescent="0.2">
      <c r="B9" t="s">
        <v>16</v>
      </c>
      <c r="C9">
        <v>862</v>
      </c>
      <c r="D9">
        <v>837</v>
      </c>
      <c r="E9">
        <v>786</v>
      </c>
      <c r="F9">
        <v>837</v>
      </c>
      <c r="G9">
        <v>841</v>
      </c>
      <c r="H9">
        <v>797</v>
      </c>
      <c r="I9">
        <v>760</v>
      </c>
      <c r="J9">
        <v>796</v>
      </c>
      <c r="S9">
        <f t="shared" si="1"/>
        <v>3322</v>
      </c>
      <c r="T9">
        <f t="shared" si="2"/>
        <v>3194</v>
      </c>
    </row>
    <row r="10" spans="2:27" s="3" customFormat="1" x14ac:dyDescent="0.2">
      <c r="B10" s="3" t="s">
        <v>18</v>
      </c>
      <c r="C10" s="3">
        <f>+SUM(C7:C9)</f>
        <v>2279</v>
      </c>
      <c r="D10" s="3">
        <f>+SUM(D7:D9)</f>
        <v>2271</v>
      </c>
      <c r="E10" s="3">
        <f>+SUM(E7:E9)</f>
        <v>2259</v>
      </c>
      <c r="F10" s="3">
        <f>+SUM(F7:F9)</f>
        <v>2435</v>
      </c>
      <c r="G10" s="3">
        <f>+SUM(G7:G9)</f>
        <v>2406</v>
      </c>
      <c r="H10" s="3">
        <f>+SUM(H7:H9)</f>
        <v>2407</v>
      </c>
      <c r="I10" s="3">
        <f>+SUM(I7:I9)</f>
        <v>2405</v>
      </c>
      <c r="J10" s="3">
        <f>+SUM(J7:J9)</f>
        <v>2640</v>
      </c>
      <c r="S10" s="3">
        <f>+SUM(S7:S9)</f>
        <v>9244</v>
      </c>
      <c r="T10" s="3">
        <f>+SUM(T7:T9)</f>
        <v>9858</v>
      </c>
    </row>
    <row r="11" spans="2:27" s="2" customFormat="1" ht="15" x14ac:dyDescent="0.25">
      <c r="B11" s="2" t="s">
        <v>25</v>
      </c>
      <c r="C11" s="2">
        <f>+C6-C10</f>
        <v>5761</v>
      </c>
      <c r="D11" s="2">
        <f>+D6-D10</f>
        <v>6017</v>
      </c>
      <c r="E11" s="2">
        <f>+E6-E10</f>
        <v>6211</v>
      </c>
      <c r="F11" s="2">
        <f>+F6-F10</f>
        <v>6942</v>
      </c>
      <c r="G11" s="2">
        <f>+G6-G10</f>
        <v>6607</v>
      </c>
      <c r="H11" s="2">
        <f>+H6-H10</f>
        <v>6620</v>
      </c>
      <c r="I11" s="2">
        <f>+I6-I10</f>
        <v>6671</v>
      </c>
      <c r="J11" s="2">
        <f>+J6-J10</f>
        <v>7045</v>
      </c>
      <c r="S11" s="2">
        <f>+S6-S10</f>
        <v>24931</v>
      </c>
      <c r="T11" s="2">
        <f>+T6-T10</f>
        <v>26943</v>
      </c>
    </row>
    <row r="12" spans="2:27" x14ac:dyDescent="0.2">
      <c r="B12" t="s">
        <v>20</v>
      </c>
      <c r="C12">
        <v>1665</v>
      </c>
      <c r="D12">
        <v>1606</v>
      </c>
      <c r="E12">
        <v>1568</v>
      </c>
      <c r="F12">
        <v>1675</v>
      </c>
      <c r="G12">
        <v>1673</v>
      </c>
      <c r="H12">
        <v>1618</v>
      </c>
      <c r="I12">
        <v>1644</v>
      </c>
      <c r="J12">
        <v>1698</v>
      </c>
      <c r="S12">
        <f t="shared" ref="S12:S15" si="3">+SUM(C12:F12)</f>
        <v>6514</v>
      </c>
      <c r="T12">
        <f t="shared" ref="T12:T15" si="4">+SUM(G12:J12)</f>
        <v>6633</v>
      </c>
    </row>
    <row r="13" spans="2:27" x14ac:dyDescent="0.2">
      <c r="B13" t="s">
        <v>21</v>
      </c>
      <c r="C13">
        <v>2278</v>
      </c>
      <c r="D13">
        <v>2217</v>
      </c>
      <c r="E13">
        <v>2098</v>
      </c>
      <c r="F13">
        <v>2496</v>
      </c>
      <c r="G13">
        <v>2236</v>
      </c>
      <c r="H13">
        <v>2156</v>
      </c>
      <c r="I13">
        <v>2185</v>
      </c>
      <c r="J13">
        <v>2308</v>
      </c>
      <c r="S13">
        <f t="shared" si="3"/>
        <v>9089</v>
      </c>
      <c r="T13">
        <f t="shared" si="4"/>
        <v>8885</v>
      </c>
    </row>
    <row r="14" spans="2:27" x14ac:dyDescent="0.2">
      <c r="B14" t="s">
        <v>22</v>
      </c>
      <c r="C14">
        <v>360</v>
      </c>
      <c r="D14">
        <v>336</v>
      </c>
      <c r="E14">
        <v>361</v>
      </c>
      <c r="F14">
        <v>378</v>
      </c>
      <c r="G14">
        <v>358</v>
      </c>
      <c r="H14">
        <v>361</v>
      </c>
      <c r="I14">
        <v>364</v>
      </c>
      <c r="J14">
        <v>465</v>
      </c>
      <c r="S14">
        <f t="shared" si="3"/>
        <v>1435</v>
      </c>
      <c r="T14">
        <f t="shared" si="4"/>
        <v>1548</v>
      </c>
    </row>
    <row r="15" spans="2:27" x14ac:dyDescent="0.2">
      <c r="B15" t="s">
        <v>23</v>
      </c>
      <c r="C15">
        <v>4</v>
      </c>
      <c r="D15">
        <v>5</v>
      </c>
      <c r="E15">
        <v>22</v>
      </c>
      <c r="F15">
        <v>54</v>
      </c>
      <c r="G15">
        <v>8</v>
      </c>
      <c r="H15">
        <v>11</v>
      </c>
      <c r="I15">
        <v>8</v>
      </c>
      <c r="J15">
        <v>21</v>
      </c>
      <c r="S15">
        <f t="shared" si="3"/>
        <v>85</v>
      </c>
      <c r="T15">
        <f t="shared" si="4"/>
        <v>48</v>
      </c>
    </row>
    <row r="16" spans="2:27" x14ac:dyDescent="0.2">
      <c r="B16" t="s">
        <v>24</v>
      </c>
      <c r="C16">
        <f>+SUM(C12:C15)</f>
        <v>4307</v>
      </c>
      <c r="D16">
        <f>+SUM(D12:D15)</f>
        <v>4164</v>
      </c>
      <c r="E16">
        <f>+SUM(E12:E15)</f>
        <v>4049</v>
      </c>
      <c r="F16">
        <f>+SUM(F12:F15)</f>
        <v>4603</v>
      </c>
      <c r="G16">
        <f>+SUM(G12:G15)</f>
        <v>4275</v>
      </c>
      <c r="H16">
        <f>+SUM(H12:H15)</f>
        <v>4146</v>
      </c>
      <c r="I16">
        <f>+SUM(I12:I15)</f>
        <v>4201</v>
      </c>
      <c r="J16">
        <f>+SUM(J12:J15)</f>
        <v>4492</v>
      </c>
      <c r="S16">
        <f>+SUM(S12:S15)</f>
        <v>17123</v>
      </c>
      <c r="T16">
        <f>+SUM(T12:T15)</f>
        <v>17114</v>
      </c>
    </row>
    <row r="17" spans="2:58" s="2" customFormat="1" ht="15" x14ac:dyDescent="0.25">
      <c r="B17" s="2" t="s">
        <v>19</v>
      </c>
      <c r="C17" s="2">
        <f>+C11-C16</f>
        <v>1454</v>
      </c>
      <c r="D17" s="2">
        <f>+D11-D16</f>
        <v>1853</v>
      </c>
      <c r="E17" s="2">
        <f>+E11-E16</f>
        <v>2162</v>
      </c>
      <c r="F17" s="2">
        <f>+F11-F16</f>
        <v>2339</v>
      </c>
      <c r="G17" s="2">
        <f>+G11-G16</f>
        <v>2332</v>
      </c>
      <c r="H17" s="2">
        <f>+H11-H16</f>
        <v>2474</v>
      </c>
      <c r="I17" s="2">
        <f>+I11-I16</f>
        <v>2470</v>
      </c>
      <c r="J17" s="2">
        <f>+J11-J16</f>
        <v>2553</v>
      </c>
      <c r="S17" s="2">
        <f>+S11-S16</f>
        <v>7808</v>
      </c>
      <c r="T17" s="2">
        <f>+T11-T16</f>
        <v>9829</v>
      </c>
    </row>
    <row r="18" spans="2:58" x14ac:dyDescent="0.2">
      <c r="B18" t="s">
        <v>26</v>
      </c>
      <c r="C18">
        <f>199-244</f>
        <v>-45</v>
      </c>
      <c r="D18">
        <f>412-242</f>
        <v>170</v>
      </c>
      <c r="E18">
        <f>240-241</f>
        <v>-1</v>
      </c>
      <c r="F18">
        <f>578-306</f>
        <v>272</v>
      </c>
      <c r="G18">
        <f>406-208</f>
        <v>198</v>
      </c>
      <c r="H18">
        <f>317-268</f>
        <v>49</v>
      </c>
      <c r="I18">
        <f>524-312</f>
        <v>212</v>
      </c>
      <c r="J18">
        <f>665-517</f>
        <v>148</v>
      </c>
      <c r="S18">
        <f t="shared" ref="S18:S20" si="5">+SUM(C18:F18)</f>
        <v>396</v>
      </c>
      <c r="T18">
        <f t="shared" ref="T18:T20" si="6">+SUM(G18:J18)</f>
        <v>607</v>
      </c>
    </row>
    <row r="19" spans="2:58" x14ac:dyDescent="0.2">
      <c r="B19" t="s">
        <v>27</v>
      </c>
      <c r="C19">
        <f>+C17+C18</f>
        <v>1409</v>
      </c>
      <c r="D19">
        <f>+D17+D18</f>
        <v>2023</v>
      </c>
      <c r="E19">
        <f>+E17+E18</f>
        <v>2161</v>
      </c>
      <c r="F19">
        <f>+F17+F18</f>
        <v>2611</v>
      </c>
      <c r="G19">
        <f>+G17+G18</f>
        <v>2530</v>
      </c>
      <c r="H19">
        <f>+H17+H18</f>
        <v>2523</v>
      </c>
      <c r="I19">
        <f>+I17+I18</f>
        <v>2682</v>
      </c>
      <c r="J19">
        <f>+J17+J18</f>
        <v>2701</v>
      </c>
      <c r="S19">
        <f>+S17+S18</f>
        <v>8204</v>
      </c>
      <c r="T19">
        <f>+T17+T18</f>
        <v>10436</v>
      </c>
    </row>
    <row r="20" spans="2:58" x14ac:dyDescent="0.2">
      <c r="B20" t="s">
        <v>28</v>
      </c>
      <c r="C20">
        <v>-157</v>
      </c>
      <c r="D20">
        <v>469</v>
      </c>
      <c r="E20">
        <v>710</v>
      </c>
      <c r="F20">
        <v>591</v>
      </c>
      <c r="G20">
        <v>672</v>
      </c>
      <c r="H20">
        <v>753</v>
      </c>
      <c r="I20">
        <v>694</v>
      </c>
      <c r="J20">
        <v>871</v>
      </c>
      <c r="S20">
        <f t="shared" si="5"/>
        <v>1613</v>
      </c>
      <c r="T20">
        <f t="shared" si="6"/>
        <v>2990</v>
      </c>
    </row>
    <row r="21" spans="2:58" s="2" customFormat="1" ht="15" x14ac:dyDescent="0.25">
      <c r="B21" s="2" t="s">
        <v>29</v>
      </c>
      <c r="C21" s="2">
        <f>+C19-C20</f>
        <v>1566</v>
      </c>
      <c r="D21" s="2">
        <f>+D19-D20</f>
        <v>1554</v>
      </c>
      <c r="E21" s="2">
        <f>+E19-E20</f>
        <v>1451</v>
      </c>
      <c r="F21" s="2">
        <f>+F19-F20</f>
        <v>2020</v>
      </c>
      <c r="G21" s="2">
        <f>+G19-G20</f>
        <v>1858</v>
      </c>
      <c r="H21" s="2">
        <f>+H19-H20</f>
        <v>1770</v>
      </c>
      <c r="I21" s="2">
        <f>+I19-I20</f>
        <v>1988</v>
      </c>
      <c r="J21" s="2">
        <f>+J19-J20</f>
        <v>1830</v>
      </c>
      <c r="P21" s="2">
        <f>5376+157</f>
        <v>5533</v>
      </c>
      <c r="Q21" s="2">
        <f>1078+138</f>
        <v>1216</v>
      </c>
      <c r="R21" s="2">
        <f>5964+215</f>
        <v>6179</v>
      </c>
      <c r="S21" s="2">
        <f>+S19-S20</f>
        <v>6591</v>
      </c>
      <c r="T21" s="2">
        <f>+T19-T20</f>
        <v>7446</v>
      </c>
      <c r="U21" s="2">
        <f>+T21*1.09</f>
        <v>8116.14</v>
      </c>
      <c r="V21" s="2">
        <f t="shared" ref="V21:Z21" si="7">+U21*1.09</f>
        <v>8846.5926000000018</v>
      </c>
      <c r="W21" s="2">
        <f t="shared" si="7"/>
        <v>9642.7859340000032</v>
      </c>
      <c r="X21" s="2">
        <f t="shared" si="7"/>
        <v>10510.636668060004</v>
      </c>
      <c r="Y21" s="2">
        <f t="shared" si="7"/>
        <v>11456.593968185405</v>
      </c>
      <c r="Z21" s="2">
        <f t="shared" si="7"/>
        <v>12487.687425322092</v>
      </c>
      <c r="AA21" s="2">
        <f>+Z21*0.98</f>
        <v>12237.93367681565</v>
      </c>
      <c r="AB21" s="2">
        <f t="shared" ref="AB21:BF21" si="8">+AA21*0.98</f>
        <v>11993.175003279337</v>
      </c>
      <c r="AC21" s="2">
        <f t="shared" si="8"/>
        <v>11753.31150321375</v>
      </c>
      <c r="AD21" s="2">
        <f t="shared" si="8"/>
        <v>11518.245273149476</v>
      </c>
      <c r="AE21" s="2">
        <f t="shared" si="8"/>
        <v>11287.880367686486</v>
      </c>
      <c r="AF21" s="2">
        <f t="shared" si="8"/>
        <v>11062.122760332757</v>
      </c>
      <c r="AG21" s="2">
        <f t="shared" si="8"/>
        <v>10840.880305126102</v>
      </c>
      <c r="AH21" s="2">
        <f t="shared" si="8"/>
        <v>10624.06269902358</v>
      </c>
      <c r="AI21" s="2">
        <f t="shared" si="8"/>
        <v>10411.581445043108</v>
      </c>
      <c r="AJ21" s="2">
        <f t="shared" si="8"/>
        <v>10203.349816142245</v>
      </c>
      <c r="AK21" s="2">
        <f t="shared" si="8"/>
        <v>9999.2828198194002</v>
      </c>
      <c r="AL21" s="2">
        <f t="shared" si="8"/>
        <v>9799.2971634230125</v>
      </c>
      <c r="AM21" s="2">
        <f t="shared" si="8"/>
        <v>9603.3112201545518</v>
      </c>
      <c r="AN21" s="2">
        <f t="shared" si="8"/>
        <v>9411.24499575146</v>
      </c>
      <c r="AO21" s="2">
        <f t="shared" si="8"/>
        <v>9223.0200958364312</v>
      </c>
      <c r="AP21" s="2">
        <f t="shared" si="8"/>
        <v>9038.5596939197021</v>
      </c>
      <c r="AQ21" s="2">
        <f t="shared" si="8"/>
        <v>8857.788500041308</v>
      </c>
      <c r="AR21" s="2">
        <f t="shared" si="8"/>
        <v>8680.632730040481</v>
      </c>
      <c r="AS21" s="2">
        <f t="shared" si="8"/>
        <v>8507.0200754396719</v>
      </c>
      <c r="AT21" s="2">
        <f t="shared" si="8"/>
        <v>8336.8796739308782</v>
      </c>
      <c r="AU21" s="2">
        <f t="shared" si="8"/>
        <v>8170.1420804522604</v>
      </c>
      <c r="AV21" s="2">
        <f t="shared" si="8"/>
        <v>8006.7392388432154</v>
      </c>
      <c r="AW21" s="2">
        <f t="shared" si="8"/>
        <v>7846.6044540663506</v>
      </c>
      <c r="AX21" s="2">
        <f t="shared" si="8"/>
        <v>7689.6723649850237</v>
      </c>
      <c r="AY21" s="2">
        <f t="shared" si="8"/>
        <v>7535.8789176853234</v>
      </c>
      <c r="AZ21" s="2">
        <f t="shared" si="8"/>
        <v>7385.1613393316165</v>
      </c>
      <c r="BA21" s="2">
        <f t="shared" si="8"/>
        <v>7237.458112544984</v>
      </c>
      <c r="BB21" s="2">
        <f t="shared" si="8"/>
        <v>7092.7089502940844</v>
      </c>
      <c r="BC21" s="2">
        <f t="shared" si="8"/>
        <v>6950.8547712882028</v>
      </c>
      <c r="BD21" s="2">
        <f t="shared" si="8"/>
        <v>6811.837675862439</v>
      </c>
      <c r="BE21" s="2">
        <f t="shared" si="8"/>
        <v>6675.6009223451902</v>
      </c>
      <c r="BF21" s="2">
        <f t="shared" si="8"/>
        <v>6542.0889038982859</v>
      </c>
    </row>
    <row r="22" spans="2:58" x14ac:dyDescent="0.2">
      <c r="B22" t="s">
        <v>30</v>
      </c>
      <c r="C22">
        <v>-0.71</v>
      </c>
      <c r="D22">
        <v>0.75</v>
      </c>
      <c r="E22">
        <v>1.25</v>
      </c>
      <c r="F22" t="s">
        <v>31</v>
      </c>
      <c r="G22">
        <v>1.52</v>
      </c>
      <c r="H22">
        <v>1.45</v>
      </c>
      <c r="I22">
        <v>1.72</v>
      </c>
      <c r="J22" t="s">
        <v>31</v>
      </c>
    </row>
    <row r="23" spans="2:58" x14ac:dyDescent="0.2">
      <c r="B23" t="s">
        <v>1</v>
      </c>
    </row>
    <row r="26" spans="2:58" x14ac:dyDescent="0.2">
      <c r="B26" t="s">
        <v>32</v>
      </c>
      <c r="D26" s="4" t="e">
        <f>+D6/#REF!-1</f>
        <v>#REF!</v>
      </c>
      <c r="E26" s="4" t="e">
        <f t="shared" ref="E26:I26" si="9">+E6/A6-1</f>
        <v>#DIV/0!</v>
      </c>
      <c r="F26" s="4" t="e">
        <f t="shared" si="9"/>
        <v>#VALUE!</v>
      </c>
      <c r="G26" s="4">
        <f t="shared" si="9"/>
        <v>0.12101990049751254</v>
      </c>
      <c r="H26" s="4">
        <f t="shared" si="9"/>
        <v>8.9165057915058021E-2</v>
      </c>
      <c r="I26" s="4">
        <f t="shared" si="9"/>
        <v>7.1546635182998752E-2</v>
      </c>
      <c r="J26" s="4">
        <f>+J6/F6-1</f>
        <v>3.2846326117095037E-2</v>
      </c>
      <c r="P26" s="4" t="s">
        <v>31</v>
      </c>
      <c r="Q26" s="4">
        <f t="shared" ref="P26:T26" si="10">+Q6/P6-1</f>
        <v>9.5239861981968543E-2</v>
      </c>
      <c r="R26" s="4">
        <f t="shared" si="10"/>
        <v>5.7147696476964827E-2</v>
      </c>
      <c r="S26" s="4">
        <f t="shared" si="10"/>
        <v>9.5106867049059574E-2</v>
      </c>
      <c r="T26" s="4">
        <f>+T6/S6-1</f>
        <v>7.6839795171909309E-2</v>
      </c>
      <c r="W26" s="3" t="s">
        <v>38</v>
      </c>
      <c r="X26" s="5">
        <f>+NPV(0.07,U21:BF21)</f>
        <v>132852.25779195418</v>
      </c>
    </row>
    <row r="27" spans="2:58" x14ac:dyDescent="0.2">
      <c r="B27" t="s">
        <v>33</v>
      </c>
      <c r="D27" s="4">
        <f t="shared" ref="D27:J27" si="11">+D11/D6</f>
        <v>0.72598938223938225</v>
      </c>
      <c r="E27" s="4">
        <f t="shared" si="11"/>
        <v>0.7332939787485242</v>
      </c>
      <c r="F27" s="4">
        <f t="shared" si="11"/>
        <v>0.74032206462621308</v>
      </c>
      <c r="G27" s="4">
        <f t="shared" si="11"/>
        <v>0.73305225784977257</v>
      </c>
      <c r="H27" s="4">
        <f t="shared" si="11"/>
        <v>0.73335548908829074</v>
      </c>
      <c r="I27" s="4">
        <f t="shared" si="11"/>
        <v>0.73501542529748787</v>
      </c>
      <c r="J27" s="4">
        <f>+J11/J6</f>
        <v>0.72741352607124421</v>
      </c>
      <c r="P27" s="4"/>
      <c r="Q27" s="4"/>
      <c r="R27" s="4"/>
      <c r="S27" s="4">
        <f t="shared" ref="P27:T27" si="12">+S11/S6</f>
        <v>0.72950987564008773</v>
      </c>
      <c r="T27" s="4">
        <f t="shared" si="12"/>
        <v>0.73212684437922881</v>
      </c>
      <c r="W27" t="s">
        <v>40</v>
      </c>
      <c r="X27" s="1">
        <f>+X26-main!L6+main!L7</f>
        <v>132857.66179195419</v>
      </c>
    </row>
    <row r="28" spans="2:58" ht="15" x14ac:dyDescent="0.25">
      <c r="B28" t="s">
        <v>34</v>
      </c>
      <c r="D28" s="4">
        <f t="shared" ref="D28:J28" si="13">+D17/D6</f>
        <v>0.22357625482625482</v>
      </c>
      <c r="E28" s="4">
        <f t="shared" si="13"/>
        <v>0.25525383707201887</v>
      </c>
      <c r="F28" s="4">
        <f t="shared" si="13"/>
        <v>0.24944011944118588</v>
      </c>
      <c r="G28" s="4">
        <f t="shared" si="13"/>
        <v>0.25873737934095198</v>
      </c>
      <c r="H28" s="4">
        <f t="shared" si="13"/>
        <v>0.27406668882242163</v>
      </c>
      <c r="I28" s="4">
        <f t="shared" si="13"/>
        <v>0.2721463199647422</v>
      </c>
      <c r="J28" s="4">
        <f>+J17/J6</f>
        <v>0.26360351058337633</v>
      </c>
      <c r="P28" s="4"/>
      <c r="Q28" s="4"/>
      <c r="R28" s="4"/>
      <c r="S28" s="4">
        <f t="shared" ref="P28:T28" si="14">+S17/S6</f>
        <v>0.22847110460863204</v>
      </c>
      <c r="T28" s="4">
        <f t="shared" si="14"/>
        <v>0.26708513355615338</v>
      </c>
      <c r="W28" s="2" t="s">
        <v>39</v>
      </c>
      <c r="X28">
        <f>+X27/1166</f>
        <v>113.94310616805677</v>
      </c>
    </row>
    <row r="29" spans="2:58" x14ac:dyDescent="0.2">
      <c r="B29" t="s">
        <v>35</v>
      </c>
      <c r="D29" s="4">
        <f t="shared" ref="D29:J29" si="15">+D20/D19</f>
        <v>0.23183391003460208</v>
      </c>
      <c r="E29" s="4">
        <f t="shared" si="15"/>
        <v>0.32855159648310966</v>
      </c>
      <c r="F29" s="4">
        <f t="shared" si="15"/>
        <v>0.22635005744925316</v>
      </c>
      <c r="G29" s="4">
        <f t="shared" si="15"/>
        <v>0.26561264822134389</v>
      </c>
      <c r="H29" s="4">
        <f t="shared" si="15"/>
        <v>0.29845422116527942</v>
      </c>
      <c r="I29" s="4">
        <f t="shared" si="15"/>
        <v>0.25876211782252051</v>
      </c>
      <c r="J29" s="4">
        <f>+J20/J19</f>
        <v>0.32247315808959642</v>
      </c>
      <c r="P29" s="4" t="s">
        <v>31</v>
      </c>
      <c r="Q29" s="4">
        <f t="shared" ref="P29:T29" si="16">+Q21/P21-1</f>
        <v>-0.78022772456172063</v>
      </c>
      <c r="R29" s="4">
        <f t="shared" si="16"/>
        <v>4.0814144736842106</v>
      </c>
      <c r="S29" s="4">
        <f t="shared" si="16"/>
        <v>6.6677455899012861E-2</v>
      </c>
      <c r="T29" s="4">
        <f>+T21/S21-1</f>
        <v>0.12972234865725984</v>
      </c>
    </row>
    <row r="30" spans="2:58" x14ac:dyDescent="0.2">
      <c r="B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</vt:lpstr>
      <vt:lpstr>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2026-02-04T15:27:14Z</dcterms:created>
  <dcterms:modified xsi:type="dcterms:W3CDTF">2026-02-04T17:17:14Z</dcterms:modified>
</cp:coreProperties>
</file>