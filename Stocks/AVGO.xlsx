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0" documentId="8_{BC128565-1B97-4DF0-B6C5-43B46F01E749}" xr6:coauthVersionLast="47" xr6:coauthVersionMax="47" xr10:uidLastSave="{00000000-0000-0000-0000-000000000000}"/>
  <bookViews>
    <workbookView xWindow="-120" yWindow="-120" windowWidth="29040" windowHeight="15720" activeTab="2" xr2:uid="{E5DC8C73-5FEA-4B3F-BB30-934D4B91901F}"/>
  </bookViews>
  <sheets>
    <sheet name="main" sheetId="1" r:id="rId1"/>
    <sheet name="model" sheetId="2" r:id="rId2"/>
    <sheet name="Fo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7" i="1" s="1"/>
  <c r="CB16" i="3"/>
  <c r="CB15" i="3"/>
  <c r="CA13" i="3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BZ13" i="3"/>
  <c r="BY20" i="3"/>
  <c r="BX20" i="3"/>
  <c r="BW20" i="3"/>
  <c r="BV20" i="3"/>
  <c r="BU20" i="3"/>
  <c r="BT20" i="3"/>
  <c r="BY19" i="3"/>
  <c r="BX19" i="3"/>
  <c r="BW19" i="3"/>
  <c r="BV19" i="3"/>
  <c r="BU19" i="3"/>
  <c r="BT19" i="3"/>
  <c r="BY18" i="3"/>
  <c r="BX18" i="3"/>
  <c r="BW18" i="3"/>
  <c r="BV18" i="3"/>
  <c r="BU18" i="3"/>
  <c r="BT18" i="3"/>
  <c r="BY17" i="3"/>
  <c r="BX17" i="3"/>
  <c r="BW17" i="3"/>
  <c r="BV17" i="3"/>
  <c r="BU17" i="3"/>
  <c r="BT17" i="3"/>
  <c r="BY16" i="3"/>
  <c r="BX16" i="3"/>
  <c r="BW16" i="3"/>
  <c r="BV16" i="3"/>
  <c r="BU16" i="3"/>
  <c r="BT16" i="3"/>
  <c r="BY15" i="3"/>
  <c r="BX15" i="3"/>
  <c r="BW15" i="3"/>
  <c r="BV15" i="3"/>
  <c r="BU15" i="3"/>
  <c r="BT15" i="3"/>
  <c r="BY13" i="3"/>
  <c r="BX13" i="3"/>
  <c r="BW13" i="3"/>
  <c r="BV13" i="3"/>
  <c r="BU13" i="3"/>
  <c r="BT13" i="3"/>
  <c r="BY11" i="3"/>
  <c r="BX11" i="3"/>
  <c r="BW11" i="3"/>
  <c r="BV11" i="3"/>
  <c r="BU11" i="3"/>
  <c r="BT11" i="3"/>
  <c r="BY9" i="3"/>
  <c r="BX9" i="3"/>
  <c r="BW9" i="3"/>
  <c r="BV9" i="3"/>
  <c r="BU9" i="3"/>
  <c r="BT9" i="3"/>
  <c r="BY8" i="3"/>
  <c r="BX8" i="3"/>
  <c r="BW8" i="3"/>
  <c r="BV8" i="3"/>
  <c r="BU8" i="3"/>
  <c r="BT8" i="3"/>
  <c r="BT7" i="3"/>
  <c r="BU7" i="3" s="1"/>
  <c r="BV7" i="3" s="1"/>
  <c r="BW7" i="3" s="1"/>
  <c r="BX7" i="3" s="1"/>
  <c r="BY7" i="3" s="1"/>
  <c r="BU6" i="3"/>
  <c r="BV6" i="3" s="1"/>
  <c r="BW6" i="3" s="1"/>
  <c r="BX6" i="3" s="1"/>
  <c r="BY6" i="3" s="1"/>
  <c r="BT6" i="3"/>
  <c r="BY5" i="3"/>
  <c r="BX5" i="3"/>
  <c r="BW5" i="3"/>
  <c r="BV5" i="3"/>
  <c r="BU5" i="3"/>
  <c r="BT5" i="3"/>
  <c r="BU3" i="3"/>
  <c r="BV3" i="3" s="1"/>
  <c r="BW3" i="3" s="1"/>
  <c r="BX3" i="3" s="1"/>
  <c r="BY3" i="3" s="1"/>
  <c r="BT3" i="3"/>
  <c r="BQ19" i="3"/>
  <c r="BR20" i="3"/>
  <c r="BR19" i="3"/>
  <c r="BR18" i="3"/>
  <c r="BQ18" i="3"/>
  <c r="BR17" i="3"/>
  <c r="BQ17" i="3"/>
  <c r="BR16" i="3"/>
  <c r="BQ16" i="3"/>
  <c r="BR15" i="3"/>
  <c r="BQ15" i="3"/>
  <c r="BS20" i="3"/>
  <c r="BS19" i="3"/>
  <c r="BS18" i="3"/>
  <c r="BS17" i="3"/>
  <c r="BS16" i="3"/>
  <c r="BS15" i="3"/>
  <c r="BQ13" i="3"/>
  <c r="BQ12" i="3"/>
  <c r="BQ11" i="3"/>
  <c r="BQ10" i="3"/>
  <c r="BQ9" i="3"/>
  <c r="BQ8" i="3"/>
  <c r="BQ7" i="3"/>
  <c r="BQ6" i="3"/>
  <c r="BQ5" i="3"/>
  <c r="BQ4" i="3"/>
  <c r="BQ3" i="3"/>
  <c r="BR13" i="3"/>
  <c r="BR12" i="3"/>
  <c r="BR11" i="3"/>
  <c r="BR10" i="3"/>
  <c r="BR9" i="3"/>
  <c r="BR8" i="3"/>
  <c r="BR7" i="3"/>
  <c r="BR6" i="3"/>
  <c r="BR5" i="3"/>
  <c r="BR4" i="3"/>
  <c r="BR3" i="3"/>
  <c r="BS13" i="3"/>
  <c r="BS12" i="3"/>
  <c r="BS11" i="3"/>
  <c r="BS10" i="3"/>
  <c r="BS9" i="3"/>
  <c r="BS8" i="3"/>
  <c r="BS7" i="3"/>
  <c r="BS6" i="3"/>
  <c r="BS5" i="3"/>
  <c r="BS4" i="3"/>
  <c r="BS3" i="3"/>
  <c r="BS2" i="3"/>
  <c r="BT2" i="3" s="1"/>
  <c r="BU2" i="3" s="1"/>
  <c r="BV2" i="3" s="1"/>
  <c r="BW2" i="3" s="1"/>
  <c r="BX2" i="3" s="1"/>
  <c r="BY2" i="3" s="1"/>
  <c r="BR2" i="3"/>
  <c r="J14" i="2"/>
  <c r="J12" i="2"/>
  <c r="J8" i="2"/>
  <c r="J5" i="2"/>
  <c r="J9" i="2" s="1"/>
  <c r="J13" i="2" s="1"/>
  <c r="J15" i="2" s="1"/>
  <c r="J17" i="2" s="1"/>
  <c r="J18" i="2" s="1"/>
  <c r="C14" i="2"/>
  <c r="C12" i="2"/>
  <c r="C8" i="2"/>
  <c r="C5" i="2"/>
  <c r="G14" i="2"/>
  <c r="G12" i="2"/>
  <c r="G8" i="2"/>
  <c r="G5" i="2"/>
  <c r="K14" i="2"/>
  <c r="K12" i="2"/>
  <c r="K9" i="2"/>
  <c r="K13" i="2" s="1"/>
  <c r="K15" i="2" s="1"/>
  <c r="K17" i="2" s="1"/>
  <c r="K18" i="2" s="1"/>
  <c r="K8" i="2"/>
  <c r="K5" i="2"/>
  <c r="C9" i="2" l="1"/>
  <c r="C13" i="2" s="1"/>
  <c r="C15" i="2" s="1"/>
  <c r="C17" i="2" s="1"/>
  <c r="C18" i="2" s="1"/>
  <c r="G9" i="2"/>
  <c r="G13" i="2"/>
  <c r="G15" i="2" s="1"/>
  <c r="G17" i="2" s="1"/>
  <c r="G18" i="2" s="1"/>
</calcChain>
</file>

<file path=xl/sharedStrings.xml><?xml version="1.0" encoding="utf-8"?>
<sst xmlns="http://schemas.openxmlformats.org/spreadsheetml/2006/main" count="476" uniqueCount="362">
  <si>
    <t xml:space="preserve">Price </t>
  </si>
  <si>
    <t>Shares</t>
  </si>
  <si>
    <t>MC</t>
  </si>
  <si>
    <t>Cash</t>
  </si>
  <si>
    <t>Debt</t>
  </si>
  <si>
    <t>EV</t>
  </si>
  <si>
    <t xml:space="preserve"> 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</si>
  <si>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</si>
  <si>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</si>
  <si>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</si>
  <si>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</si>
  <si>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</si>
  <si>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</si>
  <si>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</si>
  <si>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</si>
  <si>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</si>
  <si>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Products</t>
  </si>
  <si>
    <t>Subscriptions</t>
  </si>
  <si>
    <t>Revenue</t>
  </si>
  <si>
    <t>Gross Profit</t>
  </si>
  <si>
    <t>RD</t>
  </si>
  <si>
    <t>SGA</t>
  </si>
  <si>
    <t>OPEX</t>
  </si>
  <si>
    <t>Operating Profit</t>
  </si>
  <si>
    <t>Pretax</t>
  </si>
  <si>
    <t>Interest Income</t>
  </si>
  <si>
    <t>Tax</t>
  </si>
  <si>
    <t>NI</t>
  </si>
  <si>
    <t>EPS</t>
  </si>
  <si>
    <t>COGS</t>
  </si>
  <si>
    <t>Q423</t>
  </si>
  <si>
    <t>Q3 2010</t>
  </si>
  <si>
    <t>Q4 2010</t>
  </si>
  <si>
    <t>Q1 2011</t>
  </si>
  <si>
    <t>Q3 2011</t>
  </si>
  <si>
    <t>Q4 2011</t>
  </si>
  <si>
    <t>Q1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</si>
  <si>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</si>
  <si>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</si>
  <si>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</si>
  <si>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</si>
  <si>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</si>
  <si>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</si>
  <si>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</si>
  <si>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</si>
  <si>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</si>
  <si>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</si>
  <si>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</si>
  <si>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</si>
  <si>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</si>
  <si>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</si>
  <si>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</si>
  <si>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</si>
  <si>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</si>
  <si>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</si>
  <si>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</si>
  <si>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</si>
  <si>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</si>
  <si>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</si>
  <si>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</si>
  <si>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</si>
  <si>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</si>
  <si>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</si>
  <si>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</si>
  <si>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</si>
  <si>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</si>
  <si>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</si>
  <si>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</si>
  <si>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</si>
  <si>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</si>
  <si>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</si>
  <si>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</si>
  <si>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</si>
  <si>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</si>
  <si>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</si>
  <si>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</si>
  <si>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</si>
  <si>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</si>
  <si>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</si>
  <si>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</si>
  <si>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</si>
  <si>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</si>
  <si>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</si>
  <si>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</si>
  <si>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</si>
  <si>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</si>
  <si>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</si>
  <si>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</si>
  <si>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</si>
  <si>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</si>
  <si>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</si>
  <si>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SG&amp;A Expense</t>
  </si>
  <si>
    <t>R&amp;D Expense</t>
  </si>
  <si>
    <t>Operating Expenses</t>
  </si>
  <si>
    <t>Operating Income</t>
  </si>
  <si>
    <t>Other Income</t>
  </si>
  <si>
    <t>-</t>
  </si>
  <si>
    <t>Pretax Income</t>
  </si>
  <si>
    <t>Income Taxes</t>
  </si>
  <si>
    <t>Net Income</t>
  </si>
  <si>
    <t>Gross Profit Margin</t>
  </si>
  <si>
    <t>47.8%</t>
  </si>
  <si>
    <t>48.3%</t>
  </si>
  <si>
    <t>49.1%</t>
  </si>
  <si>
    <t>49.3%</t>
  </si>
  <si>
    <t>48.8%</t>
  </si>
  <si>
    <t>48.0%</t>
  </si>
  <si>
    <t>48.7%</t>
  </si>
  <si>
    <t>48.4%</t>
  </si>
  <si>
    <t>47.9%</t>
  </si>
  <si>
    <t>47.2%</t>
  </si>
  <si>
    <t>46.9%</t>
  </si>
  <si>
    <t>50.9%</t>
  </si>
  <si>
    <t>31.0%</t>
  </si>
  <si>
    <t>49.6%</t>
  </si>
  <si>
    <t>50.5%</t>
  </si>
  <si>
    <t>52.4%</t>
  </si>
  <si>
    <t>51.0%</t>
  </si>
  <si>
    <t>54.2%</t>
  </si>
  <si>
    <t>53.1%</t>
  </si>
  <si>
    <t>29.5%</t>
  </si>
  <si>
    <t>47.0%</t>
  </si>
  <si>
    <t>52.0%</t>
  </si>
  <si>
    <t>48.2%</t>
  </si>
  <si>
    <t>49.2%</t>
  </si>
  <si>
    <t>51.7%</t>
  </si>
  <si>
    <t>53.9%</t>
  </si>
  <si>
    <t>55.4%</t>
  </si>
  <si>
    <t>56.0%</t>
  </si>
  <si>
    <t>55.0%</t>
  </si>
  <si>
    <t>54.6%</t>
  </si>
  <si>
    <t>55.7%</t>
  </si>
  <si>
    <t>55.5%</t>
  </si>
  <si>
    <t>57.0%</t>
  </si>
  <si>
    <t>57.9%</t>
  </si>
  <si>
    <t>59.4%</t>
  </si>
  <si>
    <t>61.4%</t>
  </si>
  <si>
    <t>61.9%</t>
  </si>
  <si>
    <t>62.6%</t>
  </si>
  <si>
    <t>65.5%</t>
  </si>
  <si>
    <t>67.1%</t>
  </si>
  <si>
    <t>66.4%</t>
  </si>
  <si>
    <t>67.3%</t>
  </si>
  <si>
    <t>70.0%</t>
  </si>
  <si>
    <t>69.4%</t>
  </si>
  <si>
    <t>68.9%</t>
  </si>
  <si>
    <t>61.7%</t>
  </si>
  <si>
    <t>62.3%</t>
  </si>
  <si>
    <t>63.9%</t>
  </si>
  <si>
    <t>64.1%</t>
  </si>
  <si>
    <t>68.0%</t>
  </si>
  <si>
    <t>Operating Profit Margin</t>
  </si>
  <si>
    <t>24.5%</t>
  </si>
  <si>
    <t>25.3%</t>
  </si>
  <si>
    <t>24.6%</t>
  </si>
  <si>
    <t>24.0%</t>
  </si>
  <si>
    <t>25.5%</t>
  </si>
  <si>
    <t>23.4%</t>
  </si>
  <si>
    <t>26.5%</t>
  </si>
  <si>
    <t>21.5%</t>
  </si>
  <si>
    <t>21.0%</t>
  </si>
  <si>
    <t>21.7%</t>
  </si>
  <si>
    <t>23.0%</t>
  </si>
  <si>
    <t>19.6%</t>
  </si>
  <si>
    <t>22.8%</t>
  </si>
  <si>
    <t>-12.8%</t>
  </si>
  <si>
    <t>18.9%</t>
  </si>
  <si>
    <t>25.9%</t>
  </si>
  <si>
    <t>17.2%</t>
  </si>
  <si>
    <t>27.9%</t>
  </si>
  <si>
    <t>26.8%</t>
  </si>
  <si>
    <t>-28.3%</t>
  </si>
  <si>
    <t>-7.0%</t>
  </si>
  <si>
    <t>-4.0%</t>
  </si>
  <si>
    <t>12.2%</t>
  </si>
  <si>
    <t>11.3%</t>
  </si>
  <si>
    <t>14.5%</t>
  </si>
  <si>
    <t>15.3%</t>
  </si>
  <si>
    <t>17.7%</t>
  </si>
  <si>
    <t>26.4%</t>
  </si>
  <si>
    <t>30.3%</t>
  </si>
  <si>
    <t>9.6%</t>
  </si>
  <si>
    <t>17.6%</t>
  </si>
  <si>
    <t>15.7%</t>
  </si>
  <si>
    <t>18.2%</t>
  </si>
  <si>
    <t>13.3%</t>
  </si>
  <si>
    <t>17.3%</t>
  </si>
  <si>
    <t>23.6%</t>
  </si>
  <si>
    <t>27.6%</t>
  </si>
  <si>
    <t>29.9%</t>
  </si>
  <si>
    <t>31.4%</t>
  </si>
  <si>
    <t>34.8%</t>
  </si>
  <si>
    <t>40.3%</t>
  </si>
  <si>
    <t>41.9%</t>
  </si>
  <si>
    <t>44.2%</t>
  </si>
  <si>
    <t>44.6%</t>
  </si>
  <si>
    <t>46.0%</t>
  </si>
  <si>
    <t>45.9%</t>
  </si>
  <si>
    <t>43.4%</t>
  </si>
  <si>
    <t>45.6%</t>
  </si>
  <si>
    <t>17.4%</t>
  </si>
  <si>
    <t>23.7%</t>
  </si>
  <si>
    <t>29.0%</t>
  </si>
  <si>
    <t>32.9%</t>
  </si>
  <si>
    <t>42.0%</t>
  </si>
  <si>
    <t>38.8%</t>
  </si>
  <si>
    <t>36.9%</t>
  </si>
  <si>
    <t>41.7%</t>
  </si>
  <si>
    <t>Net Profit Margin</t>
  </si>
  <si>
    <t>22.4%</t>
  </si>
  <si>
    <t>28.7%</t>
  </si>
  <si>
    <t>24.1%</t>
  </si>
  <si>
    <t>23.9%</t>
  </si>
  <si>
    <t>24.7%</t>
  </si>
  <si>
    <t>22.2%</t>
  </si>
  <si>
    <t>25.7%</t>
  </si>
  <si>
    <t>20.1%</t>
  </si>
  <si>
    <t>22.0%</t>
  </si>
  <si>
    <t>23.3%</t>
  </si>
  <si>
    <t>22.5%</t>
  </si>
  <si>
    <t>-12.9%</t>
  </si>
  <si>
    <t>8.5%</t>
  </si>
  <si>
    <t>21.3%</t>
  </si>
  <si>
    <t>13.8%</t>
  </si>
  <si>
    <t>-35.4%</t>
  </si>
  <si>
    <t>-8.3%</t>
  </si>
  <si>
    <t>-44.2%</t>
  </si>
  <si>
    <t>6.1%</t>
  </si>
  <si>
    <t>11.1%</t>
  </si>
  <si>
    <t>11.4%</t>
  </si>
  <si>
    <t>11.6%</t>
  </si>
  <si>
    <t>123.3%</t>
  </si>
  <si>
    <t>74.5%</t>
  </si>
  <si>
    <t>20.5%</t>
  </si>
  <si>
    <t>8.1%</t>
  </si>
  <si>
    <t>12.5%</t>
  </si>
  <si>
    <t>13.0%</t>
  </si>
  <si>
    <t>14.7%</t>
  </si>
  <si>
    <t>6.6%</t>
  </si>
  <si>
    <t>9.8%</t>
  </si>
  <si>
    <t>11.8%</t>
  </si>
  <si>
    <t>20.7%</t>
  </si>
  <si>
    <t>22.6%</t>
  </si>
  <si>
    <t>27.7%</t>
  </si>
  <si>
    <t>26.9%</t>
  </si>
  <si>
    <t>32.1%</t>
  </si>
  <si>
    <t>32.0%</t>
  </si>
  <si>
    <t>36.3%</t>
  </si>
  <si>
    <t>37.6%</t>
  </si>
  <si>
    <t>42.3%</t>
  </si>
  <si>
    <t>39.9%</t>
  </si>
  <si>
    <t>37.2%</t>
  </si>
  <si>
    <t>37.9%</t>
  </si>
  <si>
    <t>17.0%</t>
  </si>
  <si>
    <t>-14.3%</t>
  </si>
  <si>
    <t>30.8%</t>
  </si>
  <si>
    <t>33.1%</t>
  </si>
  <si>
    <t>26.0%</t>
  </si>
  <si>
    <t>47.3%</t>
  </si>
  <si>
    <t>R&amp;D as % of Revenue</t>
  </si>
  <si>
    <t>12.9%</t>
  </si>
  <si>
    <t>13.1%</t>
  </si>
  <si>
    <t>13.6%</t>
  </si>
  <si>
    <t>14.1%</t>
  </si>
  <si>
    <t>14.6%</t>
  </si>
  <si>
    <t>16.1%</t>
  </si>
  <si>
    <t>16.9%</t>
  </si>
  <si>
    <t>14.8%</t>
  </si>
  <si>
    <t>15.1%</t>
  </si>
  <si>
    <t>16.3%</t>
  </si>
  <si>
    <t>14.4%</t>
  </si>
  <si>
    <t>15.6%</t>
  </si>
  <si>
    <t>15.9%</t>
  </si>
  <si>
    <t>19.5%</t>
  </si>
  <si>
    <t>19.8%</t>
  </si>
  <si>
    <t>18.5%</t>
  </si>
  <si>
    <t>18.7%</t>
  </si>
  <si>
    <t>20.9%</t>
  </si>
  <si>
    <t>20.4%</t>
  </si>
  <si>
    <t>22.1%</t>
  </si>
  <si>
    <t>21.1%</t>
  </si>
  <si>
    <t>18.3%</t>
  </si>
  <si>
    <t>17.8%</t>
  </si>
  <si>
    <t>16.2%</t>
  </si>
  <si>
    <t>13.4%</t>
  </si>
  <si>
    <t>15.0%</t>
  </si>
  <si>
    <t>14.9%</t>
  </si>
  <si>
    <t>19.3%</t>
  </si>
  <si>
    <t>18.0%</t>
  </si>
  <si>
    <t>17.9%</t>
  </si>
  <si>
    <t>19.1%</t>
  </si>
  <si>
    <t>16.5%</t>
  </si>
  <si>
    <t>SG&amp;A as % of Revenue</t>
  </si>
  <si>
    <t>9.3%</t>
  </si>
  <si>
    <t>8.9%</t>
  </si>
  <si>
    <t>10.0%</t>
  </si>
  <si>
    <t>8.8%</t>
  </si>
  <si>
    <t>7.9%</t>
  </si>
  <si>
    <t>9.2%</t>
  </si>
  <si>
    <t>10.4%</t>
  </si>
  <si>
    <t>10.8%</t>
  </si>
  <si>
    <t>7.2%</t>
  </si>
  <si>
    <t>6.7%</t>
  </si>
  <si>
    <t>8.2%</t>
  </si>
  <si>
    <t>6.4%</t>
  </si>
  <si>
    <t>4.7%</t>
  </si>
  <si>
    <t>4.9%</t>
  </si>
  <si>
    <t>4.5%</t>
  </si>
  <si>
    <t>3.8%</t>
  </si>
  <si>
    <t>5.5%</t>
  </si>
  <si>
    <t>5.9%</t>
  </si>
  <si>
    <t>4.6%</t>
  </si>
  <si>
    <t>4.4%</t>
  </si>
  <si>
    <t>7.6%</t>
  </si>
  <si>
    <t>7.4%</t>
  </si>
  <si>
    <t>7.1%</t>
  </si>
  <si>
    <t>10.3%</t>
  </si>
  <si>
    <t>8.7%</t>
  </si>
  <si>
    <t>6.3%</t>
  </si>
  <si>
    <t>5.1%</t>
  </si>
  <si>
    <t>4.2%</t>
  </si>
  <si>
    <t>4.1%</t>
  </si>
  <si>
    <t>3.9%</t>
  </si>
  <si>
    <t>5.0%</t>
  </si>
  <si>
    <t>10.2%</t>
  </si>
  <si>
    <t>8.4%</t>
  </si>
  <si>
    <t>N/A</t>
  </si>
  <si>
    <t>4.0%</t>
  </si>
  <si>
    <t>-2.1%</t>
  </si>
  <si>
    <t>7.7%</t>
  </si>
  <si>
    <t>3.3%</t>
  </si>
  <si>
    <t>-9.6%</t>
  </si>
  <si>
    <t>2.0%</t>
  </si>
  <si>
    <t>-6.8%</t>
  </si>
  <si>
    <t>-2.4%</t>
  </si>
  <si>
    <t>-3.9%</t>
  </si>
  <si>
    <t>-1.1%</t>
  </si>
  <si>
    <t>81.0%</t>
  </si>
  <si>
    <t>2.8%</t>
  </si>
  <si>
    <t>-1.3%</t>
  </si>
  <si>
    <t>7.5%</t>
  </si>
  <si>
    <t>92.5%</t>
  </si>
  <si>
    <t>-0.0%</t>
  </si>
  <si>
    <t>-37.6%</t>
  </si>
  <si>
    <t>75.0%</t>
  </si>
  <si>
    <t>1.2%</t>
  </si>
  <si>
    <t>6.5%</t>
  </si>
  <si>
    <t>-5.9%</t>
  </si>
  <si>
    <t>1.0%</t>
  </si>
  <si>
    <t>-4.7%</t>
  </si>
  <si>
    <t>1.4%</t>
  </si>
  <si>
    <t>-2.0%</t>
  </si>
  <si>
    <t>2.9%</t>
  </si>
  <si>
    <t>-0.7%</t>
  </si>
  <si>
    <t>2.5%</t>
  </si>
  <si>
    <t>5.2%</t>
  </si>
  <si>
    <t>-0.2%</t>
  </si>
  <si>
    <t>1.6%</t>
  </si>
  <si>
    <t>0.6%</t>
  </si>
  <si>
    <t>Revenue Growth</t>
  </si>
  <si>
    <t>NPV</t>
  </si>
  <si>
    <t>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</si>
</sst>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0" fillId="0" borderId="0" xfId="0" applyNumberFormat="1" applyFont="1"/>
    <xf numFmtId="0" fontId="0" fillId="0" borderId="0" xfId="0" applyFont="1"/>
    <xf numFmtId="9" fontId="0" fillId="0" borderId="0" xfId="0" applyNumberFormat="1" applyFon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B5DE-1F51-4C7A-B8CC-D2D35840D69E}">
  <dimension ref="K2:L7"/>
  <sheetViews>
    <sheetView topLeftCell="D1" workbookViewId="0">
      <selection activeCell="L5" sqref="L5"/>
    </sheetView>
  </sheetViews>
  <sheetFormatPr defaultRowHeight="14.25" x14ac:dyDescent="0.2"/>
  <cols>
    <col min="12" max="12" width="12.375" bestFit="1" customWidth="1"/>
  </cols>
  <sheetData>
    <row r="2" spans="11:12" x14ac:dyDescent="0.2">
      <c r="K2" t="s">
        <v>0</v>
      </c>
      <c r="L2" s="1">
        <v>324</v>
      </c>
    </row>
    <row r="3" spans="11:12" x14ac:dyDescent="0.2">
      <c r="K3" t="s">
        <v>1</v>
      </c>
      <c r="L3" s="1">
        <v>474.12729999999999</v>
      </c>
    </row>
    <row r="4" spans="11:12" x14ac:dyDescent="0.2">
      <c r="K4" t="s">
        <v>2</v>
      </c>
      <c r="L4" s="1">
        <f>+L3*L2</f>
        <v>153617.2452</v>
      </c>
    </row>
    <row r="5" spans="11:12" x14ac:dyDescent="0.2">
      <c r="K5" t="s">
        <v>3</v>
      </c>
      <c r="L5" s="1">
        <v>16.178000000000001</v>
      </c>
    </row>
    <row r="6" spans="11:12" x14ac:dyDescent="0.2">
      <c r="K6" t="s">
        <v>4</v>
      </c>
      <c r="L6" s="1">
        <v>61.984000000000002</v>
      </c>
    </row>
    <row r="7" spans="11:12" x14ac:dyDescent="0.2">
      <c r="K7" t="s">
        <v>5</v>
      </c>
      <c r="L7" s="1">
        <f>+L4-L5+L6</f>
        <v>153663.05119999999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69C5-FAC5-411C-BC42-590284D379BF}">
  <dimension ref="B2:L19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4.25" x14ac:dyDescent="0.2"/>
  <cols>
    <col min="2" max="3" width="15.875" customWidth="1"/>
  </cols>
  <sheetData>
    <row r="2" spans="2:12" x14ac:dyDescent="0.2">
      <c r="C2" t="s">
        <v>30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2:12" x14ac:dyDescent="0.2">
      <c r="B3" t="s">
        <v>16</v>
      </c>
      <c r="C3" s="1">
        <v>28949</v>
      </c>
      <c r="D3" s="1"/>
      <c r="E3" s="1"/>
      <c r="F3" s="1"/>
      <c r="G3" s="1">
        <v>34960</v>
      </c>
      <c r="H3" s="1"/>
      <c r="I3" s="1"/>
      <c r="J3" s="1">
        <v>28949</v>
      </c>
      <c r="K3" s="1">
        <v>44847</v>
      </c>
    </row>
    <row r="4" spans="2:12" x14ac:dyDescent="0.2">
      <c r="B4" t="s">
        <v>17</v>
      </c>
      <c r="C4" s="1">
        <v>6870</v>
      </c>
      <c r="D4" s="1"/>
      <c r="E4" s="1"/>
      <c r="F4" s="1"/>
      <c r="G4" s="1">
        <v>16614</v>
      </c>
      <c r="H4" s="1"/>
      <c r="I4" s="1"/>
      <c r="J4" s="1">
        <v>6870</v>
      </c>
      <c r="K4" s="1">
        <v>19040</v>
      </c>
    </row>
    <row r="5" spans="2:12" x14ac:dyDescent="0.2">
      <c r="B5" t="s">
        <v>18</v>
      </c>
      <c r="C5" s="1">
        <f>+C3+C4</f>
        <v>35819</v>
      </c>
      <c r="D5" s="1"/>
      <c r="E5" s="1"/>
      <c r="F5" s="1"/>
      <c r="G5" s="1">
        <f>+G3+G4</f>
        <v>51574</v>
      </c>
      <c r="H5" s="1"/>
      <c r="I5" s="1"/>
      <c r="J5" s="1">
        <f>+J3+J4</f>
        <v>35819</v>
      </c>
      <c r="K5" s="1">
        <f>+K3+K4</f>
        <v>63887</v>
      </c>
    </row>
    <row r="6" spans="2:12" x14ac:dyDescent="0.2">
      <c r="B6" t="s">
        <v>16</v>
      </c>
      <c r="C6" s="1">
        <v>8641</v>
      </c>
      <c r="D6" s="1"/>
      <c r="E6" s="1"/>
      <c r="F6" s="1"/>
      <c r="G6" s="1">
        <v>9802</v>
      </c>
      <c r="H6" s="1"/>
      <c r="I6" s="1"/>
      <c r="J6" s="1">
        <v>8641</v>
      </c>
      <c r="K6" s="1">
        <v>12115</v>
      </c>
    </row>
    <row r="7" spans="2:12" x14ac:dyDescent="0.2">
      <c r="B7" t="s">
        <v>17</v>
      </c>
      <c r="C7" s="1">
        <v>1853</v>
      </c>
      <c r="D7" s="1"/>
      <c r="E7" s="1"/>
      <c r="F7" s="1"/>
      <c r="G7" s="1">
        <v>2983</v>
      </c>
      <c r="H7" s="1"/>
      <c r="I7" s="1"/>
      <c r="J7" s="1">
        <v>1853</v>
      </c>
      <c r="K7" s="1">
        <v>2371</v>
      </c>
    </row>
    <row r="8" spans="2:12" x14ac:dyDescent="0.2">
      <c r="B8" t="s">
        <v>29</v>
      </c>
      <c r="C8" s="1">
        <f>+C6+C7</f>
        <v>10494</v>
      </c>
      <c r="D8" s="1"/>
      <c r="E8" s="1"/>
      <c r="F8" s="1"/>
      <c r="G8" s="1">
        <f>+G6+G7</f>
        <v>12785</v>
      </c>
      <c r="H8" s="1"/>
      <c r="I8" s="1"/>
      <c r="J8" s="1">
        <f>+J6+J7</f>
        <v>10494</v>
      </c>
      <c r="K8" s="1">
        <f>+K6+K7</f>
        <v>14486</v>
      </c>
    </row>
    <row r="9" spans="2:12" x14ac:dyDescent="0.2">
      <c r="B9" t="s">
        <v>19</v>
      </c>
      <c r="C9" s="1">
        <f>+C5-C8</f>
        <v>25325</v>
      </c>
      <c r="D9" s="1"/>
      <c r="E9" s="1"/>
      <c r="F9" s="1"/>
      <c r="G9" s="1">
        <f>+G5-G8</f>
        <v>38789</v>
      </c>
      <c r="H9" s="1"/>
      <c r="I9" s="1"/>
      <c r="J9" s="1">
        <f>+J5-J8</f>
        <v>25325</v>
      </c>
      <c r="K9" s="1">
        <f>+K5-K8</f>
        <v>49401</v>
      </c>
    </row>
    <row r="10" spans="2:12" x14ac:dyDescent="0.2">
      <c r="B10" t="s">
        <v>20</v>
      </c>
      <c r="C10" s="1">
        <v>5253</v>
      </c>
      <c r="D10" s="1"/>
      <c r="E10" s="1"/>
      <c r="F10" s="1"/>
      <c r="G10" s="1">
        <v>9310</v>
      </c>
      <c r="H10" s="1"/>
      <c r="I10" s="1"/>
      <c r="J10" s="1">
        <v>5253</v>
      </c>
      <c r="K10" s="1">
        <v>10977</v>
      </c>
    </row>
    <row r="11" spans="2:12" x14ac:dyDescent="0.2">
      <c r="B11" t="s">
        <v>21</v>
      </c>
      <c r="C11" s="1">
        <v>1592</v>
      </c>
      <c r="D11" s="1"/>
      <c r="E11" s="1"/>
      <c r="F11" s="1"/>
      <c r="G11" s="1">
        <v>4969</v>
      </c>
      <c r="H11" s="1"/>
      <c r="I11" s="1"/>
      <c r="J11" s="1">
        <v>1592</v>
      </c>
      <c r="K11" s="1">
        <v>4211</v>
      </c>
    </row>
    <row r="12" spans="2:12" x14ac:dyDescent="0.2">
      <c r="B12" t="s">
        <v>22</v>
      </c>
      <c r="C12" s="1">
        <f>+C10+C11</f>
        <v>6845</v>
      </c>
      <c r="D12" s="1"/>
      <c r="E12" s="1"/>
      <c r="F12" s="1"/>
      <c r="G12" s="1">
        <f>+G10+G11</f>
        <v>14279</v>
      </c>
      <c r="H12" s="1"/>
      <c r="I12" s="1"/>
      <c r="J12" s="1">
        <f>+J10+J11</f>
        <v>6845</v>
      </c>
      <c r="K12" s="1">
        <f>+K10+K11</f>
        <v>15188</v>
      </c>
    </row>
    <row r="13" spans="2:12" x14ac:dyDescent="0.2">
      <c r="B13" t="s">
        <v>23</v>
      </c>
      <c r="C13" s="1">
        <f>+C9-C12</f>
        <v>18480</v>
      </c>
      <c r="D13" s="1"/>
      <c r="E13" s="1"/>
      <c r="F13" s="1"/>
      <c r="G13" s="1">
        <f>+G9-G12</f>
        <v>24510</v>
      </c>
      <c r="H13" s="1"/>
      <c r="I13" s="1"/>
      <c r="J13" s="1">
        <f>+J9-J12</f>
        <v>18480</v>
      </c>
      <c r="K13" s="1">
        <f>+K9-K12</f>
        <v>34213</v>
      </c>
    </row>
    <row r="14" spans="2:12" x14ac:dyDescent="0.2">
      <c r="B14" t="s">
        <v>25</v>
      </c>
      <c r="C14" s="1">
        <f>-1622+512</f>
        <v>-1110</v>
      </c>
      <c r="D14" s="1"/>
      <c r="E14" s="1"/>
      <c r="F14" s="1"/>
      <c r="G14" s="1">
        <f>-3953+406</f>
        <v>-3547</v>
      </c>
      <c r="H14" s="1"/>
      <c r="I14" s="1"/>
      <c r="J14" s="1">
        <f>-1622+512</f>
        <v>-1110</v>
      </c>
      <c r="K14" s="1">
        <f>-3210+455</f>
        <v>-2755</v>
      </c>
    </row>
    <row r="15" spans="2:12" x14ac:dyDescent="0.2">
      <c r="B15" t="s">
        <v>24</v>
      </c>
      <c r="C15" s="1">
        <f>+C13+C14</f>
        <v>17370</v>
      </c>
      <c r="D15" s="1"/>
      <c r="E15" s="1"/>
      <c r="F15" s="1"/>
      <c r="G15" s="1">
        <f>+G13+G14</f>
        <v>20963</v>
      </c>
      <c r="H15" s="1"/>
      <c r="I15" s="1"/>
      <c r="J15" s="1">
        <f>+J13+J14</f>
        <v>17370</v>
      </c>
      <c r="K15" s="1">
        <f>+K13+K14</f>
        <v>31458</v>
      </c>
    </row>
    <row r="16" spans="2:12" x14ac:dyDescent="0.2">
      <c r="B16" t="s">
        <v>26</v>
      </c>
      <c r="C16" s="1">
        <v>1015</v>
      </c>
      <c r="D16" s="1"/>
      <c r="E16" s="1"/>
      <c r="F16" s="1"/>
      <c r="G16" s="1">
        <v>3748</v>
      </c>
      <c r="H16" s="1"/>
      <c r="I16" s="1"/>
      <c r="J16" s="1">
        <v>1015</v>
      </c>
      <c r="K16" s="1">
        <v>-397</v>
      </c>
    </row>
    <row r="17" spans="2:11" x14ac:dyDescent="0.2">
      <c r="B17" t="s">
        <v>27</v>
      </c>
      <c r="C17" s="1">
        <f>+C15+C16</f>
        <v>18385</v>
      </c>
      <c r="D17" s="1"/>
      <c r="E17" s="1"/>
      <c r="F17" s="1"/>
      <c r="G17" s="1">
        <f>+G15+G16</f>
        <v>24711</v>
      </c>
      <c r="H17" s="1"/>
      <c r="I17" s="1"/>
      <c r="J17" s="1">
        <f>+J15+J16</f>
        <v>18385</v>
      </c>
      <c r="K17" s="1">
        <f>+K15+K16</f>
        <v>31061</v>
      </c>
    </row>
    <row r="18" spans="2:11" x14ac:dyDescent="0.2">
      <c r="B18" t="s">
        <v>28</v>
      </c>
      <c r="C18" s="1">
        <f>+C17/C19</f>
        <v>4.4311882381296694</v>
      </c>
      <c r="D18" s="1"/>
      <c r="E18" s="1"/>
      <c r="F18" s="1"/>
      <c r="G18" s="1">
        <f>+G17/G19</f>
        <v>5.3440743944636679</v>
      </c>
      <c r="H18" s="1"/>
      <c r="I18" s="1"/>
      <c r="J18" s="1">
        <f>+J17/J19</f>
        <v>4.4311882381296694</v>
      </c>
      <c r="K18" s="1">
        <f>+K17/K19</f>
        <v>6.5918930390492356</v>
      </c>
    </row>
    <row r="19" spans="2:11" x14ac:dyDescent="0.2">
      <c r="B19" t="s">
        <v>1</v>
      </c>
      <c r="C19" s="1">
        <v>4149</v>
      </c>
      <c r="D19" s="1" t="s">
        <v>6</v>
      </c>
      <c r="E19" s="1"/>
      <c r="F19" s="1"/>
      <c r="G19" s="1">
        <v>4624</v>
      </c>
      <c r="H19" s="1"/>
      <c r="I19" s="1"/>
      <c r="J19" s="1">
        <v>4149</v>
      </c>
      <c r="K19" s="1">
        <v>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42BF-D7A7-49EE-8D08-8AB6595CC0F0}">
  <dimension ref="B2:CX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7" sqref="H27"/>
    </sheetView>
  </sheetViews>
  <sheetFormatPr defaultRowHeight="14.25" x14ac:dyDescent="0.2"/>
  <cols>
    <col min="2" max="2" width="26.5" customWidth="1"/>
    <col min="80" max="80" width="11.375" bestFit="1" customWidth="1"/>
  </cols>
  <sheetData>
    <row r="2" spans="2:102" x14ac:dyDescent="0.2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 t="s">
        <v>75</v>
      </c>
      <c r="AV2" t="s">
        <v>76</v>
      </c>
      <c r="AW2" t="s">
        <v>77</v>
      </c>
      <c r="AX2" t="s">
        <v>78</v>
      </c>
      <c r="AY2" t="s">
        <v>79</v>
      </c>
      <c r="AZ2" t="s">
        <v>80</v>
      </c>
      <c r="BA2" t="s">
        <v>81</v>
      </c>
      <c r="BB2" t="s">
        <v>82</v>
      </c>
      <c r="BC2" t="s">
        <v>83</v>
      </c>
      <c r="BD2" t="s">
        <v>84</v>
      </c>
      <c r="BE2" t="s">
        <v>85</v>
      </c>
      <c r="BF2" t="s">
        <v>86</v>
      </c>
      <c r="BG2" t="s">
        <v>87</v>
      </c>
      <c r="BH2" t="s">
        <v>88</v>
      </c>
      <c r="BI2" t="s">
        <v>89</v>
      </c>
      <c r="BJ2" t="s">
        <v>90</v>
      </c>
      <c r="BQ2">
        <v>2023</v>
      </c>
      <c r="BR2">
        <f>+BQ2+1</f>
        <v>2024</v>
      </c>
      <c r="BS2">
        <f t="shared" ref="BS2:BY2" si="0">+BR2+1</f>
        <v>2025</v>
      </c>
      <c r="BT2">
        <f t="shared" si="0"/>
        <v>2026</v>
      </c>
      <c r="BU2">
        <f t="shared" si="0"/>
        <v>2027</v>
      </c>
      <c r="BV2">
        <f t="shared" si="0"/>
        <v>2028</v>
      </c>
      <c r="BW2">
        <f t="shared" si="0"/>
        <v>2029</v>
      </c>
      <c r="BX2">
        <f t="shared" si="0"/>
        <v>2030</v>
      </c>
      <c r="BY2">
        <f t="shared" si="0"/>
        <v>2031</v>
      </c>
    </row>
    <row r="3" spans="2:102" s="2" customFormat="1" ht="15" x14ac:dyDescent="0.25">
      <c r="B3" s="2" t="s">
        <v>18</v>
      </c>
      <c r="C3" s="2">
        <v>550</v>
      </c>
      <c r="D3" s="2">
        <v>572</v>
      </c>
      <c r="E3" s="2">
        <v>560</v>
      </c>
      <c r="F3" s="2">
        <v>603</v>
      </c>
      <c r="G3" s="2">
        <v>623</v>
      </c>
      <c r="H3" s="2">
        <v>563</v>
      </c>
      <c r="I3" s="2">
        <v>606</v>
      </c>
      <c r="J3" s="2">
        <v>618</v>
      </c>
      <c r="K3" s="2">
        <v>576</v>
      </c>
      <c r="L3" s="2">
        <v>562</v>
      </c>
      <c r="M3" s="2">
        <v>644</v>
      </c>
      <c r="N3" s="2">
        <v>738</v>
      </c>
      <c r="O3" s="2">
        <v>709</v>
      </c>
      <c r="P3" s="2">
        <v>701</v>
      </c>
      <c r="Q3" s="2">
        <v>1269</v>
      </c>
      <c r="R3" s="2">
        <v>1590</v>
      </c>
      <c r="S3" s="2">
        <v>1635</v>
      </c>
      <c r="T3" s="2">
        <v>1614</v>
      </c>
      <c r="U3" s="2">
        <v>1735</v>
      </c>
      <c r="V3" s="2">
        <v>1840</v>
      </c>
      <c r="W3" s="2">
        <v>3542</v>
      </c>
      <c r="X3" s="2">
        <v>3541</v>
      </c>
      <c r="Y3" s="2">
        <v>3792</v>
      </c>
      <c r="Z3" s="2">
        <v>2365</v>
      </c>
      <c r="AA3" s="2">
        <v>4139</v>
      </c>
      <c r="AB3" s="2">
        <v>4190</v>
      </c>
      <c r="AC3" s="2">
        <v>4463</v>
      </c>
      <c r="AD3" s="2">
        <v>4844</v>
      </c>
      <c r="AE3" s="2">
        <v>5327</v>
      </c>
      <c r="AF3" s="2">
        <v>5014</v>
      </c>
      <c r="AG3" s="2">
        <v>5063</v>
      </c>
      <c r="AH3" s="2">
        <v>5444</v>
      </c>
      <c r="AI3" s="2">
        <v>5789</v>
      </c>
      <c r="AJ3" s="2">
        <v>5517</v>
      </c>
      <c r="AK3" s="2">
        <v>5515</v>
      </c>
      <c r="AL3" s="2">
        <v>5776</v>
      </c>
      <c r="AM3" s="2">
        <v>5858</v>
      </c>
      <c r="AN3" s="2">
        <v>5742</v>
      </c>
      <c r="AO3" s="2">
        <v>5821</v>
      </c>
      <c r="AP3" s="2">
        <v>6467</v>
      </c>
      <c r="AQ3" s="2">
        <v>6655</v>
      </c>
      <c r="AR3" s="2">
        <v>6610</v>
      </c>
      <c r="AS3" s="2">
        <v>6778</v>
      </c>
      <c r="AT3" s="2">
        <v>7407</v>
      </c>
      <c r="AU3" s="2">
        <v>7706</v>
      </c>
      <c r="AV3" s="2">
        <v>8103</v>
      </c>
      <c r="AW3" s="2">
        <v>8464</v>
      </c>
      <c r="AX3" s="2">
        <v>8930</v>
      </c>
      <c r="AY3" s="2">
        <v>8915</v>
      </c>
      <c r="AZ3" s="2">
        <v>8733</v>
      </c>
      <c r="BA3" s="2">
        <v>8876</v>
      </c>
      <c r="BB3" s="2">
        <v>9295</v>
      </c>
      <c r="BC3" s="3">
        <v>11961</v>
      </c>
      <c r="BD3" s="3">
        <v>12487</v>
      </c>
      <c r="BE3" s="3">
        <v>13072</v>
      </c>
      <c r="BF3" s="3">
        <v>14054</v>
      </c>
      <c r="BG3" s="3">
        <v>14916</v>
      </c>
      <c r="BH3" s="3">
        <v>15004</v>
      </c>
      <c r="BI3" s="3">
        <v>15952</v>
      </c>
      <c r="BJ3" s="3">
        <v>18015</v>
      </c>
      <c r="BQ3" s="2">
        <f>+SUM(AY3:BB3)</f>
        <v>35819</v>
      </c>
      <c r="BR3" s="3">
        <f>+SUM(BC3:BF3)</f>
        <v>51574</v>
      </c>
      <c r="BS3" s="3">
        <f>+SUM(BG3:BJ3)</f>
        <v>63887</v>
      </c>
      <c r="BT3" s="2">
        <f>+BS3*1.1</f>
        <v>70275.700000000012</v>
      </c>
      <c r="BU3" s="2">
        <f t="shared" ref="BU3:BY3" si="1">+BT3*1.1</f>
        <v>77303.270000000019</v>
      </c>
      <c r="BV3" s="2">
        <f t="shared" si="1"/>
        <v>85033.597000000023</v>
      </c>
      <c r="BW3" s="2">
        <f t="shared" si="1"/>
        <v>93536.956700000039</v>
      </c>
      <c r="BX3" s="2">
        <f t="shared" si="1"/>
        <v>102890.65237000005</v>
      </c>
      <c r="BY3" s="2">
        <f t="shared" si="1"/>
        <v>113179.71760700007</v>
      </c>
    </row>
    <row r="4" spans="2:102" x14ac:dyDescent="0.2">
      <c r="B4" t="s">
        <v>29</v>
      </c>
      <c r="C4">
        <v>287</v>
      </c>
      <c r="D4">
        <v>296</v>
      </c>
      <c r="E4">
        <v>285</v>
      </c>
      <c r="F4">
        <v>306</v>
      </c>
      <c r="G4">
        <v>319</v>
      </c>
      <c r="H4">
        <v>293</v>
      </c>
      <c r="I4">
        <v>311</v>
      </c>
      <c r="J4">
        <v>319</v>
      </c>
      <c r="K4">
        <v>300</v>
      </c>
      <c r="L4">
        <v>290</v>
      </c>
      <c r="M4">
        <v>340</v>
      </c>
      <c r="N4">
        <v>392</v>
      </c>
      <c r="O4">
        <v>370</v>
      </c>
      <c r="P4">
        <v>344</v>
      </c>
      <c r="Q4">
        <v>876</v>
      </c>
      <c r="R4">
        <v>802</v>
      </c>
      <c r="S4">
        <v>809</v>
      </c>
      <c r="T4">
        <v>768</v>
      </c>
      <c r="U4">
        <v>1573</v>
      </c>
      <c r="V4">
        <v>121</v>
      </c>
      <c r="W4">
        <v>1660</v>
      </c>
      <c r="X4">
        <v>2495</v>
      </c>
      <c r="Y4">
        <v>2010</v>
      </c>
      <c r="Z4">
        <v>1135</v>
      </c>
      <c r="AA4">
        <v>2138</v>
      </c>
      <c r="AB4">
        <v>2214</v>
      </c>
      <c r="AC4">
        <v>2314</v>
      </c>
      <c r="AD4">
        <v>2461</v>
      </c>
      <c r="AE4">
        <v>2699</v>
      </c>
      <c r="AF4">
        <v>2463</v>
      </c>
      <c r="AG4">
        <v>2444</v>
      </c>
      <c r="AH4">
        <v>2509</v>
      </c>
      <c r="AI4">
        <v>2581</v>
      </c>
      <c r="AJ4">
        <v>2428</v>
      </c>
      <c r="AK4">
        <v>2481</v>
      </c>
      <c r="AL4">
        <v>2624</v>
      </c>
      <c r="AM4">
        <v>2594</v>
      </c>
      <c r="AN4">
        <v>2553</v>
      </c>
      <c r="AO4">
        <v>2505</v>
      </c>
      <c r="AP4">
        <v>2720</v>
      </c>
      <c r="AQ4">
        <v>2703</v>
      </c>
      <c r="AR4">
        <v>2553</v>
      </c>
      <c r="AS4">
        <v>2581</v>
      </c>
      <c r="AT4">
        <v>2769</v>
      </c>
      <c r="AU4">
        <v>2657</v>
      </c>
      <c r="AV4">
        <v>2664</v>
      </c>
      <c r="AW4">
        <v>2783</v>
      </c>
      <c r="AX4">
        <v>3004</v>
      </c>
      <c r="AY4">
        <v>2911</v>
      </c>
      <c r="AZ4">
        <v>2618</v>
      </c>
      <c r="BA4">
        <v>2712</v>
      </c>
      <c r="BB4">
        <v>2888</v>
      </c>
      <c r="BC4">
        <v>4586</v>
      </c>
      <c r="BD4">
        <v>4711</v>
      </c>
      <c r="BE4">
        <v>4716</v>
      </c>
      <c r="BF4">
        <v>5052</v>
      </c>
      <c r="BG4">
        <v>4771</v>
      </c>
      <c r="BH4">
        <v>4807</v>
      </c>
      <c r="BI4">
        <v>5249</v>
      </c>
      <c r="BJ4">
        <v>5766</v>
      </c>
      <c r="BQ4" s="5">
        <f t="shared" ref="BQ4:BQ13" si="2">+SUM(AY4:BB4)</f>
        <v>11129</v>
      </c>
      <c r="BR4" s="4">
        <f t="shared" ref="BR4:BR13" si="3">+SUM(BC4:BF4)</f>
        <v>19065</v>
      </c>
      <c r="BS4" s="4">
        <f>+SUM(BG4:BJ4)</f>
        <v>20593</v>
      </c>
    </row>
    <row r="5" spans="2:102" x14ac:dyDescent="0.2">
      <c r="B5" t="s">
        <v>19</v>
      </c>
      <c r="C5">
        <v>263</v>
      </c>
      <c r="D5">
        <v>276</v>
      </c>
      <c r="E5">
        <v>275</v>
      </c>
      <c r="F5">
        <v>297</v>
      </c>
      <c r="G5">
        <v>304</v>
      </c>
      <c r="H5">
        <v>270</v>
      </c>
      <c r="I5">
        <v>295</v>
      </c>
      <c r="J5">
        <v>299</v>
      </c>
      <c r="K5">
        <v>276</v>
      </c>
      <c r="L5">
        <v>272</v>
      </c>
      <c r="M5">
        <v>304</v>
      </c>
      <c r="N5">
        <v>346</v>
      </c>
      <c r="O5">
        <v>339</v>
      </c>
      <c r="P5">
        <v>357</v>
      </c>
      <c r="Q5">
        <v>393</v>
      </c>
      <c r="R5">
        <v>788</v>
      </c>
      <c r="S5">
        <v>826</v>
      </c>
      <c r="T5">
        <v>846</v>
      </c>
      <c r="U5">
        <v>884</v>
      </c>
      <c r="V5">
        <v>997</v>
      </c>
      <c r="W5">
        <v>1882</v>
      </c>
      <c r="X5">
        <v>1046</v>
      </c>
      <c r="Y5">
        <v>1782</v>
      </c>
      <c r="Z5">
        <v>1230</v>
      </c>
      <c r="AA5">
        <v>2001</v>
      </c>
      <c r="AB5">
        <v>1976</v>
      </c>
      <c r="AC5">
        <v>2149</v>
      </c>
      <c r="AD5">
        <v>2383</v>
      </c>
      <c r="AE5">
        <v>2628</v>
      </c>
      <c r="AF5">
        <v>2551</v>
      </c>
      <c r="AG5">
        <v>2619</v>
      </c>
      <c r="AH5">
        <v>2935</v>
      </c>
      <c r="AI5">
        <v>3208</v>
      </c>
      <c r="AJ5">
        <v>3089</v>
      </c>
      <c r="AK5">
        <v>3034</v>
      </c>
      <c r="AL5">
        <v>3152</v>
      </c>
      <c r="AM5">
        <v>3264</v>
      </c>
      <c r="AN5">
        <v>3189</v>
      </c>
      <c r="AO5">
        <v>3316</v>
      </c>
      <c r="AP5">
        <v>3747</v>
      </c>
      <c r="AQ5">
        <v>3952</v>
      </c>
      <c r="AR5">
        <v>4057</v>
      </c>
      <c r="AS5">
        <v>4197</v>
      </c>
      <c r="AT5">
        <v>4638</v>
      </c>
      <c r="AU5">
        <v>5049</v>
      </c>
      <c r="AV5">
        <v>5439</v>
      </c>
      <c r="AW5">
        <v>5681</v>
      </c>
      <c r="AX5">
        <v>5926</v>
      </c>
      <c r="AY5">
        <v>6004</v>
      </c>
      <c r="AZ5">
        <v>6115</v>
      </c>
      <c r="BA5">
        <v>6164</v>
      </c>
      <c r="BB5">
        <v>6407</v>
      </c>
      <c r="BC5">
        <v>7375</v>
      </c>
      <c r="BD5">
        <v>7776</v>
      </c>
      <c r="BE5">
        <v>8356</v>
      </c>
      <c r="BF5">
        <v>9002</v>
      </c>
      <c r="BG5" s="1">
        <v>10145</v>
      </c>
      <c r="BH5" s="1">
        <v>10197</v>
      </c>
      <c r="BI5" s="1">
        <v>10703</v>
      </c>
      <c r="BJ5" s="1">
        <v>12249</v>
      </c>
      <c r="BQ5" s="5">
        <f t="shared" si="2"/>
        <v>24690</v>
      </c>
      <c r="BR5" s="4">
        <f t="shared" si="3"/>
        <v>32509</v>
      </c>
      <c r="BS5" s="4">
        <f>+SUM(BG5:BJ5)</f>
        <v>43294</v>
      </c>
      <c r="BT5">
        <f>+BT3*0.69</f>
        <v>48490.233000000007</v>
      </c>
      <c r="BU5">
        <f t="shared" ref="BU5:BV5" si="4">+BU3*0.69</f>
        <v>53339.256300000008</v>
      </c>
      <c r="BV5">
        <f t="shared" si="4"/>
        <v>58673.181930000013</v>
      </c>
      <c r="BW5">
        <f>+BW3*0.7</f>
        <v>65475.869690000021</v>
      </c>
      <c r="BX5">
        <f t="shared" ref="BX5:BY5" si="5">+BX3*0.7</f>
        <v>72023.456659000032</v>
      </c>
      <c r="BY5">
        <f t="shared" si="5"/>
        <v>79225.80232490004</v>
      </c>
    </row>
    <row r="6" spans="2:102" x14ac:dyDescent="0.2">
      <c r="B6" t="s">
        <v>91</v>
      </c>
      <c r="C6">
        <v>51</v>
      </c>
      <c r="D6">
        <v>51</v>
      </c>
      <c r="E6">
        <v>55</v>
      </c>
      <c r="F6">
        <v>60</v>
      </c>
      <c r="G6">
        <v>55</v>
      </c>
      <c r="H6">
        <v>50</v>
      </c>
      <c r="I6">
        <v>49</v>
      </c>
      <c r="J6">
        <v>49</v>
      </c>
      <c r="K6">
        <v>53</v>
      </c>
      <c r="L6">
        <v>52</v>
      </c>
      <c r="M6">
        <v>57</v>
      </c>
      <c r="N6">
        <v>60</v>
      </c>
      <c r="O6">
        <v>74</v>
      </c>
      <c r="P6">
        <v>67</v>
      </c>
      <c r="Q6">
        <v>137</v>
      </c>
      <c r="R6">
        <v>129</v>
      </c>
      <c r="S6">
        <v>117</v>
      </c>
      <c r="T6">
        <v>108</v>
      </c>
      <c r="U6">
        <v>143</v>
      </c>
      <c r="V6">
        <v>118</v>
      </c>
      <c r="W6">
        <v>228</v>
      </c>
      <c r="X6">
        <v>238</v>
      </c>
      <c r="Y6">
        <v>230</v>
      </c>
      <c r="Z6">
        <v>110</v>
      </c>
      <c r="AA6">
        <v>201</v>
      </c>
      <c r="AB6">
        <v>204</v>
      </c>
      <c r="AC6">
        <v>200</v>
      </c>
      <c r="AD6">
        <v>184</v>
      </c>
      <c r="AE6">
        <v>291</v>
      </c>
      <c r="AF6">
        <v>294</v>
      </c>
      <c r="AG6">
        <v>234</v>
      </c>
      <c r="AH6">
        <v>237</v>
      </c>
      <c r="AI6">
        <v>471</v>
      </c>
      <c r="AJ6">
        <v>419</v>
      </c>
      <c r="AK6">
        <v>410</v>
      </c>
      <c r="AL6">
        <v>409</v>
      </c>
      <c r="AM6">
        <v>601</v>
      </c>
      <c r="AN6">
        <v>501</v>
      </c>
      <c r="AO6">
        <v>428</v>
      </c>
      <c r="AP6">
        <v>405</v>
      </c>
      <c r="AQ6">
        <v>339</v>
      </c>
      <c r="AR6">
        <v>325</v>
      </c>
      <c r="AS6">
        <v>346</v>
      </c>
      <c r="AT6">
        <v>337</v>
      </c>
      <c r="AU6">
        <v>321</v>
      </c>
      <c r="AV6">
        <v>368</v>
      </c>
      <c r="AW6">
        <v>323</v>
      </c>
      <c r="AX6">
        <v>370</v>
      </c>
      <c r="AY6">
        <v>348</v>
      </c>
      <c r="AZ6">
        <v>438</v>
      </c>
      <c r="BA6">
        <v>388</v>
      </c>
      <c r="BB6">
        <v>418</v>
      </c>
      <c r="BC6">
        <v>1572</v>
      </c>
      <c r="BD6">
        <v>1277</v>
      </c>
      <c r="BE6">
        <v>1100</v>
      </c>
      <c r="BF6">
        <v>1010</v>
      </c>
      <c r="BG6">
        <v>949</v>
      </c>
      <c r="BH6">
        <v>1083</v>
      </c>
      <c r="BI6">
        <v>1072</v>
      </c>
      <c r="BJ6">
        <v>1107</v>
      </c>
      <c r="BQ6" s="5">
        <f t="shared" si="2"/>
        <v>1592</v>
      </c>
      <c r="BR6" s="4">
        <f t="shared" si="3"/>
        <v>4959</v>
      </c>
      <c r="BS6" s="4">
        <f>+SUM(BG6:BJ6)</f>
        <v>4211</v>
      </c>
      <c r="BT6">
        <f>+BS6*1.03</f>
        <v>4337.33</v>
      </c>
      <c r="BU6">
        <f t="shared" ref="BU6:BY6" si="6">+BT6*1.03</f>
        <v>4467.4498999999996</v>
      </c>
      <c r="BV6">
        <f t="shared" si="6"/>
        <v>4601.4733969999997</v>
      </c>
      <c r="BW6">
        <f t="shared" si="6"/>
        <v>4739.5175989099998</v>
      </c>
      <c r="BX6">
        <f t="shared" si="6"/>
        <v>4881.7031268772998</v>
      </c>
      <c r="BY6">
        <f t="shared" si="6"/>
        <v>5028.1542206836193</v>
      </c>
    </row>
    <row r="7" spans="2:102" x14ac:dyDescent="0.2">
      <c r="B7" t="s">
        <v>92</v>
      </c>
      <c r="C7">
        <v>71</v>
      </c>
      <c r="D7">
        <v>75</v>
      </c>
      <c r="E7">
        <v>76</v>
      </c>
      <c r="F7">
        <v>85</v>
      </c>
      <c r="G7">
        <v>83</v>
      </c>
      <c r="H7">
        <v>82</v>
      </c>
      <c r="I7">
        <v>89</v>
      </c>
      <c r="J7">
        <v>80</v>
      </c>
      <c r="K7">
        <v>93</v>
      </c>
      <c r="L7">
        <v>95</v>
      </c>
      <c r="M7">
        <v>101</v>
      </c>
      <c r="N7">
        <v>109</v>
      </c>
      <c r="O7">
        <v>107</v>
      </c>
      <c r="P7">
        <v>114</v>
      </c>
      <c r="Q7">
        <v>240</v>
      </c>
      <c r="R7">
        <v>234</v>
      </c>
      <c r="S7">
        <v>235</v>
      </c>
      <c r="T7">
        <v>251</v>
      </c>
      <c r="U7">
        <v>276</v>
      </c>
      <c r="V7">
        <v>287</v>
      </c>
      <c r="W7">
        <v>534</v>
      </c>
      <c r="X7">
        <v>787</v>
      </c>
      <c r="Y7">
        <v>814</v>
      </c>
      <c r="Z7">
        <v>539</v>
      </c>
      <c r="AA7">
        <v>808</v>
      </c>
      <c r="AB7">
        <v>829</v>
      </c>
      <c r="AC7">
        <v>827</v>
      </c>
      <c r="AD7">
        <v>838</v>
      </c>
      <c r="AE7">
        <v>925</v>
      </c>
      <c r="AF7">
        <v>936</v>
      </c>
      <c r="AG7">
        <v>959</v>
      </c>
      <c r="AH7">
        <v>948</v>
      </c>
      <c r="AI7">
        <v>1133</v>
      </c>
      <c r="AJ7">
        <v>1151</v>
      </c>
      <c r="AK7">
        <v>1235</v>
      </c>
      <c r="AL7">
        <v>1177</v>
      </c>
      <c r="AM7">
        <v>1289</v>
      </c>
      <c r="AN7">
        <v>1269</v>
      </c>
      <c r="AO7">
        <v>1228</v>
      </c>
      <c r="AP7">
        <v>1182</v>
      </c>
      <c r="AQ7">
        <v>1211</v>
      </c>
      <c r="AR7">
        <v>1238</v>
      </c>
      <c r="AS7">
        <v>1205</v>
      </c>
      <c r="AT7">
        <v>1200</v>
      </c>
      <c r="AU7">
        <v>1206</v>
      </c>
      <c r="AV7">
        <v>1261</v>
      </c>
      <c r="AW7">
        <v>1255</v>
      </c>
      <c r="AX7">
        <v>1197</v>
      </c>
      <c r="AY7">
        <v>1195</v>
      </c>
      <c r="AZ7">
        <v>1312</v>
      </c>
      <c r="BA7">
        <v>1358</v>
      </c>
      <c r="BB7">
        <v>1388</v>
      </c>
      <c r="BC7">
        <v>2308</v>
      </c>
      <c r="BD7">
        <v>2415</v>
      </c>
      <c r="BE7">
        <v>2353</v>
      </c>
      <c r="BF7">
        <v>2234</v>
      </c>
      <c r="BG7">
        <v>2253</v>
      </c>
      <c r="BH7">
        <v>2693</v>
      </c>
      <c r="BI7">
        <v>3050</v>
      </c>
      <c r="BJ7">
        <v>2981</v>
      </c>
      <c r="BQ7" s="5">
        <f t="shared" si="2"/>
        <v>5253</v>
      </c>
      <c r="BR7" s="4">
        <f t="shared" si="3"/>
        <v>9310</v>
      </c>
      <c r="BS7" s="4">
        <f>+SUM(BG7:BJ7)</f>
        <v>10977</v>
      </c>
      <c r="BT7">
        <f t="shared" ref="BT7:BY7" si="7">+BS7*1.03</f>
        <v>11306.31</v>
      </c>
      <c r="BU7">
        <f t="shared" si="7"/>
        <v>11645.499299999999</v>
      </c>
      <c r="BV7">
        <f t="shared" si="7"/>
        <v>11994.864278999999</v>
      </c>
      <c r="BW7">
        <f t="shared" si="7"/>
        <v>12354.710207369999</v>
      </c>
      <c r="BX7">
        <f t="shared" si="7"/>
        <v>12725.351513591098</v>
      </c>
      <c r="BY7">
        <f t="shared" si="7"/>
        <v>13107.112058998831</v>
      </c>
    </row>
    <row r="8" spans="2:102" x14ac:dyDescent="0.2">
      <c r="B8" t="s">
        <v>93</v>
      </c>
      <c r="C8">
        <v>128</v>
      </c>
      <c r="D8">
        <v>131</v>
      </c>
      <c r="E8">
        <v>137</v>
      </c>
      <c r="F8">
        <v>152</v>
      </c>
      <c r="G8">
        <v>145</v>
      </c>
      <c r="H8">
        <v>138</v>
      </c>
      <c r="I8">
        <v>146</v>
      </c>
      <c r="J8">
        <v>135</v>
      </c>
      <c r="K8">
        <v>152</v>
      </c>
      <c r="L8">
        <v>154</v>
      </c>
      <c r="M8">
        <v>164</v>
      </c>
      <c r="N8">
        <v>176</v>
      </c>
      <c r="O8">
        <v>200</v>
      </c>
      <c r="P8">
        <v>197</v>
      </c>
      <c r="Q8">
        <v>555</v>
      </c>
      <c r="R8">
        <v>487</v>
      </c>
      <c r="S8">
        <v>425</v>
      </c>
      <c r="T8">
        <v>428</v>
      </c>
      <c r="U8">
        <v>782</v>
      </c>
      <c r="V8">
        <v>286</v>
      </c>
      <c r="W8">
        <v>932</v>
      </c>
      <c r="X8">
        <v>2047</v>
      </c>
      <c r="Y8">
        <v>2046</v>
      </c>
      <c r="Z8">
        <v>1324</v>
      </c>
      <c r="AA8">
        <v>1495</v>
      </c>
      <c r="AB8">
        <v>1502</v>
      </c>
      <c r="AC8">
        <v>1501</v>
      </c>
      <c r="AD8">
        <v>1640</v>
      </c>
      <c r="AE8">
        <v>1685</v>
      </c>
      <c r="AF8">
        <v>1350</v>
      </c>
      <c r="AG8">
        <v>1280</v>
      </c>
      <c r="AH8">
        <v>1283</v>
      </c>
      <c r="AI8">
        <v>2653</v>
      </c>
      <c r="AJ8">
        <v>2119</v>
      </c>
      <c r="AK8">
        <v>2169</v>
      </c>
      <c r="AL8">
        <v>2098</v>
      </c>
      <c r="AM8">
        <v>2550</v>
      </c>
      <c r="AN8">
        <v>2423</v>
      </c>
      <c r="AO8">
        <v>2308</v>
      </c>
      <c r="AP8">
        <v>2221</v>
      </c>
      <c r="AQ8">
        <v>2115</v>
      </c>
      <c r="AR8">
        <v>2082</v>
      </c>
      <c r="AS8">
        <v>2071</v>
      </c>
      <c r="AT8">
        <v>2057</v>
      </c>
      <c r="AU8">
        <v>1941</v>
      </c>
      <c r="AV8">
        <v>2045</v>
      </c>
      <c r="AW8">
        <v>1944</v>
      </c>
      <c r="AX8">
        <v>1940</v>
      </c>
      <c r="AY8">
        <v>1901</v>
      </c>
      <c r="AZ8">
        <v>2107</v>
      </c>
      <c r="BA8">
        <v>2308</v>
      </c>
      <c r="BB8">
        <v>2167</v>
      </c>
      <c r="BC8">
        <v>5292</v>
      </c>
      <c r="BD8">
        <v>4811</v>
      </c>
      <c r="BE8">
        <v>4568</v>
      </c>
      <c r="BF8">
        <v>4375</v>
      </c>
      <c r="BG8">
        <v>3885</v>
      </c>
      <c r="BH8">
        <v>4368</v>
      </c>
      <c r="BI8">
        <v>4816</v>
      </c>
      <c r="BJ8">
        <v>4741</v>
      </c>
      <c r="BQ8" s="5">
        <f t="shared" si="2"/>
        <v>8483</v>
      </c>
      <c r="BR8" s="4">
        <f t="shared" si="3"/>
        <v>19046</v>
      </c>
      <c r="BS8" s="4">
        <f>+SUM(BG8:BJ8)</f>
        <v>17810</v>
      </c>
      <c r="BT8">
        <f>+BT7+BT6</f>
        <v>15643.64</v>
      </c>
      <c r="BU8">
        <f t="shared" ref="BU8:BY8" si="8">+BU7+BU6</f>
        <v>16112.949199999999</v>
      </c>
      <c r="BV8">
        <f t="shared" si="8"/>
        <v>16596.337675999999</v>
      </c>
      <c r="BW8">
        <f t="shared" si="8"/>
        <v>17094.22780628</v>
      </c>
      <c r="BX8">
        <f t="shared" si="8"/>
        <v>17607.054640468399</v>
      </c>
      <c r="BY8">
        <f t="shared" si="8"/>
        <v>18135.266279682452</v>
      </c>
    </row>
    <row r="9" spans="2:102" x14ac:dyDescent="0.2">
      <c r="B9" t="s">
        <v>94</v>
      </c>
      <c r="C9">
        <v>135</v>
      </c>
      <c r="D9">
        <v>145</v>
      </c>
      <c r="E9">
        <v>138</v>
      </c>
      <c r="F9">
        <v>145</v>
      </c>
      <c r="G9">
        <v>159</v>
      </c>
      <c r="H9">
        <v>132</v>
      </c>
      <c r="I9">
        <v>149</v>
      </c>
      <c r="J9">
        <v>164</v>
      </c>
      <c r="K9">
        <v>124</v>
      </c>
      <c r="L9">
        <v>118</v>
      </c>
      <c r="M9">
        <v>140</v>
      </c>
      <c r="N9">
        <v>170</v>
      </c>
      <c r="O9">
        <v>139</v>
      </c>
      <c r="P9">
        <v>160</v>
      </c>
      <c r="Q9">
        <v>-162</v>
      </c>
      <c r="R9">
        <v>301</v>
      </c>
      <c r="S9">
        <v>401</v>
      </c>
      <c r="T9">
        <v>418</v>
      </c>
      <c r="U9">
        <v>299</v>
      </c>
      <c r="V9">
        <v>514</v>
      </c>
      <c r="W9">
        <v>950</v>
      </c>
      <c r="X9">
        <v>-1001</v>
      </c>
      <c r="Y9">
        <v>-264</v>
      </c>
      <c r="Z9">
        <v>-94</v>
      </c>
      <c r="AA9">
        <v>506</v>
      </c>
      <c r="AB9">
        <v>474</v>
      </c>
      <c r="AC9">
        <v>648</v>
      </c>
      <c r="AD9">
        <v>743</v>
      </c>
      <c r="AE9">
        <v>943</v>
      </c>
      <c r="AF9">
        <v>1201</v>
      </c>
      <c r="AG9">
        <v>1339</v>
      </c>
      <c r="AH9">
        <v>1652</v>
      </c>
      <c r="AI9">
        <v>555</v>
      </c>
      <c r="AJ9">
        <v>970</v>
      </c>
      <c r="AK9">
        <v>865</v>
      </c>
      <c r="AL9">
        <v>1054</v>
      </c>
      <c r="AM9">
        <v>714</v>
      </c>
      <c r="AN9">
        <v>766</v>
      </c>
      <c r="AO9">
        <v>1008</v>
      </c>
      <c r="AP9">
        <v>1526</v>
      </c>
      <c r="AQ9">
        <v>1837</v>
      </c>
      <c r="AR9">
        <v>1975</v>
      </c>
      <c r="AS9">
        <v>2126</v>
      </c>
      <c r="AT9">
        <v>2581</v>
      </c>
      <c r="AU9">
        <v>3108</v>
      </c>
      <c r="AV9">
        <v>3394</v>
      </c>
      <c r="AW9">
        <v>3737</v>
      </c>
      <c r="AX9">
        <v>3986</v>
      </c>
      <c r="AY9">
        <v>4103</v>
      </c>
      <c r="AZ9">
        <v>4008</v>
      </c>
      <c r="BA9">
        <v>3856</v>
      </c>
      <c r="BB9">
        <v>4240</v>
      </c>
      <c r="BC9">
        <v>2083</v>
      </c>
      <c r="BD9">
        <v>2965</v>
      </c>
      <c r="BE9">
        <v>3788</v>
      </c>
      <c r="BF9">
        <v>4627</v>
      </c>
      <c r="BG9">
        <v>6260</v>
      </c>
      <c r="BH9">
        <v>5829</v>
      </c>
      <c r="BI9">
        <v>5887</v>
      </c>
      <c r="BJ9">
        <v>7508</v>
      </c>
      <c r="BQ9" s="5">
        <f t="shared" si="2"/>
        <v>16207</v>
      </c>
      <c r="BR9" s="4">
        <f t="shared" si="3"/>
        <v>13463</v>
      </c>
      <c r="BS9" s="4">
        <f>+SUM(BG9:BJ9)</f>
        <v>25484</v>
      </c>
      <c r="BT9">
        <f>+BT5-BT8</f>
        <v>32846.593000000008</v>
      </c>
      <c r="BU9">
        <f t="shared" ref="BU9:BY9" si="9">+BU5-BU8</f>
        <v>37226.307100000005</v>
      </c>
      <c r="BV9">
        <f t="shared" si="9"/>
        <v>42076.844254000011</v>
      </c>
      <c r="BW9">
        <f t="shared" si="9"/>
        <v>48381.641883720018</v>
      </c>
      <c r="BX9">
        <f t="shared" si="9"/>
        <v>54416.402018531633</v>
      </c>
      <c r="BY9">
        <f t="shared" si="9"/>
        <v>61090.536045217588</v>
      </c>
    </row>
    <row r="10" spans="2:102" x14ac:dyDescent="0.2">
      <c r="B10" t="s">
        <v>95</v>
      </c>
      <c r="C10">
        <v>-8</v>
      </c>
      <c r="D10">
        <v>-7</v>
      </c>
      <c r="E10">
        <v>-1</v>
      </c>
      <c r="F10">
        <v>0</v>
      </c>
      <c r="G10" t="s">
        <v>96</v>
      </c>
      <c r="H10">
        <v>-2</v>
      </c>
      <c r="I10">
        <v>1</v>
      </c>
      <c r="J10">
        <v>1</v>
      </c>
      <c r="K10">
        <v>2</v>
      </c>
      <c r="L10">
        <v>0</v>
      </c>
      <c r="M10">
        <v>4</v>
      </c>
      <c r="N10">
        <v>10</v>
      </c>
      <c r="O10">
        <v>0</v>
      </c>
      <c r="P10">
        <v>-1</v>
      </c>
      <c r="Q10">
        <v>-57</v>
      </c>
      <c r="R10">
        <v>-38</v>
      </c>
      <c r="S10">
        <v>-50</v>
      </c>
      <c r="T10">
        <v>-54</v>
      </c>
      <c r="U10">
        <v>-32</v>
      </c>
      <c r="V10">
        <v>-29</v>
      </c>
      <c r="W10">
        <v>-162</v>
      </c>
      <c r="X10">
        <v>-315</v>
      </c>
      <c r="Y10">
        <v>-156</v>
      </c>
      <c r="Z10">
        <v>-65</v>
      </c>
      <c r="AA10">
        <v>-239</v>
      </c>
      <c r="AB10">
        <v>-109</v>
      </c>
      <c r="AC10">
        <v>-100</v>
      </c>
      <c r="AD10">
        <v>-98</v>
      </c>
      <c r="AE10">
        <v>-148</v>
      </c>
      <c r="AF10">
        <v>-102</v>
      </c>
      <c r="AG10">
        <v>-110</v>
      </c>
      <c r="AH10">
        <v>-230</v>
      </c>
      <c r="AI10">
        <v>-277</v>
      </c>
      <c r="AJ10">
        <v>-313</v>
      </c>
      <c r="AK10">
        <v>-321</v>
      </c>
      <c r="AL10">
        <v>-307</v>
      </c>
      <c r="AM10">
        <v>-410</v>
      </c>
      <c r="AN10">
        <v>-357</v>
      </c>
      <c r="AO10">
        <v>-415</v>
      </c>
      <c r="AP10">
        <v>-389</v>
      </c>
      <c r="AQ10">
        <v>-453</v>
      </c>
      <c r="AR10">
        <v>-489</v>
      </c>
      <c r="AS10">
        <v>-400</v>
      </c>
      <c r="AT10">
        <v>-412</v>
      </c>
      <c r="AU10">
        <v>-421</v>
      </c>
      <c r="AV10">
        <v>-604</v>
      </c>
      <c r="AW10">
        <v>-400</v>
      </c>
      <c r="AX10">
        <v>-366</v>
      </c>
      <c r="AY10">
        <v>-263</v>
      </c>
      <c r="AZ10">
        <v>-292</v>
      </c>
      <c r="BA10">
        <v>-282</v>
      </c>
      <c r="BB10">
        <v>-273</v>
      </c>
      <c r="BC10">
        <v>-741</v>
      </c>
      <c r="BD10">
        <v>-960</v>
      </c>
      <c r="BE10">
        <v>-982</v>
      </c>
      <c r="BF10">
        <v>-864</v>
      </c>
      <c r="BG10">
        <v>-770</v>
      </c>
      <c r="BH10">
        <v>-744</v>
      </c>
      <c r="BI10">
        <v>-602</v>
      </c>
      <c r="BJ10">
        <v>-639</v>
      </c>
      <c r="BQ10" s="5">
        <f t="shared" si="2"/>
        <v>-1110</v>
      </c>
      <c r="BR10" s="4">
        <f t="shared" si="3"/>
        <v>-3547</v>
      </c>
      <c r="BS10" s="4">
        <f>+SUM(BG10:BJ10)</f>
        <v>-2755</v>
      </c>
    </row>
    <row r="11" spans="2:102" x14ac:dyDescent="0.2">
      <c r="B11" t="s">
        <v>97</v>
      </c>
      <c r="C11">
        <v>127</v>
      </c>
      <c r="D11">
        <v>138</v>
      </c>
      <c r="E11">
        <v>137</v>
      </c>
      <c r="F11">
        <v>145</v>
      </c>
      <c r="G11">
        <v>159</v>
      </c>
      <c r="H11">
        <v>130</v>
      </c>
      <c r="I11">
        <v>150</v>
      </c>
      <c r="J11">
        <v>165</v>
      </c>
      <c r="K11">
        <v>126</v>
      </c>
      <c r="L11">
        <v>118</v>
      </c>
      <c r="M11">
        <v>144</v>
      </c>
      <c r="N11">
        <v>180</v>
      </c>
      <c r="O11">
        <v>139</v>
      </c>
      <c r="P11">
        <v>159</v>
      </c>
      <c r="Q11">
        <v>-219</v>
      </c>
      <c r="R11">
        <v>263</v>
      </c>
      <c r="S11">
        <v>351</v>
      </c>
      <c r="T11">
        <v>364</v>
      </c>
      <c r="U11">
        <v>511</v>
      </c>
      <c r="V11">
        <v>241</v>
      </c>
      <c r="W11">
        <v>788</v>
      </c>
      <c r="X11">
        <v>-1316</v>
      </c>
      <c r="Y11">
        <v>-420</v>
      </c>
      <c r="Z11">
        <v>-159</v>
      </c>
      <c r="AA11">
        <v>267</v>
      </c>
      <c r="AB11">
        <v>365</v>
      </c>
      <c r="AC11">
        <v>548</v>
      </c>
      <c r="AD11">
        <v>645</v>
      </c>
      <c r="AE11">
        <v>795</v>
      </c>
      <c r="AF11">
        <v>1099</v>
      </c>
      <c r="AG11">
        <v>1229</v>
      </c>
      <c r="AH11">
        <v>1422</v>
      </c>
      <c r="AI11">
        <v>278</v>
      </c>
      <c r="AJ11">
        <v>657</v>
      </c>
      <c r="AK11">
        <v>544</v>
      </c>
      <c r="AL11">
        <v>747</v>
      </c>
      <c r="AM11">
        <v>304</v>
      </c>
      <c r="AN11">
        <v>409</v>
      </c>
      <c r="AO11">
        <v>593</v>
      </c>
      <c r="AP11">
        <v>1137</v>
      </c>
      <c r="AQ11">
        <v>1384</v>
      </c>
      <c r="AR11">
        <v>1486</v>
      </c>
      <c r="AS11">
        <v>1726</v>
      </c>
      <c r="AT11">
        <v>2169</v>
      </c>
      <c r="AU11">
        <v>2687</v>
      </c>
      <c r="AV11">
        <v>2790</v>
      </c>
      <c r="AW11">
        <v>3337</v>
      </c>
      <c r="AX11">
        <v>3620</v>
      </c>
      <c r="AY11">
        <v>3840</v>
      </c>
      <c r="AZ11">
        <v>3716</v>
      </c>
      <c r="BA11">
        <v>3574</v>
      </c>
      <c r="BB11">
        <v>3967</v>
      </c>
      <c r="BC11">
        <v>1342</v>
      </c>
      <c r="BD11">
        <v>2005</v>
      </c>
      <c r="BE11">
        <v>2806</v>
      </c>
      <c r="BF11">
        <v>3763</v>
      </c>
      <c r="BG11">
        <v>5490</v>
      </c>
      <c r="BH11">
        <v>5085</v>
      </c>
      <c r="BI11">
        <v>5285</v>
      </c>
      <c r="BJ11">
        <v>6869</v>
      </c>
      <c r="BQ11" s="5">
        <f t="shared" si="2"/>
        <v>15097</v>
      </c>
      <c r="BR11" s="4">
        <f t="shared" si="3"/>
        <v>9916</v>
      </c>
      <c r="BS11" s="4">
        <f>+SUM(BG11:BJ11)</f>
        <v>22729</v>
      </c>
      <c r="BT11">
        <f>+BT9*0.8</f>
        <v>26277.274400000009</v>
      </c>
      <c r="BU11">
        <f t="shared" ref="BU11:BY11" si="10">+BU9*0.8</f>
        <v>29781.045680000007</v>
      </c>
      <c r="BV11">
        <f t="shared" si="10"/>
        <v>33661.475403200013</v>
      </c>
      <c r="BW11">
        <f t="shared" si="10"/>
        <v>38705.313506976017</v>
      </c>
      <c r="BX11">
        <f t="shared" si="10"/>
        <v>43533.121614825308</v>
      </c>
      <c r="BY11">
        <f t="shared" si="10"/>
        <v>48872.428836174076</v>
      </c>
    </row>
    <row r="12" spans="2:102" x14ac:dyDescent="0.2">
      <c r="B12" t="s">
        <v>98</v>
      </c>
      <c r="C12">
        <v>4</v>
      </c>
      <c r="D12">
        <v>-26</v>
      </c>
      <c r="E12">
        <v>2</v>
      </c>
      <c r="F12">
        <v>1</v>
      </c>
      <c r="G12">
        <v>5</v>
      </c>
      <c r="H12">
        <v>5</v>
      </c>
      <c r="I12">
        <v>5</v>
      </c>
      <c r="J12">
        <v>6</v>
      </c>
      <c r="K12">
        <v>1</v>
      </c>
      <c r="L12">
        <v>5</v>
      </c>
      <c r="M12">
        <v>2</v>
      </c>
      <c r="N12">
        <v>8</v>
      </c>
      <c r="O12">
        <v>5</v>
      </c>
      <c r="P12">
        <v>1</v>
      </c>
      <c r="Q12">
        <v>-99</v>
      </c>
      <c r="R12">
        <v>126</v>
      </c>
      <c r="S12">
        <v>13</v>
      </c>
      <c r="T12">
        <v>25</v>
      </c>
      <c r="U12">
        <v>23</v>
      </c>
      <c r="V12">
        <v>15</v>
      </c>
      <c r="W12">
        <v>34</v>
      </c>
      <c r="X12">
        <v>-99</v>
      </c>
      <c r="Y12">
        <v>-117</v>
      </c>
      <c r="Z12">
        <v>824</v>
      </c>
      <c r="AA12">
        <v>10</v>
      </c>
      <c r="AB12">
        <v>-103</v>
      </c>
      <c r="AC12">
        <v>39</v>
      </c>
      <c r="AD12">
        <v>89</v>
      </c>
      <c r="AE12">
        <v>-5786</v>
      </c>
      <c r="AF12">
        <v>-2637</v>
      </c>
      <c r="AG12">
        <v>32</v>
      </c>
      <c r="AH12">
        <v>307</v>
      </c>
      <c r="AI12">
        <v>-203</v>
      </c>
      <c r="AJ12">
        <v>-36</v>
      </c>
      <c r="AK12">
        <v>-171</v>
      </c>
      <c r="AL12">
        <v>-100</v>
      </c>
      <c r="AM12">
        <v>-76</v>
      </c>
      <c r="AN12">
        <v>-159</v>
      </c>
      <c r="AO12">
        <v>-96</v>
      </c>
      <c r="AP12">
        <v>-187</v>
      </c>
      <c r="AQ12">
        <v>6</v>
      </c>
      <c r="AR12">
        <v>-7</v>
      </c>
      <c r="AS12">
        <v>-150</v>
      </c>
      <c r="AT12">
        <v>180</v>
      </c>
      <c r="AU12">
        <v>215</v>
      </c>
      <c r="AV12">
        <v>200</v>
      </c>
      <c r="AW12">
        <v>263</v>
      </c>
      <c r="AX12">
        <v>261</v>
      </c>
      <c r="AY12">
        <v>66</v>
      </c>
      <c r="AZ12">
        <v>235</v>
      </c>
      <c r="BA12">
        <v>271</v>
      </c>
      <c r="BB12">
        <v>443</v>
      </c>
      <c r="BC12">
        <v>68</v>
      </c>
      <c r="BD12">
        <v>-116</v>
      </c>
      <c r="BE12">
        <v>4238</v>
      </c>
      <c r="BF12">
        <v>-442</v>
      </c>
      <c r="BG12">
        <v>-13</v>
      </c>
      <c r="BH12">
        <v>120</v>
      </c>
      <c r="BI12">
        <v>1145</v>
      </c>
      <c r="BJ12">
        <v>-1649</v>
      </c>
      <c r="BQ12" s="5">
        <f t="shared" si="2"/>
        <v>1015</v>
      </c>
      <c r="BR12" s="4">
        <f t="shared" si="3"/>
        <v>3748</v>
      </c>
      <c r="BS12" s="4">
        <f>+SUM(BG12:BJ12)</f>
        <v>-397</v>
      </c>
    </row>
    <row r="13" spans="2:102" s="2" customFormat="1" ht="15" x14ac:dyDescent="0.25">
      <c r="B13" s="2" t="s">
        <v>99</v>
      </c>
      <c r="C13" s="2">
        <v>123</v>
      </c>
      <c r="D13" s="2">
        <v>164</v>
      </c>
      <c r="E13" s="2">
        <v>135</v>
      </c>
      <c r="F13" s="2">
        <v>144</v>
      </c>
      <c r="G13" s="2">
        <v>154</v>
      </c>
      <c r="H13" s="2">
        <v>125</v>
      </c>
      <c r="I13" s="2">
        <v>145</v>
      </c>
      <c r="J13" s="2">
        <v>159</v>
      </c>
      <c r="K13" s="2">
        <v>125</v>
      </c>
      <c r="L13" s="2">
        <v>113</v>
      </c>
      <c r="M13" s="2">
        <v>142</v>
      </c>
      <c r="N13" s="2">
        <v>172</v>
      </c>
      <c r="O13" s="2">
        <v>134</v>
      </c>
      <c r="P13" s="2">
        <v>158</v>
      </c>
      <c r="Q13" s="2">
        <v>-164</v>
      </c>
      <c r="R13" s="2">
        <v>135</v>
      </c>
      <c r="S13" s="2">
        <v>351</v>
      </c>
      <c r="T13" s="2">
        <v>344</v>
      </c>
      <c r="U13" s="2">
        <v>240</v>
      </c>
      <c r="V13" s="2">
        <v>429</v>
      </c>
      <c r="W13" s="2">
        <v>754</v>
      </c>
      <c r="X13" s="2">
        <v>-1255</v>
      </c>
      <c r="Y13" s="2">
        <v>-315</v>
      </c>
      <c r="Z13" s="2">
        <v>-1045</v>
      </c>
      <c r="AA13" s="2">
        <v>252</v>
      </c>
      <c r="AB13" s="2">
        <v>464</v>
      </c>
      <c r="AC13" s="2">
        <v>507</v>
      </c>
      <c r="AD13" s="2">
        <v>561</v>
      </c>
      <c r="AE13" s="2">
        <v>6566</v>
      </c>
      <c r="AF13" s="2">
        <v>3733</v>
      </c>
      <c r="AG13" s="2">
        <v>1196</v>
      </c>
      <c r="AH13" s="2">
        <v>1115</v>
      </c>
      <c r="AI13" s="2">
        <v>471</v>
      </c>
      <c r="AJ13" s="2">
        <v>691</v>
      </c>
      <c r="AK13" s="2">
        <v>715</v>
      </c>
      <c r="AL13" s="2">
        <v>847</v>
      </c>
      <c r="AM13" s="2">
        <v>385</v>
      </c>
      <c r="AN13" s="2">
        <v>563</v>
      </c>
      <c r="AO13" s="2">
        <v>688</v>
      </c>
      <c r="AP13" s="2">
        <v>1324</v>
      </c>
      <c r="AQ13" s="2">
        <v>1378</v>
      </c>
      <c r="AR13" s="2">
        <v>1493</v>
      </c>
      <c r="AS13" s="2">
        <v>1876</v>
      </c>
      <c r="AT13" s="2">
        <v>1989</v>
      </c>
      <c r="AU13" s="2">
        <v>2472</v>
      </c>
      <c r="AV13" s="2">
        <v>2590</v>
      </c>
      <c r="AW13" s="2">
        <v>3074</v>
      </c>
      <c r="AX13" s="2">
        <v>3359</v>
      </c>
      <c r="AY13" s="2">
        <v>3774</v>
      </c>
      <c r="AZ13" s="2">
        <v>3481</v>
      </c>
      <c r="BA13" s="2">
        <v>3303</v>
      </c>
      <c r="BB13" s="2">
        <v>3524</v>
      </c>
      <c r="BC13" s="2">
        <v>1325</v>
      </c>
      <c r="BD13" s="2">
        <v>2121</v>
      </c>
      <c r="BE13" s="2">
        <v>-1875</v>
      </c>
      <c r="BF13" s="2">
        <v>4324</v>
      </c>
      <c r="BG13" s="2">
        <v>5503</v>
      </c>
      <c r="BH13" s="2">
        <v>4965</v>
      </c>
      <c r="BI13" s="2">
        <v>4140</v>
      </c>
      <c r="BJ13" s="2">
        <v>8518</v>
      </c>
      <c r="BQ13" s="2">
        <f t="shared" si="2"/>
        <v>14082</v>
      </c>
      <c r="BR13" s="3">
        <f t="shared" si="3"/>
        <v>5895</v>
      </c>
      <c r="BS13" s="3">
        <f>+SUM(BG13:BJ13)</f>
        <v>23126</v>
      </c>
      <c r="BT13" s="2">
        <f>+BT11*0.8</f>
        <v>21021.819520000008</v>
      </c>
      <c r="BU13" s="2">
        <f t="shared" ref="BU13:BY13" si="11">+BU11*0.8</f>
        <v>23824.836544000005</v>
      </c>
      <c r="BV13" s="2">
        <f t="shared" si="11"/>
        <v>26929.180322560012</v>
      </c>
      <c r="BW13" s="2">
        <f t="shared" si="11"/>
        <v>30964.250805580814</v>
      </c>
      <c r="BX13" s="2">
        <f t="shared" si="11"/>
        <v>34826.497291860251</v>
      </c>
      <c r="BY13" s="2">
        <f t="shared" si="11"/>
        <v>39097.943068939261</v>
      </c>
      <c r="BZ13" s="2">
        <f>+BY13*0.99</f>
        <v>38706.963638249865</v>
      </c>
      <c r="CA13" s="2">
        <f t="shared" ref="CA13:CX13" si="12">+BZ13*0.99</f>
        <v>38319.894001867367</v>
      </c>
      <c r="CB13" s="2">
        <f t="shared" si="12"/>
        <v>37936.695061848695</v>
      </c>
      <c r="CC13" s="2">
        <f t="shared" si="12"/>
        <v>37557.328111230207</v>
      </c>
      <c r="CD13" s="2">
        <f t="shared" si="12"/>
        <v>37181.754830117905</v>
      </c>
      <c r="CE13" s="2">
        <f t="shared" si="12"/>
        <v>36809.937281816725</v>
      </c>
      <c r="CF13" s="2">
        <f t="shared" si="12"/>
        <v>36441.837908998554</v>
      </c>
      <c r="CG13" s="2">
        <f t="shared" si="12"/>
        <v>36077.41952990857</v>
      </c>
      <c r="CH13" s="2">
        <f t="shared" si="12"/>
        <v>35716.645334609486</v>
      </c>
      <c r="CI13" s="2">
        <f t="shared" si="12"/>
        <v>35359.478881263392</v>
      </c>
      <c r="CJ13" s="2">
        <f t="shared" si="12"/>
        <v>35005.88409245076</v>
      </c>
      <c r="CK13" s="2">
        <f t="shared" si="12"/>
        <v>34655.82525152625</v>
      </c>
      <c r="CL13" s="2">
        <f t="shared" si="12"/>
        <v>34309.266999010986</v>
      </c>
      <c r="CM13" s="2">
        <f t="shared" si="12"/>
        <v>33966.174329020876</v>
      </c>
      <c r="CN13" s="2">
        <f t="shared" si="12"/>
        <v>33626.51258573067</v>
      </c>
      <c r="CO13" s="2">
        <f t="shared" si="12"/>
        <v>33290.247459873361</v>
      </c>
      <c r="CP13" s="2">
        <f t="shared" si="12"/>
        <v>32957.344985274627</v>
      </c>
      <c r="CQ13" s="2">
        <f t="shared" si="12"/>
        <v>32627.771535421882</v>
      </c>
      <c r="CR13" s="2">
        <f t="shared" si="12"/>
        <v>32301.493820067662</v>
      </c>
      <c r="CS13" s="2">
        <f t="shared" si="12"/>
        <v>31978.478881866984</v>
      </c>
      <c r="CT13" s="2">
        <f t="shared" si="12"/>
        <v>31658.694093048314</v>
      </c>
      <c r="CU13" s="2">
        <f t="shared" si="12"/>
        <v>31342.107152117831</v>
      </c>
      <c r="CV13" s="2">
        <f t="shared" si="12"/>
        <v>31028.686080596653</v>
      </c>
      <c r="CW13" s="2">
        <f t="shared" si="12"/>
        <v>30718.399219790688</v>
      </c>
      <c r="CX13" s="2">
        <f t="shared" si="12"/>
        <v>30411.21522759278</v>
      </c>
    </row>
    <row r="14" spans="2:102" s="2" customFormat="1" ht="15" x14ac:dyDescent="0.25"/>
    <row r="15" spans="2:102" x14ac:dyDescent="0.2"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108</v>
      </c>
      <c r="M15" t="s">
        <v>110</v>
      </c>
      <c r="N15" t="s">
        <v>111</v>
      </c>
      <c r="O15" t="s">
        <v>101</v>
      </c>
      <c r="P15" t="s">
        <v>112</v>
      </c>
      <c r="Q15" t="s">
        <v>113</v>
      </c>
      <c r="R15" t="s">
        <v>114</v>
      </c>
      <c r="S15" t="s">
        <v>115</v>
      </c>
      <c r="T15" t="s">
        <v>116</v>
      </c>
      <c r="U15" t="s">
        <v>117</v>
      </c>
      <c r="V15" t="s">
        <v>118</v>
      </c>
      <c r="W15" t="s">
        <v>119</v>
      </c>
      <c r="X15" t="s">
        <v>120</v>
      </c>
      <c r="Y15" t="s">
        <v>121</v>
      </c>
      <c r="Z15" t="s">
        <v>122</v>
      </c>
      <c r="AA15" t="s">
        <v>102</v>
      </c>
      <c r="AB15" t="s">
        <v>110</v>
      </c>
      <c r="AC15" t="s">
        <v>123</v>
      </c>
      <c r="AD15" t="s">
        <v>124</v>
      </c>
      <c r="AE15" t="s">
        <v>104</v>
      </c>
      <c r="AF15" t="s">
        <v>112</v>
      </c>
      <c r="AG15" t="s">
        <v>125</v>
      </c>
      <c r="AH15" t="s">
        <v>126</v>
      </c>
      <c r="AI15" t="s">
        <v>127</v>
      </c>
      <c r="AJ15" t="s">
        <v>128</v>
      </c>
      <c r="AK15" t="s">
        <v>129</v>
      </c>
      <c r="AL15" t="s">
        <v>130</v>
      </c>
      <c r="AM15" t="s">
        <v>131</v>
      </c>
      <c r="AN15" t="s">
        <v>132</v>
      </c>
      <c r="AO15" t="s">
        <v>133</v>
      </c>
      <c r="AP15" t="s">
        <v>134</v>
      </c>
      <c r="AQ15" t="s">
        <v>135</v>
      </c>
      <c r="AR15" t="s">
        <v>136</v>
      </c>
      <c r="AS15" t="s">
        <v>137</v>
      </c>
      <c r="AT15" t="s">
        <v>138</v>
      </c>
      <c r="AU15" t="s">
        <v>139</v>
      </c>
      <c r="AV15" t="s">
        <v>140</v>
      </c>
      <c r="AW15" t="s">
        <v>140</v>
      </c>
      <c r="AX15" t="s">
        <v>141</v>
      </c>
      <c r="AY15" t="s">
        <v>142</v>
      </c>
      <c r="AZ15" t="s">
        <v>143</v>
      </c>
      <c r="BA15" t="s">
        <v>144</v>
      </c>
      <c r="BB15" t="s">
        <v>145</v>
      </c>
      <c r="BC15" t="s">
        <v>146</v>
      </c>
      <c r="BD15" t="s">
        <v>147</v>
      </c>
      <c r="BE15" t="s">
        <v>148</v>
      </c>
      <c r="BF15" t="s">
        <v>149</v>
      </c>
      <c r="BG15" t="s">
        <v>150</v>
      </c>
      <c r="BH15" t="s">
        <v>150</v>
      </c>
      <c r="BI15" t="s">
        <v>140</v>
      </c>
      <c r="BJ15" t="s">
        <v>150</v>
      </c>
      <c r="BQ15" s="6">
        <f t="shared" ref="BQ15:BR15" si="13">+BQ5/BQ3</f>
        <v>0.68929897540411511</v>
      </c>
      <c r="BR15" s="6">
        <f t="shared" si="13"/>
        <v>0.63033699150734868</v>
      </c>
      <c r="BS15" s="6">
        <f>+BS5/BS3</f>
        <v>0.67766525271181932</v>
      </c>
      <c r="BT15" s="6">
        <f t="shared" ref="BT15:BY15" si="14">+BT5/BT3</f>
        <v>0.69</v>
      </c>
      <c r="BU15" s="6">
        <f t="shared" si="14"/>
        <v>0.69</v>
      </c>
      <c r="BV15" s="6">
        <f t="shared" si="14"/>
        <v>0.69</v>
      </c>
      <c r="BW15" s="6">
        <f t="shared" si="14"/>
        <v>0.7</v>
      </c>
      <c r="BX15" s="6">
        <f t="shared" si="14"/>
        <v>0.7</v>
      </c>
      <c r="BY15" s="6">
        <f t="shared" si="14"/>
        <v>0.7</v>
      </c>
      <c r="CA15" t="s">
        <v>360</v>
      </c>
      <c r="CB15" s="8">
        <f>+NPV(0.07,BT13:CX13)</f>
        <v>413141.03647841566</v>
      </c>
    </row>
    <row r="16" spans="2:102" x14ac:dyDescent="0.2"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154</v>
      </c>
      <c r="J16" t="s">
        <v>158</v>
      </c>
      <c r="K16" t="s">
        <v>159</v>
      </c>
      <c r="L16" t="s">
        <v>160</v>
      </c>
      <c r="M16" t="s">
        <v>161</v>
      </c>
      <c r="N16" t="s">
        <v>162</v>
      </c>
      <c r="O16" t="s">
        <v>163</v>
      </c>
      <c r="P16" t="s">
        <v>164</v>
      </c>
      <c r="Q16" t="s">
        <v>165</v>
      </c>
      <c r="R16" t="s">
        <v>166</v>
      </c>
      <c r="S16" t="s">
        <v>152</v>
      </c>
      <c r="T16" t="s">
        <v>167</v>
      </c>
      <c r="U16" t="s">
        <v>168</v>
      </c>
      <c r="V16" t="s">
        <v>169</v>
      </c>
      <c r="W16" t="s">
        <v>170</v>
      </c>
      <c r="X16" t="s">
        <v>171</v>
      </c>
      <c r="Y16" t="s">
        <v>172</v>
      </c>
      <c r="Z16" t="s">
        <v>173</v>
      </c>
      <c r="AA16" t="s">
        <v>174</v>
      </c>
      <c r="AB16" t="s">
        <v>175</v>
      </c>
      <c r="AC16" t="s">
        <v>176</v>
      </c>
      <c r="AD16" t="s">
        <v>177</v>
      </c>
      <c r="AE16" t="s">
        <v>178</v>
      </c>
      <c r="AF16" t="s">
        <v>155</v>
      </c>
      <c r="AG16" t="s">
        <v>179</v>
      </c>
      <c r="AH16" t="s">
        <v>180</v>
      </c>
      <c r="AI16" t="s">
        <v>181</v>
      </c>
      <c r="AJ16" t="s">
        <v>182</v>
      </c>
      <c r="AK16" t="s">
        <v>183</v>
      </c>
      <c r="AL16" t="s">
        <v>184</v>
      </c>
      <c r="AM16" t="s">
        <v>174</v>
      </c>
      <c r="AN16" t="s">
        <v>185</v>
      </c>
      <c r="AO16" t="s">
        <v>186</v>
      </c>
      <c r="AP16" t="s">
        <v>187</v>
      </c>
      <c r="AQ16" t="s">
        <v>188</v>
      </c>
      <c r="AR16" t="s">
        <v>189</v>
      </c>
      <c r="AS16" t="s">
        <v>190</v>
      </c>
      <c r="AT16" t="s">
        <v>191</v>
      </c>
      <c r="AU16" t="s">
        <v>192</v>
      </c>
      <c r="AV16" t="s">
        <v>193</v>
      </c>
      <c r="AW16" t="s">
        <v>194</v>
      </c>
      <c r="AX16" t="s">
        <v>195</v>
      </c>
      <c r="AY16" t="s">
        <v>196</v>
      </c>
      <c r="AZ16" t="s">
        <v>197</v>
      </c>
      <c r="BA16" t="s">
        <v>198</v>
      </c>
      <c r="BB16" t="s">
        <v>199</v>
      </c>
      <c r="BC16" t="s">
        <v>200</v>
      </c>
      <c r="BD16" t="s">
        <v>201</v>
      </c>
      <c r="BE16" t="s">
        <v>202</v>
      </c>
      <c r="BF16" t="s">
        <v>203</v>
      </c>
      <c r="BG16" t="s">
        <v>204</v>
      </c>
      <c r="BH16" t="s">
        <v>205</v>
      </c>
      <c r="BI16" t="s">
        <v>206</v>
      </c>
      <c r="BJ16" t="s">
        <v>207</v>
      </c>
      <c r="BQ16" s="7">
        <f t="shared" ref="BQ16:BR16" si="15">+BQ8/BQ3</f>
        <v>0.23682961556715709</v>
      </c>
      <c r="BR16" s="7">
        <f t="shared" si="15"/>
        <v>0.36929460580912865</v>
      </c>
      <c r="BS16" s="7">
        <f>+BS8/BS3</f>
        <v>0.27877345938923409</v>
      </c>
      <c r="BT16" s="7">
        <f t="shared" ref="BT16:BY16" si="16">+BT8/BT3</f>
        <v>0.22260383034249387</v>
      </c>
      <c r="BU16" s="7">
        <f t="shared" si="16"/>
        <v>0.20843813204797151</v>
      </c>
      <c r="BV16" s="7">
        <f t="shared" si="16"/>
        <v>0.1951738872812824</v>
      </c>
      <c r="BW16" s="7">
        <f t="shared" si="16"/>
        <v>0.18275373081792806</v>
      </c>
      <c r="BX16" s="7">
        <f t="shared" si="16"/>
        <v>0.17112394794769625</v>
      </c>
      <c r="BY16" s="7">
        <f t="shared" si="16"/>
        <v>0.16023424216920648</v>
      </c>
      <c r="CA16" t="s">
        <v>361</v>
      </c>
      <c r="CB16">
        <f>+CB15/main!L3</f>
        <v>871.37154194330435</v>
      </c>
    </row>
    <row r="17" spans="2:77" x14ac:dyDescent="0.2">
      <c r="B17" t="s">
        <v>208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212</v>
      </c>
      <c r="J17" t="s">
        <v>215</v>
      </c>
      <c r="K17" t="s">
        <v>161</v>
      </c>
      <c r="L17" t="s">
        <v>216</v>
      </c>
      <c r="M17" t="s">
        <v>217</v>
      </c>
      <c r="N17" t="s">
        <v>218</v>
      </c>
      <c r="O17" t="s">
        <v>166</v>
      </c>
      <c r="P17" t="s">
        <v>219</v>
      </c>
      <c r="Q17" t="s">
        <v>220</v>
      </c>
      <c r="R17" t="s">
        <v>221</v>
      </c>
      <c r="S17" t="s">
        <v>159</v>
      </c>
      <c r="T17" t="s">
        <v>222</v>
      </c>
      <c r="U17" t="s">
        <v>223</v>
      </c>
      <c r="V17" t="s">
        <v>218</v>
      </c>
      <c r="W17" t="s">
        <v>222</v>
      </c>
      <c r="X17" t="s">
        <v>224</v>
      </c>
      <c r="Y17" t="s">
        <v>225</v>
      </c>
      <c r="Z17" t="s">
        <v>226</v>
      </c>
      <c r="AA17" t="s">
        <v>227</v>
      </c>
      <c r="AB17" t="s">
        <v>228</v>
      </c>
      <c r="AC17" t="s">
        <v>229</v>
      </c>
      <c r="AD17" t="s">
        <v>230</v>
      </c>
      <c r="AE17" t="s">
        <v>231</v>
      </c>
      <c r="AF17" t="s">
        <v>232</v>
      </c>
      <c r="AG17" t="s">
        <v>187</v>
      </c>
      <c r="AH17" t="s">
        <v>233</v>
      </c>
      <c r="AI17" t="s">
        <v>234</v>
      </c>
      <c r="AJ17" t="s">
        <v>235</v>
      </c>
      <c r="AK17" t="s">
        <v>236</v>
      </c>
      <c r="AL17" t="s">
        <v>237</v>
      </c>
      <c r="AM17" t="s">
        <v>238</v>
      </c>
      <c r="AN17" t="s">
        <v>239</v>
      </c>
      <c r="AO17" t="s">
        <v>240</v>
      </c>
      <c r="AP17" t="s">
        <v>233</v>
      </c>
      <c r="AQ17" t="s">
        <v>241</v>
      </c>
      <c r="AR17" t="s">
        <v>242</v>
      </c>
      <c r="AS17" t="s">
        <v>243</v>
      </c>
      <c r="AT17" t="s">
        <v>244</v>
      </c>
      <c r="AU17" t="s">
        <v>245</v>
      </c>
      <c r="AV17" t="s">
        <v>246</v>
      </c>
      <c r="AW17" t="s">
        <v>247</v>
      </c>
      <c r="AX17" t="s">
        <v>248</v>
      </c>
      <c r="AY17" t="s">
        <v>249</v>
      </c>
      <c r="AZ17" t="s">
        <v>250</v>
      </c>
      <c r="BA17" t="s">
        <v>251</v>
      </c>
      <c r="BB17" t="s">
        <v>252</v>
      </c>
      <c r="BC17" t="s">
        <v>228</v>
      </c>
      <c r="BD17" t="s">
        <v>253</v>
      </c>
      <c r="BE17" t="s">
        <v>254</v>
      </c>
      <c r="BF17" t="s">
        <v>255</v>
      </c>
      <c r="BG17" t="s">
        <v>206</v>
      </c>
      <c r="BH17" t="s">
        <v>256</v>
      </c>
      <c r="BI17" t="s">
        <v>257</v>
      </c>
      <c r="BJ17" t="s">
        <v>258</v>
      </c>
      <c r="BQ17" s="7">
        <f t="shared" ref="BQ17:BR17" si="17">+BQ13/BQ3</f>
        <v>0.39314330383316115</v>
      </c>
      <c r="BR17" s="7">
        <f t="shared" si="17"/>
        <v>0.11430177996664986</v>
      </c>
      <c r="BS17" s="7">
        <f>+BS13/BS3</f>
        <v>0.36198287601546481</v>
      </c>
      <c r="BT17" s="7">
        <f t="shared" ref="BT17:BY17" si="18">+BT13/BT3</f>
        <v>0.29913354858080393</v>
      </c>
      <c r="BU17" s="7">
        <f t="shared" si="18"/>
        <v>0.30819959548929821</v>
      </c>
      <c r="BV17" s="7">
        <f t="shared" si="18"/>
        <v>0.31668871213997929</v>
      </c>
      <c r="BW17" s="7">
        <f t="shared" si="18"/>
        <v>0.33103761227652601</v>
      </c>
      <c r="BX17" s="7">
        <f t="shared" si="18"/>
        <v>0.33848067331347442</v>
      </c>
      <c r="BY17" s="7">
        <f t="shared" si="18"/>
        <v>0.34545008501170782</v>
      </c>
    </row>
    <row r="18" spans="2:77" x14ac:dyDescent="0.2">
      <c r="B18" t="s">
        <v>259</v>
      </c>
      <c r="C18" t="s">
        <v>260</v>
      </c>
      <c r="D18" t="s">
        <v>261</v>
      </c>
      <c r="E18" t="s">
        <v>262</v>
      </c>
      <c r="F18" t="s">
        <v>263</v>
      </c>
      <c r="G18" t="s">
        <v>185</v>
      </c>
      <c r="H18" t="s">
        <v>264</v>
      </c>
      <c r="I18" t="s">
        <v>237</v>
      </c>
      <c r="J18" t="s">
        <v>260</v>
      </c>
      <c r="K18" t="s">
        <v>265</v>
      </c>
      <c r="L18" t="s">
        <v>266</v>
      </c>
      <c r="M18" t="s">
        <v>183</v>
      </c>
      <c r="N18" t="s">
        <v>267</v>
      </c>
      <c r="O18" t="s">
        <v>268</v>
      </c>
      <c r="P18" t="s">
        <v>269</v>
      </c>
      <c r="Q18" t="s">
        <v>166</v>
      </c>
      <c r="R18" t="s">
        <v>237</v>
      </c>
      <c r="S18" t="s">
        <v>270</v>
      </c>
      <c r="T18" t="s">
        <v>271</v>
      </c>
      <c r="U18" t="s">
        <v>272</v>
      </c>
      <c r="V18" t="s">
        <v>271</v>
      </c>
      <c r="W18" t="s">
        <v>268</v>
      </c>
      <c r="X18" t="s">
        <v>214</v>
      </c>
      <c r="Y18" t="s">
        <v>159</v>
      </c>
      <c r="Z18" t="s">
        <v>164</v>
      </c>
      <c r="AA18" t="s">
        <v>273</v>
      </c>
      <c r="AB18" t="s">
        <v>274</v>
      </c>
      <c r="AC18" t="s">
        <v>275</v>
      </c>
      <c r="AD18" t="s">
        <v>186</v>
      </c>
      <c r="AE18" t="s">
        <v>200</v>
      </c>
      <c r="AF18" t="s">
        <v>276</v>
      </c>
      <c r="AG18" t="s">
        <v>166</v>
      </c>
      <c r="AH18" t="s">
        <v>200</v>
      </c>
      <c r="AI18" t="s">
        <v>163</v>
      </c>
      <c r="AJ18" t="s">
        <v>277</v>
      </c>
      <c r="AK18" t="s">
        <v>209</v>
      </c>
      <c r="AL18" t="s">
        <v>278</v>
      </c>
      <c r="AM18" t="s">
        <v>217</v>
      </c>
      <c r="AN18" t="s">
        <v>279</v>
      </c>
      <c r="AO18" t="s">
        <v>280</v>
      </c>
      <c r="AP18" t="s">
        <v>281</v>
      </c>
      <c r="AQ18" t="s">
        <v>184</v>
      </c>
      <c r="AR18" t="s">
        <v>276</v>
      </c>
      <c r="AS18" t="s">
        <v>282</v>
      </c>
      <c r="AT18" t="s">
        <v>283</v>
      </c>
      <c r="AU18" t="s">
        <v>183</v>
      </c>
      <c r="AV18" t="s">
        <v>271</v>
      </c>
      <c r="AW18" t="s">
        <v>267</v>
      </c>
      <c r="AX18" t="s">
        <v>284</v>
      </c>
      <c r="AY18" t="s">
        <v>284</v>
      </c>
      <c r="AZ18" t="s">
        <v>285</v>
      </c>
      <c r="BA18" t="s">
        <v>177</v>
      </c>
      <c r="BB18" t="s">
        <v>286</v>
      </c>
      <c r="BC18" t="s">
        <v>287</v>
      </c>
      <c r="BD18" t="s">
        <v>287</v>
      </c>
      <c r="BE18" t="s">
        <v>288</v>
      </c>
      <c r="BF18" t="s">
        <v>272</v>
      </c>
      <c r="BG18" t="s">
        <v>268</v>
      </c>
      <c r="BH18" t="s">
        <v>289</v>
      </c>
      <c r="BI18" t="s">
        <v>290</v>
      </c>
      <c r="BJ18" t="s">
        <v>291</v>
      </c>
      <c r="BQ18" s="7">
        <f t="shared" ref="BQ18:BR18" si="19">+BQ7/BQ3</f>
        <v>0.14665401044138585</v>
      </c>
      <c r="BR18" s="7">
        <f t="shared" si="19"/>
        <v>0.18051731492612558</v>
      </c>
      <c r="BS18" s="7">
        <f>+BS7/BS3</f>
        <v>0.17181899290935559</v>
      </c>
      <c r="BT18" s="7">
        <f t="shared" ref="BT18:BY18" si="20">+BT7/BT3</f>
        <v>0.160885056996942</v>
      </c>
      <c r="BU18" s="7">
        <f t="shared" si="20"/>
        <v>0.15064691700622751</v>
      </c>
      <c r="BV18" s="7">
        <f t="shared" si="20"/>
        <v>0.14106029501492212</v>
      </c>
      <c r="BW18" s="7">
        <f t="shared" si="20"/>
        <v>0.13208373078669977</v>
      </c>
      <c r="BX18" s="7">
        <f t="shared" si="20"/>
        <v>0.12367840246390976</v>
      </c>
      <c r="BY18" s="7">
        <f t="shared" si="20"/>
        <v>0.11580795867075186</v>
      </c>
    </row>
    <row r="19" spans="2:77" x14ac:dyDescent="0.2">
      <c r="B19" t="s">
        <v>292</v>
      </c>
      <c r="C19" t="s">
        <v>293</v>
      </c>
      <c r="D19" t="s">
        <v>294</v>
      </c>
      <c r="E19" t="s">
        <v>239</v>
      </c>
      <c r="F19" t="s">
        <v>295</v>
      </c>
      <c r="G19" t="s">
        <v>296</v>
      </c>
      <c r="H19" t="s">
        <v>294</v>
      </c>
      <c r="I19" t="s">
        <v>234</v>
      </c>
      <c r="J19" t="s">
        <v>297</v>
      </c>
      <c r="K19" t="s">
        <v>298</v>
      </c>
      <c r="L19" t="s">
        <v>293</v>
      </c>
      <c r="M19" t="s">
        <v>294</v>
      </c>
      <c r="N19" t="s">
        <v>234</v>
      </c>
      <c r="O19" t="s">
        <v>299</v>
      </c>
      <c r="P19" t="s">
        <v>181</v>
      </c>
      <c r="Q19" t="s">
        <v>300</v>
      </c>
      <c r="R19" t="s">
        <v>234</v>
      </c>
      <c r="S19" t="s">
        <v>301</v>
      </c>
      <c r="T19" t="s">
        <v>302</v>
      </c>
      <c r="U19" t="s">
        <v>303</v>
      </c>
      <c r="V19" t="s">
        <v>304</v>
      </c>
      <c r="W19" t="s">
        <v>304</v>
      </c>
      <c r="X19" t="s">
        <v>302</v>
      </c>
      <c r="Y19" t="s">
        <v>227</v>
      </c>
      <c r="Z19" t="s">
        <v>305</v>
      </c>
      <c r="AA19" t="s">
        <v>306</v>
      </c>
      <c r="AB19" t="s">
        <v>306</v>
      </c>
      <c r="AC19" t="s">
        <v>307</v>
      </c>
      <c r="AD19" t="s">
        <v>308</v>
      </c>
      <c r="AE19" t="s">
        <v>309</v>
      </c>
      <c r="AF19" t="s">
        <v>310</v>
      </c>
      <c r="AG19" t="s">
        <v>311</v>
      </c>
      <c r="AH19" t="s">
        <v>312</v>
      </c>
      <c r="AI19" t="s">
        <v>234</v>
      </c>
      <c r="AJ19" t="s">
        <v>313</v>
      </c>
      <c r="AK19" t="s">
        <v>314</v>
      </c>
      <c r="AL19" t="s">
        <v>315</v>
      </c>
      <c r="AM19" t="s">
        <v>316</v>
      </c>
      <c r="AN19" t="s">
        <v>317</v>
      </c>
      <c r="AO19" t="s">
        <v>314</v>
      </c>
      <c r="AP19" t="s">
        <v>318</v>
      </c>
      <c r="AQ19" t="s">
        <v>319</v>
      </c>
      <c r="AR19" t="s">
        <v>306</v>
      </c>
      <c r="AS19" t="s">
        <v>319</v>
      </c>
      <c r="AT19" t="s">
        <v>307</v>
      </c>
      <c r="AU19" t="s">
        <v>320</v>
      </c>
      <c r="AV19" t="s">
        <v>307</v>
      </c>
      <c r="AW19" t="s">
        <v>308</v>
      </c>
      <c r="AX19" t="s">
        <v>321</v>
      </c>
      <c r="AY19" t="s">
        <v>322</v>
      </c>
      <c r="AZ19" t="s">
        <v>323</v>
      </c>
      <c r="BA19" t="s">
        <v>312</v>
      </c>
      <c r="BB19" t="s">
        <v>307</v>
      </c>
      <c r="BC19" t="s">
        <v>261</v>
      </c>
      <c r="BD19" t="s">
        <v>324</v>
      </c>
      <c r="BE19" t="s">
        <v>325</v>
      </c>
      <c r="BF19" t="s">
        <v>301</v>
      </c>
      <c r="BG19" t="s">
        <v>304</v>
      </c>
      <c r="BH19" t="s">
        <v>301</v>
      </c>
      <c r="BI19" t="s">
        <v>302</v>
      </c>
      <c r="BJ19" t="s">
        <v>227</v>
      </c>
      <c r="BQ19" s="7">
        <f t="shared" ref="BQ19:BR19" si="21">+BQ6/BQ3</f>
        <v>4.4445685250844524E-2</v>
      </c>
      <c r="BR19" s="7">
        <f t="shared" si="21"/>
        <v>9.6153100399426067E-2</v>
      </c>
      <c r="BS19" s="7">
        <f>+BS6/BS3</f>
        <v>6.5913253087482582E-2</v>
      </c>
      <c r="BT19" s="7">
        <f t="shared" ref="BT19:BY19" si="22">+BT6/BT3</f>
        <v>6.1718773345551863E-2</v>
      </c>
      <c r="BU19" s="7">
        <f t="shared" si="22"/>
        <v>5.7791215041744011E-2</v>
      </c>
      <c r="BV19" s="7">
        <f t="shared" si="22"/>
        <v>5.4113592266360304E-2</v>
      </c>
      <c r="BW19" s="7">
        <f t="shared" si="22"/>
        <v>5.0670000031228277E-2</v>
      </c>
      <c r="BX19" s="7">
        <f t="shared" si="22"/>
        <v>4.7445545483786468E-2</v>
      </c>
      <c r="BY19" s="7">
        <f t="shared" si="22"/>
        <v>4.4426283498454601E-2</v>
      </c>
    </row>
    <row r="20" spans="2:77" x14ac:dyDescent="0.2">
      <c r="B20" t="s">
        <v>359</v>
      </c>
      <c r="C20" t="s">
        <v>326</v>
      </c>
      <c r="D20" t="s">
        <v>327</v>
      </c>
      <c r="E20" t="s">
        <v>328</v>
      </c>
      <c r="F20" t="s">
        <v>329</v>
      </c>
      <c r="G20" t="s">
        <v>330</v>
      </c>
      <c r="H20" t="s">
        <v>331</v>
      </c>
      <c r="I20" t="s">
        <v>313</v>
      </c>
      <c r="J20" t="s">
        <v>332</v>
      </c>
      <c r="K20" t="s">
        <v>333</v>
      </c>
      <c r="L20" t="s">
        <v>334</v>
      </c>
      <c r="M20" t="s">
        <v>264</v>
      </c>
      <c r="N20" t="s">
        <v>264</v>
      </c>
      <c r="O20" t="s">
        <v>335</v>
      </c>
      <c r="P20" t="s">
        <v>336</v>
      </c>
      <c r="Q20" t="s">
        <v>337</v>
      </c>
      <c r="R20" t="s">
        <v>153</v>
      </c>
      <c r="S20" t="s">
        <v>338</v>
      </c>
      <c r="T20" t="s">
        <v>339</v>
      </c>
      <c r="U20" t="s">
        <v>340</v>
      </c>
      <c r="V20" t="s">
        <v>227</v>
      </c>
      <c r="W20" t="s">
        <v>341</v>
      </c>
      <c r="X20" t="s">
        <v>342</v>
      </c>
      <c r="Y20" t="s">
        <v>315</v>
      </c>
      <c r="Z20" t="s">
        <v>343</v>
      </c>
      <c r="AA20" t="s">
        <v>344</v>
      </c>
      <c r="AB20" t="s">
        <v>345</v>
      </c>
      <c r="AC20" t="s">
        <v>346</v>
      </c>
      <c r="AD20" t="s">
        <v>221</v>
      </c>
      <c r="AE20" t="s">
        <v>295</v>
      </c>
      <c r="AF20" t="s">
        <v>347</v>
      </c>
      <c r="AG20" t="s">
        <v>348</v>
      </c>
      <c r="AH20" t="s">
        <v>340</v>
      </c>
      <c r="AI20" t="s">
        <v>318</v>
      </c>
      <c r="AJ20" t="s">
        <v>349</v>
      </c>
      <c r="AK20" t="s">
        <v>342</v>
      </c>
      <c r="AL20" t="s">
        <v>305</v>
      </c>
      <c r="AM20" t="s">
        <v>350</v>
      </c>
      <c r="AN20" t="s">
        <v>351</v>
      </c>
      <c r="AO20" t="s">
        <v>350</v>
      </c>
      <c r="AP20" t="s">
        <v>228</v>
      </c>
      <c r="AQ20" t="s">
        <v>352</v>
      </c>
      <c r="AR20" t="s">
        <v>353</v>
      </c>
      <c r="AS20" t="s">
        <v>354</v>
      </c>
      <c r="AT20" t="s">
        <v>293</v>
      </c>
      <c r="AU20" t="s">
        <v>327</v>
      </c>
      <c r="AV20" t="s">
        <v>355</v>
      </c>
      <c r="AW20" t="s">
        <v>307</v>
      </c>
      <c r="AX20" t="s">
        <v>309</v>
      </c>
      <c r="AY20" t="s">
        <v>356</v>
      </c>
      <c r="AZ20" t="s">
        <v>351</v>
      </c>
      <c r="BA20" t="s">
        <v>357</v>
      </c>
      <c r="BB20" t="s">
        <v>305</v>
      </c>
      <c r="BC20" t="s">
        <v>210</v>
      </c>
      <c r="BD20" t="s">
        <v>312</v>
      </c>
      <c r="BE20" t="s">
        <v>305</v>
      </c>
      <c r="BF20" t="s">
        <v>340</v>
      </c>
      <c r="BG20" t="s">
        <v>227</v>
      </c>
      <c r="BH20" t="s">
        <v>358</v>
      </c>
      <c r="BI20" t="s">
        <v>318</v>
      </c>
      <c r="BJ20" t="s">
        <v>260</v>
      </c>
      <c r="BQ20" s="7" t="s">
        <v>6</v>
      </c>
      <c r="BR20" s="7">
        <f t="shared" ref="BQ20:BR20" si="23">+BR13/BQ13-1</f>
        <v>-0.58138048572645928</v>
      </c>
      <c r="BS20" s="7">
        <f>+BS13/BR13-1</f>
        <v>2.922985581000848</v>
      </c>
      <c r="BT20" s="7">
        <f t="shared" ref="BT20:BY20" si="24">+BT13/BS13-1</f>
        <v>-9.0987653723081929E-2</v>
      </c>
      <c r="BU20" s="7">
        <f t="shared" si="24"/>
        <v>0.13333845918205256</v>
      </c>
      <c r="BV20" s="7">
        <f t="shared" si="24"/>
        <v>0.13029863910406547</v>
      </c>
      <c r="BW20" s="7">
        <f t="shared" si="24"/>
        <v>0.14984007811186162</v>
      </c>
      <c r="BX20" s="7">
        <f t="shared" si="24"/>
        <v>0.12473243775636034</v>
      </c>
      <c r="BY20" s="7">
        <f t="shared" si="24"/>
        <v>0.12264930754541736</v>
      </c>
    </row>
    <row r="21" spans="2:77" x14ac:dyDescent="0.2">
      <c r="BQ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main</vt:lpstr>
      <vt:lpstr>model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2026-02-02T10:26:53Z</dcterms:created>
  <dcterms:modified xsi:type="dcterms:W3CDTF">2026-02-02T12:02:53Z</dcterms:modified>
</cp:coreProperties>
</file>