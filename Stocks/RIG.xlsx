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ademiafaedupt-my.sharepoint.com/personal/sbclemente_academiafa_edu_pt/Documents/Gigs/WorkingFolder/Finance_Shared/Stocks/"/>
    </mc:Choice>
  </mc:AlternateContent>
  <xr:revisionPtr revIDLastSave="81" documentId="8_{39B46AA9-7254-454C-B1E4-BF44C72E5245}" xr6:coauthVersionLast="47" xr6:coauthVersionMax="47" xr10:uidLastSave="{8FCF5FE8-71CB-4590-88D2-E7C2E17BFE8E}"/>
  <bookViews>
    <workbookView xWindow="-105" yWindow="0" windowWidth="14610" windowHeight="15585" activeTab="1" xr2:uid="{98892AB6-C49F-45EB-9A7C-EC46279E2FC1}"/>
  </bookViews>
  <sheets>
    <sheet name="main " sheetId="1" r:id="rId1"/>
    <sheet name="model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C5" i="2"/>
  <c r="C7" i="2" s="1"/>
  <c r="G8" i="2"/>
  <c r="G5" i="2"/>
  <c r="G7" i="2" s="1"/>
  <c r="G9" i="2" s="1"/>
  <c r="G11" i="2" s="1"/>
  <c r="G12" i="2" s="1"/>
  <c r="D8" i="2"/>
  <c r="D5" i="2"/>
  <c r="D7" i="2" s="1"/>
  <c r="D9" i="2" s="1"/>
  <c r="D11" i="2" s="1"/>
  <c r="D12" i="2" s="1"/>
  <c r="H8" i="2"/>
  <c r="H5" i="2"/>
  <c r="H7" i="2" s="1"/>
  <c r="H9" i="2" s="1"/>
  <c r="H11" i="2" s="1"/>
  <c r="H12" i="2" s="1"/>
  <c r="E11" i="2"/>
  <c r="I11" i="2"/>
  <c r="I12" i="2" s="1"/>
  <c r="E8" i="2"/>
  <c r="E5" i="2"/>
  <c r="E7" i="2" s="1"/>
  <c r="I9" i="2"/>
  <c r="I8" i="2"/>
  <c r="I7" i="2"/>
  <c r="I5" i="2"/>
  <c r="L8" i="1"/>
  <c r="L7" i="1"/>
  <c r="L6" i="1"/>
  <c r="L5" i="1"/>
  <c r="C9" i="2" l="1"/>
  <c r="C11" i="2" s="1"/>
  <c r="C12" i="2" s="1"/>
  <c r="E9" i="2"/>
  <c r="E12" i="2" s="1"/>
</calcChain>
</file>

<file path=xl/sharedStrings.xml><?xml version="1.0" encoding="utf-8"?>
<sst xmlns="http://schemas.openxmlformats.org/spreadsheetml/2006/main" count="25" uniqueCount="24">
  <si>
    <t>Price</t>
  </si>
  <si>
    <t>Shares</t>
  </si>
  <si>
    <t>MC</t>
  </si>
  <si>
    <t>Cash</t>
  </si>
  <si>
    <t>Debt</t>
  </si>
  <si>
    <t>EV</t>
  </si>
  <si>
    <t>Q124</t>
  </si>
  <si>
    <t>Q224</t>
  </si>
  <si>
    <t>Q324</t>
  </si>
  <si>
    <t>Q424</t>
  </si>
  <si>
    <t>Q125</t>
  </si>
  <si>
    <t>Q225</t>
  </si>
  <si>
    <t>Q325</t>
  </si>
  <si>
    <t>Q425</t>
  </si>
  <si>
    <t>Contract Dril Rev</t>
  </si>
  <si>
    <t>Operating &amp; Maintenance</t>
  </si>
  <si>
    <t>GA</t>
  </si>
  <si>
    <t>Gross Profit</t>
  </si>
  <si>
    <t>Operating Profit</t>
  </si>
  <si>
    <t>Interest</t>
  </si>
  <si>
    <t>Pretax</t>
  </si>
  <si>
    <t>Tax</t>
  </si>
  <si>
    <t>NI</t>
  </si>
  <si>
    <t>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</si>
</sst>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8B13-02A3-45D3-A112-A926D81A41F5}">
  <dimension ref="K3:L8"/>
  <sheetViews>
    <sheetView topLeftCell="B1" workbookViewId="0">
      <selection activeCell="L10" sqref="L10"/>
    </sheetView>
  </sheetViews>
  <sheetFormatPr defaultRowHeight="14.25" x14ac:dyDescent="0.2"/>
  <sheetData>
    <row r="3" spans="11:12" x14ac:dyDescent="0.2">
      <c r="K3" t="s">
        <v>0</v>
      </c>
      <c r="L3" s="1">
        <v>4.87</v>
      </c>
    </row>
    <row r="4" spans="11:12" x14ac:dyDescent="0.2">
      <c r="K4" t="s">
        <v>1</v>
      </c>
      <c r="L4" s="1">
        <v>1101441.2050000001</v>
      </c>
    </row>
    <row r="5" spans="11:12" x14ac:dyDescent="0.2">
      <c r="K5" t="s">
        <v>2</v>
      </c>
      <c r="L5" s="1">
        <f>+L4*L3</f>
        <v>5364018.6683500009</v>
      </c>
    </row>
    <row r="6" spans="11:12" x14ac:dyDescent="0.2">
      <c r="K6" t="s">
        <v>3</v>
      </c>
      <c r="L6" s="1">
        <f>833+48</f>
        <v>881</v>
      </c>
    </row>
    <row r="7" spans="11:12" x14ac:dyDescent="0.2">
      <c r="K7" t="s">
        <v>4</v>
      </c>
      <c r="L7" s="1">
        <f>1372+48499</f>
        <v>49871</v>
      </c>
    </row>
    <row r="8" spans="11:12" x14ac:dyDescent="0.2">
      <c r="K8" t="s">
        <v>5</v>
      </c>
      <c r="L8" s="1">
        <f>+L5-L6+L7</f>
        <v>5413008.6683500009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44498-89CB-4624-97C1-701AF6F2528A}">
  <dimension ref="B2:J13"/>
  <sheetViews>
    <sheetView tabSelected="1" workbookViewId="0">
      <selection activeCell="F5" sqref="F5"/>
    </sheetView>
  </sheetViews>
  <sheetFormatPr defaultRowHeight="14.25" x14ac:dyDescent="0.2"/>
  <cols>
    <col min="2" max="2" width="21.75" bestFit="1" customWidth="1"/>
  </cols>
  <sheetData>
    <row r="2" spans="2:10" x14ac:dyDescent="0.2"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</row>
    <row r="3" spans="2:10" x14ac:dyDescent="0.2">
      <c r="B3" t="s">
        <v>14</v>
      </c>
      <c r="C3">
        <v>763</v>
      </c>
      <c r="D3">
        <v>861</v>
      </c>
      <c r="E3">
        <v>948</v>
      </c>
      <c r="G3">
        <v>906</v>
      </c>
      <c r="H3">
        <v>988</v>
      </c>
      <c r="I3">
        <v>1028</v>
      </c>
    </row>
    <row r="4" spans="2:10" x14ac:dyDescent="0.2">
      <c r="B4" t="s">
        <v>15</v>
      </c>
      <c r="C4">
        <v>523</v>
      </c>
      <c r="D4">
        <v>599</v>
      </c>
      <c r="E4">
        <v>563</v>
      </c>
      <c r="G4">
        <v>618</v>
      </c>
      <c r="H4">
        <v>599</v>
      </c>
      <c r="I4">
        <v>584</v>
      </c>
    </row>
    <row r="5" spans="2:10" x14ac:dyDescent="0.2">
      <c r="B5" t="s">
        <v>17</v>
      </c>
      <c r="C5">
        <f>+C3-C4</f>
        <v>240</v>
      </c>
      <c r="D5">
        <f>+D3-D4</f>
        <v>262</v>
      </c>
      <c r="E5">
        <f>+E3-E4</f>
        <v>385</v>
      </c>
      <c r="G5">
        <f>+G3-G4</f>
        <v>288</v>
      </c>
      <c r="H5">
        <f>+H3-H4</f>
        <v>389</v>
      </c>
      <c r="I5">
        <f>+I3-I4</f>
        <v>444</v>
      </c>
    </row>
    <row r="6" spans="2:10" x14ac:dyDescent="0.2">
      <c r="B6" t="s">
        <v>16</v>
      </c>
      <c r="C6">
        <v>52</v>
      </c>
      <c r="D6">
        <v>59</v>
      </c>
      <c r="E6">
        <v>47</v>
      </c>
      <c r="G6">
        <v>50</v>
      </c>
      <c r="H6">
        <v>49</v>
      </c>
      <c r="I6">
        <v>46</v>
      </c>
    </row>
    <row r="7" spans="2:10" x14ac:dyDescent="0.2">
      <c r="B7" t="s">
        <v>18</v>
      </c>
      <c r="C7">
        <f>+C5-C6</f>
        <v>188</v>
      </c>
      <c r="D7">
        <f>+D5-D6</f>
        <v>203</v>
      </c>
      <c r="E7">
        <f>+E5-E6</f>
        <v>338</v>
      </c>
      <c r="G7">
        <f>+G5-G6</f>
        <v>238</v>
      </c>
      <c r="H7">
        <f>+H5-H6</f>
        <v>340</v>
      </c>
      <c r="I7">
        <f>+I5-I6</f>
        <v>398</v>
      </c>
    </row>
    <row r="8" spans="2:10" x14ac:dyDescent="0.2">
      <c r="B8" t="s">
        <v>19</v>
      </c>
      <c r="C8">
        <f>15-117+12</f>
        <v>-90</v>
      </c>
      <c r="D8">
        <f>14-74+12</f>
        <v>-48</v>
      </c>
      <c r="E8">
        <f>11-80+8</f>
        <v>-61</v>
      </c>
      <c r="G8">
        <f>8-116+4</f>
        <v>-104</v>
      </c>
      <c r="H8">
        <f>10-112-27</f>
        <v>-129</v>
      </c>
      <c r="I8">
        <f>12-154-78</f>
        <v>-220</v>
      </c>
    </row>
    <row r="9" spans="2:10" x14ac:dyDescent="0.2">
      <c r="B9" t="s">
        <v>20</v>
      </c>
      <c r="C9">
        <f>+C7+C8</f>
        <v>98</v>
      </c>
      <c r="D9">
        <f>+D7+D8</f>
        <v>155</v>
      </c>
      <c r="E9">
        <f>+E7+E8</f>
        <v>277</v>
      </c>
      <c r="G9">
        <f>+G7+G8</f>
        <v>134</v>
      </c>
      <c r="H9">
        <f>+H7+H8</f>
        <v>211</v>
      </c>
      <c r="I9">
        <f>+I7+I8</f>
        <v>178</v>
      </c>
    </row>
    <row r="10" spans="2:10" x14ac:dyDescent="0.2">
      <c r="B10" t="s">
        <v>21</v>
      </c>
      <c r="C10">
        <v>-191</v>
      </c>
      <c r="D10">
        <v>156</v>
      </c>
      <c r="E10">
        <v>-31</v>
      </c>
      <c r="G10">
        <v>39</v>
      </c>
      <c r="H10">
        <v>-155</v>
      </c>
      <c r="I10">
        <v>26</v>
      </c>
    </row>
    <row r="11" spans="2:10" x14ac:dyDescent="0.2">
      <c r="B11" t="s">
        <v>22</v>
      </c>
      <c r="C11">
        <f>+C9-C10</f>
        <v>289</v>
      </c>
      <c r="D11">
        <f>+D9-D10</f>
        <v>-1</v>
      </c>
      <c r="E11">
        <f>+E9-E10</f>
        <v>308</v>
      </c>
      <c r="G11">
        <f>+G9-G10</f>
        <v>95</v>
      </c>
      <c r="H11">
        <f>+H9-H10</f>
        <v>366</v>
      </c>
      <c r="I11">
        <f>+I9-I10</f>
        <v>152</v>
      </c>
    </row>
    <row r="12" spans="2:10" x14ac:dyDescent="0.2">
      <c r="B12" t="s">
        <v>23</v>
      </c>
      <c r="C12">
        <f>+C11/C13</f>
        <v>0.3272933182332956</v>
      </c>
      <c r="D12">
        <f>+D11/D13</f>
        <v>-1.1261261261261261E-3</v>
      </c>
      <c r="E12">
        <f>+E11/E13</f>
        <v>0.3503981797497156</v>
      </c>
      <c r="G12">
        <f>+G11/G13</f>
        <v>0.10758776896942242</v>
      </c>
      <c r="H12">
        <f>+H11/H13</f>
        <v>0.41216216216216217</v>
      </c>
      <c r="I12">
        <f>+I11/I13</f>
        <v>0.15816857440166493</v>
      </c>
    </row>
    <row r="13" spans="2:10" x14ac:dyDescent="0.2">
      <c r="B13" t="s">
        <v>1</v>
      </c>
      <c r="C13">
        <v>883</v>
      </c>
      <c r="D13">
        <v>888</v>
      </c>
      <c r="E13">
        <v>879</v>
      </c>
      <c r="G13">
        <v>883</v>
      </c>
      <c r="H13">
        <v>888</v>
      </c>
      <c r="I13">
        <v>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main </vt:lpstr>
      <vt:lpstr>model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Simão Clemente</dc:creator>
  <cp:lastModifiedBy>Simão Clemente</cp:lastModifiedBy>
  <dcterms:created xsi:type="dcterms:W3CDTF">2026-01-29T13:13:27Z</dcterms:created>
  <dcterms:modified xsi:type="dcterms:W3CDTF">2026-01-29T13:46:55Z</dcterms:modified>
</cp:coreProperties>
</file>