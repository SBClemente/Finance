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cademiafaedupt-my.sharepoint.com/personal/sbclemente_academiafa_edu_pt/Documents/Gigs/WorkingFolder/Finance_Shared/Stocks/"/>
    </mc:Choice>
  </mc:AlternateContent>
  <xr:revisionPtr revIDLastSave="190" documentId="8_{91A85DBD-37F5-495F-9D0D-AFC39F49FA9F}" xr6:coauthVersionLast="47" xr6:coauthVersionMax="47" xr10:uidLastSave="{F4145732-E596-4F2E-ABBA-C8873E9A6337}"/>
  <bookViews>
    <workbookView xWindow="6390" yWindow="6000" windowWidth="18225" windowHeight="9480" activeTab="1" xr2:uid="{A4478C07-9115-4914-9DE9-A3B7CC45EB27}"/>
  </bookViews>
  <sheets>
    <sheet name="main" sheetId="1" r:id="rId1"/>
    <sheet name="model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B11" i="2" l="1"/>
  <c r="AB12" i="2" s="1"/>
  <c r="AG10" i="2"/>
  <c r="AF10" i="2"/>
  <c r="AE10" i="2"/>
  <c r="AD10" i="2"/>
  <c r="AG9" i="2"/>
  <c r="AF9" i="2"/>
  <c r="AE9" i="2"/>
  <c r="AD9" i="2"/>
  <c r="AC9" i="2"/>
  <c r="AC10" i="2" s="1"/>
  <c r="AB9" i="2"/>
  <c r="AB10" i="2" s="1"/>
  <c r="AD8" i="2"/>
  <c r="AE8" i="2" s="1"/>
  <c r="AF8" i="2" s="1"/>
  <c r="AG8" i="2" s="1"/>
  <c r="AC8" i="2"/>
  <c r="AB8" i="2"/>
  <c r="AD7" i="2"/>
  <c r="AE7" i="2" s="1"/>
  <c r="AF7" i="2" s="1"/>
  <c r="AG7" i="2" s="1"/>
  <c r="AC7" i="2"/>
  <c r="AB7" i="2"/>
  <c r="AD6" i="2"/>
  <c r="AE6" i="2" s="1"/>
  <c r="AF6" i="2" s="1"/>
  <c r="AG6" i="2" s="1"/>
  <c r="AC6" i="2"/>
  <c r="AB6" i="2"/>
  <c r="AB3" i="2"/>
  <c r="R19" i="2"/>
  <c r="Q19" i="2"/>
  <c r="R18" i="2"/>
  <c r="P18" i="2"/>
  <c r="O18" i="2"/>
  <c r="N18" i="2"/>
  <c r="M18" i="2"/>
  <c r="L18" i="2"/>
  <c r="K18" i="2"/>
  <c r="J18" i="2"/>
  <c r="I18" i="2"/>
  <c r="H18" i="2"/>
  <c r="G18" i="2"/>
  <c r="F18" i="2"/>
  <c r="Q18" i="2"/>
  <c r="Q5" i="2"/>
  <c r="R5" i="2"/>
  <c r="P33" i="2"/>
  <c r="P46" i="2"/>
  <c r="P36" i="2"/>
  <c r="P95" i="2"/>
  <c r="P93" i="2"/>
  <c r="N95" i="2"/>
  <c r="M95" i="2"/>
  <c r="L95" i="2"/>
  <c r="O95" i="2"/>
  <c r="P27" i="2"/>
  <c r="P26" i="2"/>
  <c r="P25" i="2"/>
  <c r="P24" i="2"/>
  <c r="P23" i="2"/>
  <c r="P22" i="2"/>
  <c r="P21" i="2"/>
  <c r="P19" i="2"/>
  <c r="P15" i="2"/>
  <c r="P14" i="2"/>
  <c r="P12" i="2"/>
  <c r="P10" i="2"/>
  <c r="P9" i="2"/>
  <c r="P5" i="2"/>
  <c r="AG2" i="2"/>
  <c r="AC4" i="2"/>
  <c r="AD4" i="2" s="1"/>
  <c r="AE4" i="2" s="1"/>
  <c r="AF4" i="2" s="1"/>
  <c r="AG4" i="2" s="1"/>
  <c r="AB4" i="2"/>
  <c r="L5" i="1"/>
  <c r="AA16" i="2"/>
  <c r="AA13" i="2"/>
  <c r="AA11" i="2"/>
  <c r="AA9" i="2"/>
  <c r="AA10" i="2" s="1"/>
  <c r="AA12" i="2" s="1"/>
  <c r="AA14" i="2" s="1"/>
  <c r="K10" i="1" s="1"/>
  <c r="AA8" i="2"/>
  <c r="AA7" i="2"/>
  <c r="AA6" i="2"/>
  <c r="AA5" i="2"/>
  <c r="AA4" i="2"/>
  <c r="AA3" i="2"/>
  <c r="L93" i="2"/>
  <c r="L53" i="2"/>
  <c r="L44" i="2"/>
  <c r="L59" i="2" s="1"/>
  <c r="L36" i="2"/>
  <c r="K33" i="2"/>
  <c r="J33" i="2"/>
  <c r="I33" i="2"/>
  <c r="H33" i="2"/>
  <c r="G33" i="2"/>
  <c r="F33" i="2"/>
  <c r="E33" i="2"/>
  <c r="D33" i="2"/>
  <c r="C33" i="2"/>
  <c r="B33" i="2"/>
  <c r="L24" i="2"/>
  <c r="L23" i="2"/>
  <c r="L22" i="2"/>
  <c r="L9" i="2"/>
  <c r="L5" i="2"/>
  <c r="L21" i="2" s="1"/>
  <c r="N33" i="2"/>
  <c r="M33" i="2"/>
  <c r="O33" i="2"/>
  <c r="M93" i="2"/>
  <c r="M59" i="2"/>
  <c r="M55" i="2"/>
  <c r="M56" i="2" s="1"/>
  <c r="M53" i="2"/>
  <c r="M44" i="2"/>
  <c r="M36" i="2"/>
  <c r="M24" i="2"/>
  <c r="M23" i="2"/>
  <c r="M22" i="2"/>
  <c r="M9" i="2"/>
  <c r="M5" i="2"/>
  <c r="M10" i="2" s="1"/>
  <c r="N93" i="2"/>
  <c r="N91" i="2"/>
  <c r="N84" i="2"/>
  <c r="N75" i="2"/>
  <c r="N59" i="2"/>
  <c r="N55" i="2"/>
  <c r="N60" i="2" s="1"/>
  <c r="N53" i="2"/>
  <c r="N44" i="2"/>
  <c r="N36" i="2"/>
  <c r="N27" i="2"/>
  <c r="N26" i="2"/>
  <c r="N25" i="2"/>
  <c r="N24" i="2"/>
  <c r="N23" i="2"/>
  <c r="N22" i="2"/>
  <c r="N21" i="2"/>
  <c r="N19" i="2"/>
  <c r="N5" i="2"/>
  <c r="N9" i="2"/>
  <c r="N10" i="2" s="1"/>
  <c r="N12" i="2" s="1"/>
  <c r="N14" i="2" s="1"/>
  <c r="N15" i="2" s="1"/>
  <c r="O93" i="2"/>
  <c r="O91" i="2"/>
  <c r="O84" i="2"/>
  <c r="O75" i="2"/>
  <c r="K62" i="2"/>
  <c r="J62" i="2"/>
  <c r="I62" i="2"/>
  <c r="H62" i="2"/>
  <c r="G62" i="2"/>
  <c r="F62" i="2"/>
  <c r="E62" i="2"/>
  <c r="D62" i="2"/>
  <c r="C62" i="2"/>
  <c r="B62" i="2"/>
  <c r="O62" i="2"/>
  <c r="O60" i="2"/>
  <c r="O59" i="2"/>
  <c r="O56" i="2"/>
  <c r="O55" i="2"/>
  <c r="O53" i="2"/>
  <c r="O36" i="2"/>
  <c r="O44" i="2" s="1"/>
  <c r="O24" i="2"/>
  <c r="O23" i="2"/>
  <c r="O22" i="2"/>
  <c r="O9" i="2"/>
  <c r="O10" i="2" s="1"/>
  <c r="O12" i="2" s="1"/>
  <c r="O14" i="2" s="1"/>
  <c r="O15" i="2" s="1"/>
  <c r="O5" i="2"/>
  <c r="O21" i="2" s="1"/>
  <c r="AB13" i="2" l="1"/>
  <c r="AB14" i="2" s="1"/>
  <c r="AB5" i="2"/>
  <c r="AC3" i="2"/>
  <c r="L55" i="2"/>
  <c r="L60" i="2" s="1"/>
  <c r="L10" i="2"/>
  <c r="M60" i="2"/>
  <c r="M12" i="2"/>
  <c r="M25" i="2"/>
  <c r="M21" i="2"/>
  <c r="N56" i="2"/>
  <c r="N62" i="2"/>
  <c r="O25" i="2"/>
  <c r="O26" i="2"/>
  <c r="O27" i="2"/>
  <c r="Z46" i="2"/>
  <c r="Z53" i="2" s="1"/>
  <c r="Z42" i="2"/>
  <c r="Z44" i="2" s="1"/>
  <c r="V19" i="2"/>
  <c r="J24" i="2"/>
  <c r="I24" i="2"/>
  <c r="H24" i="2"/>
  <c r="G24" i="2"/>
  <c r="F24" i="2"/>
  <c r="E24" i="2"/>
  <c r="D24" i="2"/>
  <c r="C24" i="2"/>
  <c r="B24" i="2"/>
  <c r="J23" i="2"/>
  <c r="I23" i="2"/>
  <c r="H23" i="2"/>
  <c r="G23" i="2"/>
  <c r="F23" i="2"/>
  <c r="E23" i="2"/>
  <c r="D23" i="2"/>
  <c r="C23" i="2"/>
  <c r="B23" i="2"/>
  <c r="J22" i="2"/>
  <c r="I22" i="2"/>
  <c r="H22" i="2"/>
  <c r="G22" i="2"/>
  <c r="F22" i="2"/>
  <c r="E22" i="2"/>
  <c r="D22" i="2"/>
  <c r="C22" i="2"/>
  <c r="B22" i="2"/>
  <c r="K24" i="2"/>
  <c r="K23" i="2"/>
  <c r="K22" i="2"/>
  <c r="AD3" i="2" l="1"/>
  <c r="AC5" i="2"/>
  <c r="L56" i="2"/>
  <c r="L25" i="2"/>
  <c r="L12" i="2"/>
  <c r="M26" i="2"/>
  <c r="M14" i="2"/>
  <c r="Z55" i="2"/>
  <c r="Z56" i="2" s="1"/>
  <c r="Z33" i="2"/>
  <c r="AE3" i="2" l="1"/>
  <c r="AD5" i="2"/>
  <c r="L14" i="2"/>
  <c r="L26" i="2"/>
  <c r="M27" i="2"/>
  <c r="M19" i="2"/>
  <c r="M62" i="2"/>
  <c r="M15" i="2"/>
  <c r="Z11" i="2"/>
  <c r="Z16" i="2"/>
  <c r="Z13" i="2"/>
  <c r="Z8" i="2"/>
  <c r="Z7" i="2"/>
  <c r="Z6" i="2"/>
  <c r="Z4" i="2"/>
  <c r="Z3" i="2"/>
  <c r="AA1" i="2" s="1"/>
  <c r="Y16" i="2"/>
  <c r="Y13" i="2"/>
  <c r="Y11" i="2"/>
  <c r="Y8" i="2"/>
  <c r="Y7" i="2"/>
  <c r="Y6" i="2"/>
  <c r="Y4" i="2"/>
  <c r="Y3" i="2"/>
  <c r="Z2" i="2"/>
  <c r="AA2" i="2" s="1"/>
  <c r="AB2" i="2" s="1"/>
  <c r="AC2" i="2" s="1"/>
  <c r="AD2" i="2" s="1"/>
  <c r="AE2" i="2" s="1"/>
  <c r="AF2" i="2" s="1"/>
  <c r="B9" i="2"/>
  <c r="B5" i="2"/>
  <c r="B21" i="2" s="1"/>
  <c r="C9" i="2"/>
  <c r="C5" i="2"/>
  <c r="C21" i="2" s="1"/>
  <c r="D9" i="2"/>
  <c r="D5" i="2"/>
  <c r="D21" i="2" s="1"/>
  <c r="H9" i="2"/>
  <c r="H5" i="2"/>
  <c r="E9" i="2"/>
  <c r="E5" i="2"/>
  <c r="I9" i="2"/>
  <c r="I5" i="2"/>
  <c r="I21" i="2" s="1"/>
  <c r="F9" i="2"/>
  <c r="F5" i="2"/>
  <c r="F21" i="2" s="1"/>
  <c r="J5" i="2"/>
  <c r="J21" i="2" s="1"/>
  <c r="J9" i="2"/>
  <c r="G5" i="2"/>
  <c r="G21" i="2" s="1"/>
  <c r="G9" i="2"/>
  <c r="K9" i="2"/>
  <c r="AF3" i="2" l="1"/>
  <c r="AE5" i="2"/>
  <c r="L27" i="2"/>
  <c r="L62" i="2"/>
  <c r="L15" i="2"/>
  <c r="L19" i="2"/>
  <c r="Y5" i="2"/>
  <c r="Y21" i="2" s="1"/>
  <c r="J10" i="2"/>
  <c r="J25" i="2" s="1"/>
  <c r="Z23" i="2"/>
  <c r="Y24" i="2"/>
  <c r="Y22" i="2"/>
  <c r="Z18" i="2"/>
  <c r="Z5" i="2"/>
  <c r="H10" i="2"/>
  <c r="H21" i="2"/>
  <c r="Y9" i="2"/>
  <c r="Z22" i="2"/>
  <c r="E10" i="2"/>
  <c r="E21" i="2"/>
  <c r="Z24" i="2"/>
  <c r="Y23" i="2"/>
  <c r="Z9" i="2"/>
  <c r="B10" i="2"/>
  <c r="C10" i="2"/>
  <c r="D10" i="2"/>
  <c r="I10" i="2"/>
  <c r="F10" i="2"/>
  <c r="G10" i="2"/>
  <c r="AG3" i="2" l="1"/>
  <c r="AF5" i="2"/>
  <c r="J12" i="2"/>
  <c r="J14" i="2" s="1"/>
  <c r="Y10" i="2"/>
  <c r="Y25" i="2" s="1"/>
  <c r="H12" i="2"/>
  <c r="H25" i="2"/>
  <c r="E12" i="2"/>
  <c r="E25" i="2"/>
  <c r="G12" i="2"/>
  <c r="G25" i="2"/>
  <c r="F12" i="2"/>
  <c r="F25" i="2"/>
  <c r="C12" i="2"/>
  <c r="C25" i="2"/>
  <c r="B12" i="2"/>
  <c r="B25" i="2"/>
  <c r="Z21" i="2"/>
  <c r="Z10" i="2"/>
  <c r="Z12" i="2" s="1"/>
  <c r="I12" i="2"/>
  <c r="I25" i="2"/>
  <c r="D12" i="2"/>
  <c r="D25" i="2"/>
  <c r="AA24" i="2"/>
  <c r="AA18" i="2"/>
  <c r="AA21" i="2"/>
  <c r="AA23" i="2"/>
  <c r="K5" i="2"/>
  <c r="L4" i="1"/>
  <c r="AG5" i="2" l="1"/>
  <c r="AG21" i="2" s="1"/>
  <c r="AG18" i="2"/>
  <c r="AG24" i="2"/>
  <c r="AG23" i="2"/>
  <c r="AG22" i="2"/>
  <c r="J26" i="2"/>
  <c r="Y12" i="2"/>
  <c r="Y26" i="2" s="1"/>
  <c r="K10" i="2"/>
  <c r="K21" i="2"/>
  <c r="G14" i="2"/>
  <c r="G26" i="2"/>
  <c r="C14" i="2"/>
  <c r="C26" i="2"/>
  <c r="AA22" i="2"/>
  <c r="B14" i="2"/>
  <c r="B26" i="2"/>
  <c r="E14" i="2"/>
  <c r="E26" i="2"/>
  <c r="D14" i="2"/>
  <c r="D26" i="2"/>
  <c r="I14" i="2"/>
  <c r="I26" i="2"/>
  <c r="J15" i="2"/>
  <c r="J27" i="2"/>
  <c r="AB24" i="2"/>
  <c r="AB23" i="2"/>
  <c r="AB18" i="2"/>
  <c r="Z25" i="2"/>
  <c r="F14" i="2"/>
  <c r="F26" i="2"/>
  <c r="H14" i="2"/>
  <c r="H26" i="2"/>
  <c r="L7" i="1"/>
  <c r="Y14" i="2" l="1"/>
  <c r="Y27" i="2" s="1"/>
  <c r="F19" i="2"/>
  <c r="G19" i="2"/>
  <c r="H19" i="2"/>
  <c r="I19" i="2"/>
  <c r="J19" i="2"/>
  <c r="D15" i="2"/>
  <c r="D27" i="2"/>
  <c r="G15" i="2"/>
  <c r="G27" i="2"/>
  <c r="H15" i="2"/>
  <c r="H27" i="2"/>
  <c r="AB21" i="2"/>
  <c r="C15" i="2"/>
  <c r="C27" i="2"/>
  <c r="B15" i="2"/>
  <c r="B27" i="2"/>
  <c r="AC18" i="2"/>
  <c r="AC23" i="2"/>
  <c r="AC24" i="2"/>
  <c r="I15" i="2"/>
  <c r="I27" i="2"/>
  <c r="F15" i="2"/>
  <c r="F27" i="2"/>
  <c r="E15" i="2"/>
  <c r="E27" i="2"/>
  <c r="Z14" i="2"/>
  <c r="Z26" i="2"/>
  <c r="AA25" i="2"/>
  <c r="AB22" i="2"/>
  <c r="K12" i="2"/>
  <c r="K25" i="2"/>
  <c r="Y15" i="2" l="1"/>
  <c r="Z19" i="2"/>
  <c r="Z60" i="2"/>
  <c r="Z59" i="2"/>
  <c r="AD24" i="2"/>
  <c r="AD18" i="2"/>
  <c r="AD23" i="2"/>
  <c r="AD21" i="2"/>
  <c r="Z27" i="2"/>
  <c r="Z15" i="2"/>
  <c r="AB25" i="2"/>
  <c r="K14" i="2"/>
  <c r="K26" i="2"/>
  <c r="AC22" i="2"/>
  <c r="AC21" i="2"/>
  <c r="K19" i="2" l="1"/>
  <c r="O19" i="2"/>
  <c r="AG25" i="2"/>
  <c r="AC25" i="2"/>
  <c r="K15" i="2"/>
  <c r="K27" i="2"/>
  <c r="AE21" i="2"/>
  <c r="AE18" i="2"/>
  <c r="AE24" i="2"/>
  <c r="AE23" i="2"/>
  <c r="AD22" i="2"/>
  <c r="AF23" i="2" l="1"/>
  <c r="AF18" i="2"/>
  <c r="AF21" i="2"/>
  <c r="AF24" i="2"/>
  <c r="AD25" i="2"/>
  <c r="AE22" i="2"/>
  <c r="AE25" i="2" l="1"/>
  <c r="AF22" i="2"/>
  <c r="AF25" i="2" l="1"/>
  <c r="AA26" i="2" l="1"/>
  <c r="AA33" i="2" l="1"/>
  <c r="AA27" i="2"/>
  <c r="AA19" i="2"/>
  <c r="AA15" i="2"/>
  <c r="AB26" i="2" l="1"/>
  <c r="AB33" i="2" l="1"/>
  <c r="AC11" i="2" s="1"/>
  <c r="AC12" i="2" s="1"/>
  <c r="AB27" i="2"/>
  <c r="AB19" i="2"/>
  <c r="AC13" i="2" l="1"/>
  <c r="AC14" i="2"/>
  <c r="AC26" i="2"/>
  <c r="AC33" i="2" l="1"/>
  <c r="AD11" i="2" s="1"/>
  <c r="AD12" i="2" s="1"/>
  <c r="AC19" i="2"/>
  <c r="AC27" i="2"/>
  <c r="AD13" i="2" l="1"/>
  <c r="AD14" i="2"/>
  <c r="AD26" i="2"/>
  <c r="AD33" i="2" l="1"/>
  <c r="AE11" i="2" s="1"/>
  <c r="AE12" i="2" s="1"/>
  <c r="AE13" i="2" l="1"/>
  <c r="AE14" i="2" s="1"/>
  <c r="AD27" i="2"/>
  <c r="AD19" i="2"/>
  <c r="AE26" i="2" l="1"/>
  <c r="AE33" i="2" l="1"/>
  <c r="AF11" i="2" s="1"/>
  <c r="AF12" i="2" s="1"/>
  <c r="AF14" i="2" l="1"/>
  <c r="AF13" i="2"/>
  <c r="AE27" i="2"/>
  <c r="AE19" i="2"/>
  <c r="AF26" i="2" l="1"/>
  <c r="AF33" i="2" l="1"/>
  <c r="AG11" i="2" s="1"/>
  <c r="AG12" i="2" s="1"/>
  <c r="AF19" i="2"/>
  <c r="AF27" i="2"/>
  <c r="AG14" i="2" l="1"/>
  <c r="AG13" i="2"/>
  <c r="AG26" i="2"/>
  <c r="AG33" i="2" l="1"/>
  <c r="AH14" i="2"/>
  <c r="AI14" i="2" s="1"/>
  <c r="AJ14" i="2" s="1"/>
  <c r="AK14" i="2" s="1"/>
  <c r="AL14" i="2" s="1"/>
  <c r="AM14" i="2" s="1"/>
  <c r="AN14" i="2" s="1"/>
  <c r="AO14" i="2" s="1"/>
  <c r="AP14" i="2" s="1"/>
  <c r="AQ14" i="2" s="1"/>
  <c r="AR14" i="2" s="1"/>
  <c r="AS14" i="2" s="1"/>
  <c r="AT14" i="2" s="1"/>
  <c r="AU14" i="2" s="1"/>
  <c r="AV14" i="2" s="1"/>
  <c r="AW14" i="2" s="1"/>
  <c r="AX14" i="2" s="1"/>
  <c r="AY14" i="2" s="1"/>
  <c r="AZ14" i="2" s="1"/>
  <c r="BA14" i="2" s="1"/>
  <c r="BB14" i="2" s="1"/>
  <c r="BC14" i="2" s="1"/>
  <c r="BD14" i="2" s="1"/>
  <c r="BE14" i="2" s="1"/>
  <c r="BF14" i="2" s="1"/>
  <c r="BG14" i="2" s="1"/>
  <c r="BH14" i="2" s="1"/>
  <c r="BI14" i="2" s="1"/>
  <c r="BJ14" i="2" s="1"/>
  <c r="BK14" i="2" s="1"/>
  <c r="BL14" i="2" s="1"/>
  <c r="BM14" i="2" s="1"/>
  <c r="AG19" i="2"/>
  <c r="AG27" i="2"/>
  <c r="AH33" i="2" l="1"/>
  <c r="AI33" i="2" s="1"/>
  <c r="AJ33" i="2" l="1"/>
  <c r="AK33" i="2" l="1"/>
  <c r="AL33" i="2" l="1"/>
  <c r="AM33" i="2" l="1"/>
  <c r="AN33" i="2" l="1"/>
  <c r="AO33" i="2" l="1"/>
  <c r="AP33" i="2" l="1"/>
  <c r="AQ33" i="2" l="1"/>
  <c r="AR33" i="2" l="1"/>
  <c r="V18" i="2"/>
  <c r="V20" i="2" s="1"/>
  <c r="V21" i="2" s="1"/>
  <c r="V23" i="2" s="1"/>
</calcChain>
</file>

<file path=xl/sharedStrings.xml><?xml version="1.0" encoding="utf-8"?>
<sst xmlns="http://schemas.openxmlformats.org/spreadsheetml/2006/main" count="140" uniqueCount="106">
  <si>
    <t>META</t>
  </si>
  <si>
    <t>Price</t>
  </si>
  <si>
    <t>Shares</t>
  </si>
  <si>
    <t>MC</t>
  </si>
  <si>
    <t>Cash</t>
  </si>
  <si>
    <t>Debt</t>
  </si>
  <si>
    <t>EV</t>
  </si>
  <si>
    <t>1.35T</t>
  </si>
  <si>
    <t>Revenue</t>
  </si>
  <si>
    <t xml:space="preserve"> </t>
  </si>
  <si>
    <t>Q222</t>
  </si>
  <si>
    <t>Q322</t>
  </si>
  <si>
    <t>Q422</t>
  </si>
  <si>
    <t>Q123</t>
  </si>
  <si>
    <t>Q223</t>
  </si>
  <si>
    <t>Q323</t>
  </si>
  <si>
    <t>Q423</t>
  </si>
  <si>
    <t>Q124</t>
  </si>
  <si>
    <t>Q224</t>
  </si>
  <si>
    <t>Cost of revenue</t>
  </si>
  <si>
    <t>Gross Margin</t>
  </si>
  <si>
    <t>RD</t>
  </si>
  <si>
    <t>MS</t>
  </si>
  <si>
    <t>GA</t>
  </si>
  <si>
    <t>Operating Profit</t>
  </si>
  <si>
    <t>Interest income</t>
  </si>
  <si>
    <t>Pretaxe</t>
  </si>
  <si>
    <t>Taxes</t>
  </si>
  <si>
    <t>Net Income</t>
  </si>
  <si>
    <t>EPS</t>
  </si>
  <si>
    <t>OPEX</t>
  </si>
  <si>
    <t>Q122</t>
  </si>
  <si>
    <t>revenue y/y</t>
  </si>
  <si>
    <t>ROIC</t>
  </si>
  <si>
    <t>MR</t>
  </si>
  <si>
    <t>DR</t>
  </si>
  <si>
    <t>NPV</t>
  </si>
  <si>
    <t>True value</t>
  </si>
  <si>
    <t>Per share</t>
  </si>
  <si>
    <t>Current value</t>
  </si>
  <si>
    <t>Ratio</t>
  </si>
  <si>
    <t>Operating Margin</t>
  </si>
  <si>
    <t>RD %</t>
  </si>
  <si>
    <t>MS %</t>
  </si>
  <si>
    <t>GA%</t>
  </si>
  <si>
    <t>Taxe Rate</t>
  </si>
  <si>
    <t>Net Margin</t>
  </si>
  <si>
    <t>NC</t>
  </si>
  <si>
    <t xml:space="preserve">Cash </t>
  </si>
  <si>
    <t>Assets</t>
  </si>
  <si>
    <t>A/R</t>
  </si>
  <si>
    <t>OCA</t>
  </si>
  <si>
    <t>Equity Securities</t>
  </si>
  <si>
    <t>PPE</t>
  </si>
  <si>
    <t>OLA</t>
  </si>
  <si>
    <t>Intangibles</t>
  </si>
  <si>
    <t>Other</t>
  </si>
  <si>
    <t>A/P</t>
  </si>
  <si>
    <t>OLL</t>
  </si>
  <si>
    <t>AE</t>
  </si>
  <si>
    <t>ONCLL</t>
  </si>
  <si>
    <t>Líabilities</t>
  </si>
  <si>
    <t>S/E</t>
  </si>
  <si>
    <t>L+S/E</t>
  </si>
  <si>
    <t>Net Cash</t>
  </si>
  <si>
    <t>ROA</t>
  </si>
  <si>
    <t>ROE</t>
  </si>
  <si>
    <t>EV/E 24</t>
  </si>
  <si>
    <t>Q324</t>
  </si>
  <si>
    <t>Q424</t>
  </si>
  <si>
    <t>Q125</t>
  </si>
  <si>
    <t>Q225</t>
  </si>
  <si>
    <t>OCL</t>
  </si>
  <si>
    <t>Reported NI</t>
  </si>
  <si>
    <t>Model NI</t>
  </si>
  <si>
    <t>DA</t>
  </si>
  <si>
    <t>SBC</t>
  </si>
  <si>
    <t>Defered Taxes</t>
  </si>
  <si>
    <t>Unrealized</t>
  </si>
  <si>
    <t>AR</t>
  </si>
  <si>
    <t>Prepaid Expenses</t>
  </si>
  <si>
    <t>AP</t>
  </si>
  <si>
    <t>CFFO</t>
  </si>
  <si>
    <t>Purchases PPE</t>
  </si>
  <si>
    <t>Purchases MS</t>
  </si>
  <si>
    <t>Sales of Maturities</t>
  </si>
  <si>
    <t>Non Equity</t>
  </si>
  <si>
    <t>Held for Sale</t>
  </si>
  <si>
    <t>Acquisitions of Intangibles</t>
  </si>
  <si>
    <t>CFFI</t>
  </si>
  <si>
    <t>Repurchases</t>
  </si>
  <si>
    <t>Dividends</t>
  </si>
  <si>
    <t>Finance  Leases</t>
  </si>
  <si>
    <t>CFFF</t>
  </si>
  <si>
    <t xml:space="preserve">CFC </t>
  </si>
  <si>
    <t xml:space="preserve">  </t>
  </si>
  <si>
    <t>CEO</t>
  </si>
  <si>
    <t>Employees</t>
  </si>
  <si>
    <t>up 7% y/y</t>
  </si>
  <si>
    <t>NI y/y</t>
  </si>
  <si>
    <t>Q325</t>
  </si>
  <si>
    <t>Q425</t>
  </si>
  <si>
    <t>FCF</t>
  </si>
  <si>
    <t>CapeX</t>
  </si>
  <si>
    <t>Q126</t>
  </si>
  <si>
    <t>Q226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</si>
</sst>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u/>
      <sz val="11"/>
      <color theme="1"/>
      <name val="Arial"/>
      <family val="2"/>
    </font>
    <font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11">
    <xf numFmtId="0" fontId="0" fillId="0" borderId="0" xfId="0"/>
    <xf numFmtId="0" fontId="2" fillId="0" borderId="0" xfId="0" applyFont="1"/>
    <xf numFmtId="3" fontId="0" fillId="0" borderId="0" xfId="0" applyNumberFormat="1"/>
    <xf numFmtId="3" fontId="1" fillId="0" borderId="0" xfId="0" applyNumberFormat="1" applyFont="1"/>
    <xf numFmtId="4" fontId="0" fillId="0" borderId="0" xfId="0" applyNumberFormat="1"/>
    <xf numFmtId="9" fontId="0" fillId="0" borderId="0" xfId="0" applyNumberFormat="1"/>
    <xf numFmtId="3" fontId="0" fillId="2" borderId="0" xfId="0" applyNumberFormat="1" applyFill="1"/>
    <xf numFmtId="9" fontId="1" fillId="0" borderId="0" xfId="1" applyFont="1"/>
    <xf numFmtId="9" fontId="0" fillId="0" borderId="0" xfId="1" applyFont="1"/>
    <xf numFmtId="4" fontId="1" fillId="0" borderId="0" xfId="1" applyNumberFormat="1" applyFont="1"/>
    <xf numFmtId="4" fontId="0" fillId="0" borderId="0" xfId="1" applyNumberFormat="1" applyFont="1"/>
  </cellXfs>
  <cellStyles count="2">
    <cellStyle name="Normal" xfId="0" builtinId="0"/>
    <cellStyle name="Percentagem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17145</xdr:colOff>
      <xdr:row>0</xdr:row>
      <xdr:rowOff>114300</xdr:rowOff>
    </xdr:from>
    <xdr:to>
      <xdr:col>13</xdr:col>
      <xdr:colOff>17145</xdr:colOff>
      <xdr:row>32</xdr:row>
      <xdr:rowOff>167640</xdr:rowOff>
    </xdr:to>
    <xdr:cxnSp macro="">
      <xdr:nvCxnSpPr>
        <xdr:cNvPr id="3" name="Conexão reta 2">
          <a:extLst>
            <a:ext uri="{FF2B5EF4-FFF2-40B4-BE49-F238E27FC236}">
              <a16:creationId xmlns:a16="http://schemas.microsoft.com/office/drawing/2014/main" id="{5BA44343-9DBC-E0B6-7DFD-0271366DA2B9}"/>
            </a:ext>
          </a:extLst>
        </xdr:cNvPr>
        <xdr:cNvCxnSpPr/>
      </xdr:nvCxnSpPr>
      <xdr:spPr>
        <a:xfrm>
          <a:off x="9818370" y="114300"/>
          <a:ext cx="0" cy="5920740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28575</xdr:colOff>
      <xdr:row>0</xdr:row>
      <xdr:rowOff>156210</xdr:rowOff>
    </xdr:from>
    <xdr:to>
      <xdr:col>27</xdr:col>
      <xdr:colOff>28575</xdr:colOff>
      <xdr:row>33</xdr:row>
      <xdr:rowOff>19050</xdr:rowOff>
    </xdr:to>
    <xdr:cxnSp macro="">
      <xdr:nvCxnSpPr>
        <xdr:cNvPr id="4" name="Conexão reta 3">
          <a:extLst>
            <a:ext uri="{FF2B5EF4-FFF2-40B4-BE49-F238E27FC236}">
              <a16:creationId xmlns:a16="http://schemas.microsoft.com/office/drawing/2014/main" id="{EB626176-F129-4BA2-B233-260AEF30A47E}"/>
            </a:ext>
          </a:extLst>
        </xdr:cNvPr>
        <xdr:cNvCxnSpPr/>
      </xdr:nvCxnSpPr>
      <xdr:spPr>
        <a:xfrm>
          <a:off x="21821775" y="156210"/>
          <a:ext cx="0" cy="5920740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C9E39A-A4CD-4185-A30A-7652841AFB33}">
  <dimension ref="B2:M10"/>
  <sheetViews>
    <sheetView topLeftCell="I1" workbookViewId="0">
      <selection activeCell="K9" sqref="K9:K10"/>
    </sheetView>
  </sheetViews>
  <sheetFormatPr defaultRowHeight="14.25" x14ac:dyDescent="0.2"/>
  <cols>
    <col min="13" max="13" width="9.5" bestFit="1" customWidth="1"/>
  </cols>
  <sheetData>
    <row r="2" spans="2:13" ht="15" x14ac:dyDescent="0.25">
      <c r="B2" s="1" t="s">
        <v>0</v>
      </c>
      <c r="K2" t="s">
        <v>1</v>
      </c>
      <c r="L2" s="2">
        <v>777</v>
      </c>
    </row>
    <row r="3" spans="2:13" x14ac:dyDescent="0.2">
      <c r="K3" t="s">
        <v>2</v>
      </c>
      <c r="L3" s="2">
        <v>2518</v>
      </c>
      <c r="M3" t="s">
        <v>71</v>
      </c>
    </row>
    <row r="4" spans="2:13" x14ac:dyDescent="0.2">
      <c r="K4" t="s">
        <v>3</v>
      </c>
      <c r="L4" s="2">
        <f>+L2*L3</f>
        <v>1956486</v>
      </c>
      <c r="M4" t="s">
        <v>7</v>
      </c>
    </row>
    <row r="5" spans="2:13" x14ac:dyDescent="0.2">
      <c r="K5" t="s">
        <v>4</v>
      </c>
      <c r="L5" s="2">
        <f>12005+35066</f>
        <v>47071</v>
      </c>
      <c r="M5" t="s">
        <v>71</v>
      </c>
    </row>
    <row r="6" spans="2:13" x14ac:dyDescent="0.2">
      <c r="K6" t="s">
        <v>5</v>
      </c>
      <c r="L6" s="2">
        <v>28832</v>
      </c>
      <c r="M6" t="s">
        <v>71</v>
      </c>
    </row>
    <row r="7" spans="2:13" x14ac:dyDescent="0.2">
      <c r="K7" t="s">
        <v>6</v>
      </c>
      <c r="L7" s="2">
        <f>+L4-L5+L6</f>
        <v>1938247</v>
      </c>
    </row>
    <row r="8" spans="2:13" x14ac:dyDescent="0.2">
      <c r="D8" t="s">
        <v>96</v>
      </c>
      <c r="M8" s="2" t="s">
        <v>9</v>
      </c>
    </row>
    <row r="9" spans="2:13" x14ac:dyDescent="0.2">
      <c r="D9" t="s">
        <v>97</v>
      </c>
      <c r="E9">
        <v>75945</v>
      </c>
      <c r="F9" t="s">
        <v>98</v>
      </c>
      <c r="K9" t="s">
        <v>67</v>
      </c>
      <c r="L9" t="s">
        <v>9</v>
      </c>
    </row>
    <row r="10" spans="2:13" x14ac:dyDescent="0.2">
      <c r="K10">
        <f>+L7/model!AA14</f>
        <v>31.081574727389352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8B6DA0-8374-4467-8FA3-46D3F4C0B8C0}">
  <dimension ref="A1:BM95"/>
  <sheetViews>
    <sheetView tabSelected="1" workbookViewId="0">
      <pane xSplit="1" ySplit="2" topLeftCell="M3" activePane="bottomRight" state="frozen"/>
      <selection pane="topRight" activeCell="B1" sqref="B1"/>
      <selection pane="bottomLeft" activeCell="A3" sqref="A3"/>
      <selection pane="bottomRight" activeCell="Q16" sqref="Q16"/>
    </sheetView>
  </sheetViews>
  <sheetFormatPr defaultRowHeight="14.25" x14ac:dyDescent="0.2"/>
  <cols>
    <col min="1" max="1" width="14.875" style="2" bestFit="1" customWidth="1"/>
    <col min="2" max="2" width="14.75" style="2" customWidth="1"/>
    <col min="3" max="18" width="9" style="2"/>
    <col min="19" max="19" width="11.75" style="2" bestFit="1" customWidth="1"/>
    <col min="20" max="20" width="11.75" style="2" customWidth="1"/>
    <col min="21" max="21" width="17.625" style="2" bestFit="1" customWidth="1"/>
    <col min="22" max="23" width="17.625" style="2" customWidth="1"/>
    <col min="24" max="26" width="9" style="2"/>
    <col min="27" max="27" width="9" style="2" bestFit="1" customWidth="1"/>
    <col min="28" max="16384" width="9" style="2"/>
  </cols>
  <sheetData>
    <row r="1" spans="1:65" ht="15" x14ac:dyDescent="0.25">
      <c r="AA1" s="3">
        <f>+Z3*1.2</f>
        <v>161881.19999999998</v>
      </c>
    </row>
    <row r="2" spans="1:65" x14ac:dyDescent="0.2">
      <c r="A2" s="2" t="s">
        <v>9</v>
      </c>
      <c r="B2" s="2" t="s">
        <v>31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2" t="s">
        <v>15</v>
      </c>
      <c r="I2" s="2" t="s">
        <v>16</v>
      </c>
      <c r="J2" s="2" t="s">
        <v>17</v>
      </c>
      <c r="K2" s="2" t="s">
        <v>18</v>
      </c>
      <c r="L2" s="2" t="s">
        <v>68</v>
      </c>
      <c r="M2" s="2" t="s">
        <v>69</v>
      </c>
      <c r="N2" s="2" t="s">
        <v>70</v>
      </c>
      <c r="O2" s="2" t="s">
        <v>71</v>
      </c>
      <c r="P2" s="2" t="s">
        <v>100</v>
      </c>
      <c r="Q2" s="2" t="s">
        <v>101</v>
      </c>
      <c r="R2" s="2" t="s">
        <v>104</v>
      </c>
      <c r="S2" s="2" t="s">
        <v>105</v>
      </c>
      <c r="Y2" s="2">
        <v>2022</v>
      </c>
      <c r="Z2" s="2">
        <f>+Y2+1</f>
        <v>2023</v>
      </c>
      <c r="AA2" s="2">
        <f t="shared" ref="AA2:AG2" si="0">+Z2+1</f>
        <v>2024</v>
      </c>
      <c r="AB2" s="2">
        <f t="shared" si="0"/>
        <v>2025</v>
      </c>
      <c r="AC2" s="2">
        <f t="shared" si="0"/>
        <v>2026</v>
      </c>
      <c r="AD2" s="2">
        <f t="shared" si="0"/>
        <v>2027</v>
      </c>
      <c r="AE2" s="2">
        <f t="shared" si="0"/>
        <v>2028</v>
      </c>
      <c r="AF2" s="2">
        <f t="shared" si="0"/>
        <v>2029</v>
      </c>
      <c r="AG2" s="2">
        <f t="shared" si="0"/>
        <v>2030</v>
      </c>
    </row>
    <row r="3" spans="1:65" s="3" customFormat="1" ht="15" x14ac:dyDescent="0.25">
      <c r="A3" s="3" t="s">
        <v>8</v>
      </c>
      <c r="B3" s="3">
        <v>27908</v>
      </c>
      <c r="C3" s="3">
        <v>28822</v>
      </c>
      <c r="D3" s="3">
        <v>27714</v>
      </c>
      <c r="E3" s="3">
        <v>32165</v>
      </c>
      <c r="F3" s="3">
        <v>28645</v>
      </c>
      <c r="G3" s="3">
        <v>31999</v>
      </c>
      <c r="H3" s="3">
        <v>34146</v>
      </c>
      <c r="I3" s="3">
        <v>40111</v>
      </c>
      <c r="J3" s="3">
        <v>36455</v>
      </c>
      <c r="K3" s="3">
        <v>39071</v>
      </c>
      <c r="L3" s="3">
        <v>40589</v>
      </c>
      <c r="M3" s="3">
        <v>48385</v>
      </c>
      <c r="N3" s="3">
        <v>42314</v>
      </c>
      <c r="O3" s="3">
        <v>47516</v>
      </c>
      <c r="P3" s="3">
        <v>51242</v>
      </c>
      <c r="Q3" s="3">
        <v>59893</v>
      </c>
      <c r="R3" s="3">
        <v>56311</v>
      </c>
      <c r="Y3" s="3">
        <f>SUM(B3:E3)</f>
        <v>116609</v>
      </c>
      <c r="Z3" s="3">
        <f>SUM(F3:I3)</f>
        <v>134901</v>
      </c>
      <c r="AA3" s="3">
        <f>SUM(J3:M3)</f>
        <v>164500</v>
      </c>
      <c r="AB3" s="3">
        <f>+SUM(N3:Q3)</f>
        <v>200965</v>
      </c>
      <c r="AC3" s="3">
        <f>+AB3*1.2</f>
        <v>241158</v>
      </c>
      <c r="AD3" s="3">
        <f>+AC3*1.2</f>
        <v>289389.59999999998</v>
      </c>
      <c r="AE3" s="3">
        <f>+AD3*1.2</f>
        <v>347267.51999999996</v>
      </c>
      <c r="AF3" s="3">
        <f t="shared" ref="AF3:AG3" si="1">+AE3*1.15</f>
        <v>399357.64799999993</v>
      </c>
      <c r="AG3" s="3">
        <f t="shared" si="1"/>
        <v>459261.29519999988</v>
      </c>
    </row>
    <row r="4" spans="1:65" ht="15" x14ac:dyDescent="0.25">
      <c r="A4" s="2" t="s">
        <v>19</v>
      </c>
      <c r="B4" s="2">
        <v>6005</v>
      </c>
      <c r="C4" s="2">
        <v>5192</v>
      </c>
      <c r="D4" s="2">
        <v>5716</v>
      </c>
      <c r="E4" s="2">
        <v>8336</v>
      </c>
      <c r="F4" s="2">
        <v>6108</v>
      </c>
      <c r="G4" s="2">
        <v>5945</v>
      </c>
      <c r="H4" s="2">
        <v>6210</v>
      </c>
      <c r="I4" s="2">
        <v>7695</v>
      </c>
      <c r="J4" s="2">
        <v>6640</v>
      </c>
      <c r="K4" s="2">
        <v>7308</v>
      </c>
      <c r="L4" s="2">
        <v>7375</v>
      </c>
      <c r="M4" s="2">
        <v>8839</v>
      </c>
      <c r="N4" s="2">
        <v>7572</v>
      </c>
      <c r="O4" s="2">
        <v>8491</v>
      </c>
      <c r="P4" s="2">
        <v>9206</v>
      </c>
      <c r="Q4" s="2">
        <v>35148</v>
      </c>
      <c r="R4" s="2">
        <v>33439</v>
      </c>
      <c r="V4" s="2" t="s">
        <v>9</v>
      </c>
      <c r="Y4" s="2">
        <f>SUM(B4:E4)</f>
        <v>25249</v>
      </c>
      <c r="Z4" s="2">
        <f>SUM(F4:I4)</f>
        <v>25958</v>
      </c>
      <c r="AA4" s="3">
        <f>SUM(J4:M4)</f>
        <v>30162</v>
      </c>
      <c r="AB4" s="2">
        <f>+AA4*1.1</f>
        <v>33178.200000000004</v>
      </c>
      <c r="AC4" s="2">
        <f t="shared" ref="AC4:AG4" si="2">+AB4*1.1</f>
        <v>36496.020000000011</v>
      </c>
      <c r="AD4" s="2">
        <f t="shared" si="2"/>
        <v>40145.622000000018</v>
      </c>
      <c r="AE4" s="2">
        <f t="shared" si="2"/>
        <v>44160.184200000025</v>
      </c>
      <c r="AF4" s="2">
        <f t="shared" si="2"/>
        <v>48576.202620000033</v>
      </c>
      <c r="AG4" s="2">
        <f t="shared" si="2"/>
        <v>53433.822882000037</v>
      </c>
    </row>
    <row r="5" spans="1:65" s="3" customFormat="1" ht="15" x14ac:dyDescent="0.25">
      <c r="A5" s="3" t="s">
        <v>20</v>
      </c>
      <c r="B5" s="3">
        <f t="shared" ref="B5:K5" si="3">+B3-B4</f>
        <v>21903</v>
      </c>
      <c r="C5" s="3">
        <f t="shared" si="3"/>
        <v>23630</v>
      </c>
      <c r="D5" s="3">
        <f t="shared" si="3"/>
        <v>21998</v>
      </c>
      <c r="E5" s="3">
        <f t="shared" si="3"/>
        <v>23829</v>
      </c>
      <c r="F5" s="3">
        <f t="shared" si="3"/>
        <v>22537</v>
      </c>
      <c r="G5" s="3">
        <f t="shared" si="3"/>
        <v>26054</v>
      </c>
      <c r="H5" s="3">
        <f t="shared" si="3"/>
        <v>27936</v>
      </c>
      <c r="I5" s="3">
        <f t="shared" si="3"/>
        <v>32416</v>
      </c>
      <c r="J5" s="3">
        <f t="shared" si="3"/>
        <v>29815</v>
      </c>
      <c r="K5" s="3">
        <f t="shared" si="3"/>
        <v>31763</v>
      </c>
      <c r="L5" s="3">
        <f t="shared" ref="L5:M5" si="4">+L3-L4</f>
        <v>33214</v>
      </c>
      <c r="M5" s="3">
        <f t="shared" si="4"/>
        <v>39546</v>
      </c>
      <c r="N5" s="3">
        <f t="shared" ref="N5:R5" si="5">+N3-N4</f>
        <v>34742</v>
      </c>
      <c r="O5" s="3">
        <f t="shared" si="5"/>
        <v>39025</v>
      </c>
      <c r="P5" s="3">
        <f t="shared" si="5"/>
        <v>42036</v>
      </c>
      <c r="Q5" s="3">
        <f t="shared" si="5"/>
        <v>24745</v>
      </c>
      <c r="R5" s="3">
        <f t="shared" si="5"/>
        <v>22872</v>
      </c>
      <c r="W5" s="3" t="s">
        <v>9</v>
      </c>
      <c r="Y5" s="3">
        <f>+Y3-Y4</f>
        <v>91360</v>
      </c>
      <c r="Z5" s="3">
        <f>+Z3-Z4</f>
        <v>108943</v>
      </c>
      <c r="AA5" s="3">
        <f>+AA3-AA4</f>
        <v>134338</v>
      </c>
      <c r="AB5" s="3">
        <f t="shared" ref="AB5:AG5" si="6">+AB3-AB4</f>
        <v>167786.8</v>
      </c>
      <c r="AC5" s="3">
        <f t="shared" si="6"/>
        <v>204661.97999999998</v>
      </c>
      <c r="AD5" s="3">
        <f t="shared" si="6"/>
        <v>249243.97799999994</v>
      </c>
      <c r="AE5" s="3">
        <f t="shared" si="6"/>
        <v>303107.33579999994</v>
      </c>
      <c r="AF5" s="3">
        <f t="shared" si="6"/>
        <v>350781.44537999987</v>
      </c>
      <c r="AG5" s="3">
        <f t="shared" si="6"/>
        <v>405827.47231799981</v>
      </c>
    </row>
    <row r="6" spans="1:65" x14ac:dyDescent="0.2">
      <c r="A6" s="2" t="s">
        <v>21</v>
      </c>
      <c r="B6" s="2">
        <v>7707</v>
      </c>
      <c r="C6" s="2">
        <v>8690</v>
      </c>
      <c r="D6" s="2">
        <v>9170</v>
      </c>
      <c r="E6" s="2">
        <v>9771</v>
      </c>
      <c r="F6" s="2">
        <v>9381</v>
      </c>
      <c r="G6" s="2">
        <v>9344</v>
      </c>
      <c r="H6" s="2">
        <v>9241</v>
      </c>
      <c r="I6" s="2">
        <v>10517</v>
      </c>
      <c r="J6" s="2">
        <v>9978</v>
      </c>
      <c r="K6" s="2">
        <v>10537</v>
      </c>
      <c r="L6" s="2">
        <v>11177</v>
      </c>
      <c r="M6" s="2">
        <v>12180</v>
      </c>
      <c r="N6" s="2">
        <v>12150</v>
      </c>
      <c r="O6" s="2">
        <v>12942</v>
      </c>
      <c r="P6" s="2">
        <v>15144</v>
      </c>
      <c r="U6" s="2" t="s">
        <v>9</v>
      </c>
      <c r="Y6" s="2">
        <f>SUM(B6:E6)</f>
        <v>35338</v>
      </c>
      <c r="Z6" s="2">
        <f>SUM(F6:I6)</f>
        <v>38483</v>
      </c>
      <c r="AA6" s="2">
        <f t="shared" ref="AA6:AA8" si="7">SUM(J6:M6)</f>
        <v>43872</v>
      </c>
      <c r="AB6" s="2">
        <f>+AA6*1.08</f>
        <v>47381.760000000002</v>
      </c>
      <c r="AC6" s="2">
        <f t="shared" ref="AC6:AG6" si="8">+AB6*1.08</f>
        <v>51172.300800000005</v>
      </c>
      <c r="AD6" s="2">
        <f t="shared" si="8"/>
        <v>55266.084864000011</v>
      </c>
      <c r="AE6" s="2">
        <f t="shared" si="8"/>
        <v>59687.371653120019</v>
      </c>
      <c r="AF6" s="2">
        <f t="shared" si="8"/>
        <v>64462.361385369622</v>
      </c>
      <c r="AG6" s="2">
        <f t="shared" si="8"/>
        <v>69619.350296199191</v>
      </c>
    </row>
    <row r="7" spans="1:65" x14ac:dyDescent="0.2">
      <c r="A7" s="2" t="s">
        <v>22</v>
      </c>
      <c r="B7" s="2">
        <v>3312</v>
      </c>
      <c r="C7" s="2">
        <v>3595</v>
      </c>
      <c r="D7" s="2">
        <v>3780</v>
      </c>
      <c r="E7" s="2">
        <v>4574</v>
      </c>
      <c r="F7" s="2">
        <v>3044</v>
      </c>
      <c r="G7" s="2">
        <v>3154</v>
      </c>
      <c r="H7" s="2">
        <v>2877</v>
      </c>
      <c r="I7" s="2">
        <v>3226</v>
      </c>
      <c r="J7" s="2">
        <v>2564</v>
      </c>
      <c r="K7" s="2">
        <v>2721</v>
      </c>
      <c r="L7" s="2">
        <v>2822</v>
      </c>
      <c r="M7" s="2">
        <v>3240</v>
      </c>
      <c r="N7" s="2">
        <v>2757</v>
      </c>
      <c r="O7" s="2">
        <v>2979</v>
      </c>
      <c r="P7" s="2">
        <v>2845</v>
      </c>
      <c r="Y7" s="2">
        <f>SUM(B7:E7)</f>
        <v>15261</v>
      </c>
      <c r="Z7" s="2">
        <f>SUM(F7:I7)</f>
        <v>12301</v>
      </c>
      <c r="AA7" s="2">
        <f t="shared" si="7"/>
        <v>11347</v>
      </c>
      <c r="AB7" s="2">
        <f>+AA7*1.03</f>
        <v>11687.41</v>
      </c>
      <c r="AC7" s="2">
        <f t="shared" ref="AC7:AG7" si="9">+AB7*1.03</f>
        <v>12038.032300000001</v>
      </c>
      <c r="AD7" s="2">
        <f t="shared" si="9"/>
        <v>12399.173269000001</v>
      </c>
      <c r="AE7" s="2">
        <f t="shared" si="9"/>
        <v>12771.148467070001</v>
      </c>
      <c r="AF7" s="2">
        <f t="shared" si="9"/>
        <v>13154.282921082102</v>
      </c>
      <c r="AG7" s="2">
        <f t="shared" si="9"/>
        <v>13548.911408714564</v>
      </c>
    </row>
    <row r="8" spans="1:65" x14ac:dyDescent="0.2">
      <c r="A8" s="2" t="s">
        <v>23</v>
      </c>
      <c r="B8" s="2">
        <v>2360</v>
      </c>
      <c r="C8" s="2">
        <v>2987</v>
      </c>
      <c r="D8" s="2">
        <v>3384</v>
      </c>
      <c r="E8" s="2">
        <v>3085</v>
      </c>
      <c r="F8" s="2">
        <v>2885</v>
      </c>
      <c r="G8" s="2">
        <v>4164</v>
      </c>
      <c r="H8" s="2">
        <v>2070</v>
      </c>
      <c r="I8" s="2">
        <v>2289</v>
      </c>
      <c r="J8" s="2">
        <v>3455</v>
      </c>
      <c r="K8" s="2">
        <v>3658</v>
      </c>
      <c r="L8" s="2">
        <v>1865</v>
      </c>
      <c r="M8" s="2">
        <v>761</v>
      </c>
      <c r="N8" s="2">
        <v>2280</v>
      </c>
      <c r="O8" s="2">
        <v>2663</v>
      </c>
      <c r="P8" s="2">
        <v>3512</v>
      </c>
      <c r="Y8" s="2">
        <f>SUM(B8:E8)</f>
        <v>11816</v>
      </c>
      <c r="Z8" s="2">
        <f>SUM(F8:I8)</f>
        <v>11408</v>
      </c>
      <c r="AA8" s="2">
        <f t="shared" si="7"/>
        <v>9739</v>
      </c>
      <c r="AB8" s="2">
        <f>+AA8*1.03</f>
        <v>10031.17</v>
      </c>
      <c r="AC8" s="2">
        <f t="shared" ref="AC8:AG8" si="10">+AB8*1.03</f>
        <v>10332.105100000001</v>
      </c>
      <c r="AD8" s="2">
        <f t="shared" si="10"/>
        <v>10642.068253000001</v>
      </c>
      <c r="AE8" s="2">
        <f t="shared" si="10"/>
        <v>10961.330300590002</v>
      </c>
      <c r="AF8" s="2">
        <f t="shared" si="10"/>
        <v>11290.170209607702</v>
      </c>
      <c r="AG8" s="2">
        <f t="shared" si="10"/>
        <v>11628.875315895933</v>
      </c>
    </row>
    <row r="9" spans="1:65" x14ac:dyDescent="0.2">
      <c r="A9" s="2" t="s">
        <v>30</v>
      </c>
      <c r="B9" s="2">
        <f t="shared" ref="B9:L9" si="11">+B6+B7+B8</f>
        <v>13379</v>
      </c>
      <c r="C9" s="2">
        <f t="shared" si="11"/>
        <v>15272</v>
      </c>
      <c r="D9" s="2">
        <f t="shared" si="11"/>
        <v>16334</v>
      </c>
      <c r="E9" s="2">
        <f t="shared" si="11"/>
        <v>17430</v>
      </c>
      <c r="F9" s="2">
        <f t="shared" si="11"/>
        <v>15310</v>
      </c>
      <c r="G9" s="2">
        <f t="shared" si="11"/>
        <v>16662</v>
      </c>
      <c r="H9" s="2">
        <f t="shared" si="11"/>
        <v>14188</v>
      </c>
      <c r="I9" s="2">
        <f t="shared" si="11"/>
        <v>16032</v>
      </c>
      <c r="J9" s="2">
        <f t="shared" si="11"/>
        <v>15997</v>
      </c>
      <c r="K9" s="2">
        <f t="shared" si="11"/>
        <v>16916</v>
      </c>
      <c r="L9" s="2">
        <f t="shared" si="11"/>
        <v>15864</v>
      </c>
      <c r="M9" s="2">
        <f t="shared" ref="M9:N9" si="12">+M6+M7+M8</f>
        <v>16181</v>
      </c>
      <c r="N9" s="2">
        <f t="shared" si="12"/>
        <v>17187</v>
      </c>
      <c r="O9" s="2">
        <f t="shared" ref="O9:P9" si="13">+O6+O7+O8</f>
        <v>18584</v>
      </c>
      <c r="P9" s="2">
        <f t="shared" si="13"/>
        <v>21501</v>
      </c>
      <c r="Y9" s="2">
        <f t="shared" ref="Y9:AF9" si="14">+Y6+Y7+Y8</f>
        <v>62415</v>
      </c>
      <c r="Z9" s="2">
        <f t="shared" si="14"/>
        <v>62192</v>
      </c>
      <c r="AA9" s="2">
        <f t="shared" ref="AA9:AG9" si="15">+AA6+AA7+AA8</f>
        <v>64958</v>
      </c>
      <c r="AB9" s="2">
        <f t="shared" si="15"/>
        <v>69100.34</v>
      </c>
      <c r="AC9" s="2">
        <f t="shared" si="15"/>
        <v>73542.438200000004</v>
      </c>
      <c r="AD9" s="2">
        <f t="shared" si="15"/>
        <v>78307.326386000015</v>
      </c>
      <c r="AE9" s="2">
        <f t="shared" si="15"/>
        <v>83419.850420780014</v>
      </c>
      <c r="AF9" s="2">
        <f t="shared" si="15"/>
        <v>88906.814516059429</v>
      </c>
      <c r="AG9" s="2">
        <f t="shared" si="15"/>
        <v>94797.137020809678</v>
      </c>
    </row>
    <row r="10" spans="1:65" s="3" customFormat="1" ht="15" x14ac:dyDescent="0.25">
      <c r="A10" s="3" t="s">
        <v>24</v>
      </c>
      <c r="B10" s="3">
        <f t="shared" ref="B10:L10" si="16">+B5-B9</f>
        <v>8524</v>
      </c>
      <c r="C10" s="3">
        <f t="shared" si="16"/>
        <v>8358</v>
      </c>
      <c r="D10" s="3">
        <f t="shared" si="16"/>
        <v>5664</v>
      </c>
      <c r="E10" s="3">
        <f t="shared" si="16"/>
        <v>6399</v>
      </c>
      <c r="F10" s="3">
        <f t="shared" si="16"/>
        <v>7227</v>
      </c>
      <c r="G10" s="3">
        <f t="shared" si="16"/>
        <v>9392</v>
      </c>
      <c r="H10" s="3">
        <f t="shared" si="16"/>
        <v>13748</v>
      </c>
      <c r="I10" s="3">
        <f t="shared" si="16"/>
        <v>16384</v>
      </c>
      <c r="J10" s="3">
        <f t="shared" si="16"/>
        <v>13818</v>
      </c>
      <c r="K10" s="3">
        <f t="shared" si="16"/>
        <v>14847</v>
      </c>
      <c r="L10" s="3">
        <f t="shared" si="16"/>
        <v>17350</v>
      </c>
      <c r="M10" s="3">
        <f t="shared" ref="M10:N10" si="17">+M5-M9</f>
        <v>23365</v>
      </c>
      <c r="N10" s="3">
        <f t="shared" si="17"/>
        <v>17555</v>
      </c>
      <c r="O10" s="3">
        <f t="shared" ref="O10:P10" si="18">+O5-O9</f>
        <v>20441</v>
      </c>
      <c r="P10" s="3">
        <f t="shared" si="18"/>
        <v>20535</v>
      </c>
      <c r="Y10" s="3">
        <f t="shared" ref="Y10:AF10" si="19">+Y5-Y9</f>
        <v>28945</v>
      </c>
      <c r="Z10" s="3">
        <f t="shared" si="19"/>
        <v>46751</v>
      </c>
      <c r="AA10" s="3">
        <f t="shared" ref="AA10:AG10" si="20">+AA5-AA9</f>
        <v>69380</v>
      </c>
      <c r="AB10" s="3">
        <f t="shared" si="20"/>
        <v>98686.459999999992</v>
      </c>
      <c r="AC10" s="3">
        <f t="shared" si="20"/>
        <v>131119.54179999998</v>
      </c>
      <c r="AD10" s="3">
        <f t="shared" si="20"/>
        <v>170936.65161399991</v>
      </c>
      <c r="AE10" s="3">
        <f t="shared" si="20"/>
        <v>219687.48537921993</v>
      </c>
      <c r="AF10" s="3">
        <f t="shared" si="20"/>
        <v>261874.63086394046</v>
      </c>
      <c r="AG10" s="3">
        <f t="shared" si="20"/>
        <v>311030.33529719012</v>
      </c>
    </row>
    <row r="11" spans="1:65" s="6" customFormat="1" x14ac:dyDescent="0.2">
      <c r="A11" s="2" t="s">
        <v>25</v>
      </c>
      <c r="B11" s="6">
        <v>384</v>
      </c>
      <c r="C11" s="6">
        <v>-172</v>
      </c>
      <c r="D11" s="6">
        <v>-88</v>
      </c>
      <c r="E11" s="6">
        <v>-250</v>
      </c>
      <c r="F11" s="6">
        <v>80</v>
      </c>
      <c r="G11" s="6">
        <v>-99</v>
      </c>
      <c r="H11" s="6">
        <v>272</v>
      </c>
      <c r="I11" s="6">
        <v>424</v>
      </c>
      <c r="J11" s="6">
        <v>365</v>
      </c>
      <c r="K11" s="6">
        <v>259</v>
      </c>
      <c r="L11" s="6">
        <v>472</v>
      </c>
      <c r="M11" s="6">
        <v>188</v>
      </c>
      <c r="N11" s="6">
        <v>827</v>
      </c>
      <c r="O11" s="6">
        <v>93</v>
      </c>
      <c r="P11" s="6">
        <v>1128</v>
      </c>
      <c r="S11" s="2"/>
      <c r="T11" s="2"/>
      <c r="U11" s="2"/>
      <c r="V11" s="2"/>
      <c r="W11" s="2"/>
      <c r="X11" s="2" t="s">
        <v>9</v>
      </c>
      <c r="Y11" s="6">
        <f>SUM(B11:E11)</f>
        <v>-126</v>
      </c>
      <c r="Z11" s="6">
        <f>+(Z33*$V$15)</f>
        <v>931.40000000000009</v>
      </c>
      <c r="AA11" s="6">
        <f t="shared" ref="AA11:AA13" si="21">SUM(J11:M11)</f>
        <v>1284</v>
      </c>
      <c r="AB11" s="6">
        <f>+AA33*0.03</f>
        <v>2429.64</v>
      </c>
      <c r="AC11" s="6">
        <f t="shared" ref="AC11:AG11" si="22">+AB33*0.03</f>
        <v>4856.4264000000003</v>
      </c>
      <c r="AD11" s="6">
        <f t="shared" si="22"/>
        <v>8119.8496367999996</v>
      </c>
      <c r="AE11" s="6">
        <f t="shared" si="22"/>
        <v>12417.205666819198</v>
      </c>
      <c r="AF11" s="6">
        <f t="shared" si="22"/>
        <v>17987.718251924136</v>
      </c>
      <c r="AG11" s="6">
        <f t="shared" si="22"/>
        <v>24704.414630704887</v>
      </c>
    </row>
    <row r="12" spans="1:65" x14ac:dyDescent="0.2">
      <c r="A12" s="2" t="s">
        <v>26</v>
      </c>
      <c r="B12" s="2">
        <f t="shared" ref="B12:L12" si="23">+B10+B11</f>
        <v>8908</v>
      </c>
      <c r="C12" s="2">
        <f t="shared" si="23"/>
        <v>8186</v>
      </c>
      <c r="D12" s="2">
        <f t="shared" si="23"/>
        <v>5576</v>
      </c>
      <c r="E12" s="2">
        <f t="shared" si="23"/>
        <v>6149</v>
      </c>
      <c r="F12" s="2">
        <f t="shared" si="23"/>
        <v>7307</v>
      </c>
      <c r="G12" s="2">
        <f t="shared" si="23"/>
        <v>9293</v>
      </c>
      <c r="H12" s="2">
        <f t="shared" si="23"/>
        <v>14020</v>
      </c>
      <c r="I12" s="2">
        <f t="shared" si="23"/>
        <v>16808</v>
      </c>
      <c r="J12" s="2">
        <f t="shared" si="23"/>
        <v>14183</v>
      </c>
      <c r="K12" s="2">
        <f t="shared" si="23"/>
        <v>15106</v>
      </c>
      <c r="L12" s="2">
        <f t="shared" si="23"/>
        <v>17822</v>
      </c>
      <c r="M12" s="2">
        <f t="shared" ref="M12:N12" si="24">+M10+M11</f>
        <v>23553</v>
      </c>
      <c r="N12" s="2">
        <f t="shared" si="24"/>
        <v>18382</v>
      </c>
      <c r="O12" s="2">
        <f t="shared" ref="O12:P12" si="25">+O10+O11</f>
        <v>20534</v>
      </c>
      <c r="P12" s="2">
        <f t="shared" si="25"/>
        <v>21663</v>
      </c>
      <c r="Y12" s="2">
        <f t="shared" ref="Y12:AF12" si="26">+Y10+Y11</f>
        <v>28819</v>
      </c>
      <c r="Z12" s="2">
        <f>+Z10+Z11</f>
        <v>47682.400000000001</v>
      </c>
      <c r="AA12" s="2">
        <f>+AA10+AA11</f>
        <v>70664</v>
      </c>
      <c r="AB12" s="2">
        <f t="shared" ref="AB12:AG12" si="27">+AB10+AB11</f>
        <v>101116.09999999999</v>
      </c>
      <c r="AC12" s="2">
        <f t="shared" si="27"/>
        <v>135975.96819999997</v>
      </c>
      <c r="AD12" s="2">
        <f t="shared" si="27"/>
        <v>179056.50125079992</v>
      </c>
      <c r="AE12" s="2">
        <f t="shared" si="27"/>
        <v>232104.69104603914</v>
      </c>
      <c r="AF12" s="2">
        <f t="shared" si="27"/>
        <v>279862.34911586461</v>
      </c>
      <c r="AG12" s="2">
        <f t="shared" si="27"/>
        <v>335734.74992789503</v>
      </c>
    </row>
    <row r="13" spans="1:65" x14ac:dyDescent="0.2">
      <c r="A13" s="2" t="s">
        <v>27</v>
      </c>
      <c r="B13" s="2">
        <v>1443</v>
      </c>
      <c r="C13" s="2">
        <v>1499</v>
      </c>
      <c r="D13" s="2">
        <v>1181</v>
      </c>
      <c r="E13" s="2">
        <v>1497</v>
      </c>
      <c r="F13" s="2">
        <v>1598</v>
      </c>
      <c r="G13" s="2">
        <v>1505</v>
      </c>
      <c r="H13" s="2">
        <v>2437</v>
      </c>
      <c r="I13" s="2">
        <v>2791</v>
      </c>
      <c r="J13" s="2">
        <v>1814</v>
      </c>
      <c r="K13" s="2">
        <v>1641</v>
      </c>
      <c r="L13" s="2">
        <v>2134</v>
      </c>
      <c r="M13" s="2">
        <v>2715</v>
      </c>
      <c r="N13" s="2">
        <v>1738</v>
      </c>
      <c r="O13" s="2">
        <v>2197</v>
      </c>
      <c r="P13" s="2">
        <v>18954</v>
      </c>
      <c r="Y13" s="2">
        <f>SUM(B13:E13)</f>
        <v>5620</v>
      </c>
      <c r="Z13" s="2">
        <f>SUM(F13:I13)</f>
        <v>8331</v>
      </c>
      <c r="AA13" s="2">
        <f t="shared" si="21"/>
        <v>8304</v>
      </c>
      <c r="AB13" s="2">
        <f>+AB12*0.2</f>
        <v>20223.22</v>
      </c>
      <c r="AC13" s="2">
        <f t="shared" ref="AC13:AG13" si="28">+AC12*0.2</f>
        <v>27195.193639999998</v>
      </c>
      <c r="AD13" s="2">
        <f t="shared" si="28"/>
        <v>35811.300250159984</v>
      </c>
      <c r="AE13" s="2">
        <f t="shared" si="28"/>
        <v>46420.93820920783</v>
      </c>
      <c r="AF13" s="2">
        <f t="shared" si="28"/>
        <v>55972.469823172927</v>
      </c>
      <c r="AG13" s="2">
        <f t="shared" si="28"/>
        <v>67146.949985579005</v>
      </c>
    </row>
    <row r="14" spans="1:65" s="3" customFormat="1" ht="15" x14ac:dyDescent="0.25">
      <c r="A14" s="3" t="s">
        <v>28</v>
      </c>
      <c r="B14" s="3">
        <f t="shared" ref="B14:L14" si="29">+B12-B13</f>
        <v>7465</v>
      </c>
      <c r="C14" s="3">
        <f t="shared" si="29"/>
        <v>6687</v>
      </c>
      <c r="D14" s="3">
        <f t="shared" si="29"/>
        <v>4395</v>
      </c>
      <c r="E14" s="3">
        <f t="shared" si="29"/>
        <v>4652</v>
      </c>
      <c r="F14" s="3">
        <f t="shared" si="29"/>
        <v>5709</v>
      </c>
      <c r="G14" s="3">
        <f t="shared" si="29"/>
        <v>7788</v>
      </c>
      <c r="H14" s="3">
        <f t="shared" si="29"/>
        <v>11583</v>
      </c>
      <c r="I14" s="3">
        <f t="shared" si="29"/>
        <v>14017</v>
      </c>
      <c r="J14" s="3">
        <f t="shared" si="29"/>
        <v>12369</v>
      </c>
      <c r="K14" s="3">
        <f t="shared" si="29"/>
        <v>13465</v>
      </c>
      <c r="L14" s="3">
        <f t="shared" si="29"/>
        <v>15688</v>
      </c>
      <c r="M14" s="3">
        <f t="shared" ref="M14:N14" si="30">+M12-M13</f>
        <v>20838</v>
      </c>
      <c r="N14" s="3">
        <f t="shared" si="30"/>
        <v>16644</v>
      </c>
      <c r="O14" s="3">
        <f t="shared" ref="O14:P14" si="31">+O12-O13</f>
        <v>18337</v>
      </c>
      <c r="P14" s="3">
        <f t="shared" si="31"/>
        <v>2709</v>
      </c>
      <c r="Q14" s="3">
        <v>22768</v>
      </c>
      <c r="R14" s="3">
        <v>26773</v>
      </c>
      <c r="X14" s="3" t="s">
        <v>9</v>
      </c>
      <c r="Y14" s="3">
        <f t="shared" ref="Y14:AF14" si="32">+Y12-Y13</f>
        <v>23199</v>
      </c>
      <c r="Z14" s="3">
        <f t="shared" si="32"/>
        <v>39351.4</v>
      </c>
      <c r="AA14" s="3">
        <f t="shared" si="32"/>
        <v>62360</v>
      </c>
      <c r="AB14" s="3">
        <f>+AB12-AB13</f>
        <v>80892.87999999999</v>
      </c>
      <c r="AC14" s="3">
        <f t="shared" ref="AC14:AG14" si="33">+AC12-AC13</f>
        <v>108780.77455999998</v>
      </c>
      <c r="AD14" s="3">
        <f t="shared" si="33"/>
        <v>143245.20100063994</v>
      </c>
      <c r="AE14" s="3">
        <f t="shared" si="33"/>
        <v>185683.75283683132</v>
      </c>
      <c r="AF14" s="3">
        <f t="shared" si="33"/>
        <v>223889.87929269168</v>
      </c>
      <c r="AG14" s="3">
        <f t="shared" si="33"/>
        <v>268587.79994231602</v>
      </c>
      <c r="AH14" s="3">
        <f>+AG14*(1-$V$16)</f>
        <v>265901.92194289283</v>
      </c>
      <c r="AI14" s="3">
        <f t="shared" ref="AI14:BM14" si="34">+AH14*(1-$V$16)</f>
        <v>263242.90272346389</v>
      </c>
      <c r="AJ14" s="3">
        <f t="shared" si="34"/>
        <v>260610.47369622925</v>
      </c>
      <c r="AK14" s="3">
        <f t="shared" si="34"/>
        <v>258004.36895926695</v>
      </c>
      <c r="AL14" s="3">
        <f t="shared" si="34"/>
        <v>255424.32526967427</v>
      </c>
      <c r="AM14" s="3">
        <f t="shared" si="34"/>
        <v>252870.08201697754</v>
      </c>
      <c r="AN14" s="3">
        <f t="shared" si="34"/>
        <v>250341.38119680775</v>
      </c>
      <c r="AO14" s="3">
        <f t="shared" si="34"/>
        <v>247837.96738483966</v>
      </c>
      <c r="AP14" s="3">
        <f t="shared" si="34"/>
        <v>245359.58771099127</v>
      </c>
      <c r="AQ14" s="3">
        <f t="shared" si="34"/>
        <v>242905.99183388136</v>
      </c>
      <c r="AR14" s="3">
        <f t="shared" si="34"/>
        <v>240476.93191554255</v>
      </c>
      <c r="AS14" s="3">
        <f t="shared" si="34"/>
        <v>238072.16259638712</v>
      </c>
      <c r="AT14" s="3">
        <f t="shared" si="34"/>
        <v>235691.44097042325</v>
      </c>
      <c r="AU14" s="3">
        <f t="shared" si="34"/>
        <v>233334.52656071901</v>
      </c>
      <c r="AV14" s="3">
        <f t="shared" si="34"/>
        <v>231001.1812951118</v>
      </c>
      <c r="AW14" s="3">
        <f t="shared" si="34"/>
        <v>228691.16948216068</v>
      </c>
      <c r="AX14" s="3">
        <f t="shared" si="34"/>
        <v>226404.25778733907</v>
      </c>
      <c r="AY14" s="3">
        <f t="shared" si="34"/>
        <v>224140.21520946568</v>
      </c>
      <c r="AZ14" s="3">
        <f t="shared" si="34"/>
        <v>221898.81305737101</v>
      </c>
      <c r="BA14" s="3">
        <f t="shared" si="34"/>
        <v>219679.8249267973</v>
      </c>
      <c r="BB14" s="3">
        <f t="shared" si="34"/>
        <v>217483.02667752933</v>
      </c>
      <c r="BC14" s="3">
        <f t="shared" si="34"/>
        <v>215308.19641075403</v>
      </c>
      <c r="BD14" s="3">
        <f t="shared" si="34"/>
        <v>213155.11444664648</v>
      </c>
      <c r="BE14" s="3">
        <f t="shared" si="34"/>
        <v>211023.56330218</v>
      </c>
      <c r="BF14" s="3">
        <f t="shared" si="34"/>
        <v>208913.3276691582</v>
      </c>
      <c r="BG14" s="3">
        <f t="shared" si="34"/>
        <v>206824.19439246663</v>
      </c>
      <c r="BH14" s="3">
        <f t="shared" si="34"/>
        <v>204755.95244854197</v>
      </c>
      <c r="BI14" s="3">
        <f t="shared" si="34"/>
        <v>202708.39292405653</v>
      </c>
      <c r="BJ14" s="3">
        <f t="shared" si="34"/>
        <v>200681.30899481598</v>
      </c>
      <c r="BK14" s="3">
        <f t="shared" si="34"/>
        <v>198674.49590486783</v>
      </c>
      <c r="BL14" s="3">
        <f t="shared" si="34"/>
        <v>196687.75094581913</v>
      </c>
      <c r="BM14" s="3">
        <f t="shared" si="34"/>
        <v>194720.87343636094</v>
      </c>
    </row>
    <row r="15" spans="1:65" x14ac:dyDescent="0.2">
      <c r="A15" s="2" t="s">
        <v>29</v>
      </c>
      <c r="B15" s="4">
        <f t="shared" ref="B15:L15" si="35">+B14/B16</f>
        <v>2.7394495412844035</v>
      </c>
      <c r="C15" s="4">
        <f t="shared" si="35"/>
        <v>2.4730029585798818</v>
      </c>
      <c r="D15" s="4">
        <f t="shared" si="35"/>
        <v>1.638702460850112</v>
      </c>
      <c r="E15" s="4">
        <f t="shared" si="35"/>
        <v>1.7634571645185746</v>
      </c>
      <c r="F15" s="4">
        <f t="shared" si="35"/>
        <v>2.206803247004252</v>
      </c>
      <c r="G15" s="4">
        <f t="shared" si="35"/>
        <v>3.0327102803738319</v>
      </c>
      <c r="H15" s="4">
        <f t="shared" si="35"/>
        <v>4.4965062111801242</v>
      </c>
      <c r="I15" s="4">
        <f t="shared" si="35"/>
        <v>5.4625876851130162</v>
      </c>
      <c r="J15" s="4">
        <f t="shared" si="35"/>
        <v>4.8601178781925345</v>
      </c>
      <c r="K15" s="4">
        <f t="shared" si="35"/>
        <v>5.3137332280978686</v>
      </c>
      <c r="L15" s="4">
        <f t="shared" si="35"/>
        <v>6.2032423882957692</v>
      </c>
      <c r="M15" s="4">
        <f t="shared" ref="M15:N15" si="36">+M14/M16</f>
        <v>8.2396204033214708</v>
      </c>
      <c r="N15" s="4">
        <f t="shared" si="36"/>
        <v>6.5864661654135341</v>
      </c>
      <c r="O15" s="4">
        <f t="shared" ref="O15" si="37">+O14/O16</f>
        <v>7.2823669579030978</v>
      </c>
      <c r="P15" s="2">
        <f>+P14/P16</f>
        <v>1.0762812872467222</v>
      </c>
      <c r="U15" s="2" t="s">
        <v>33</v>
      </c>
      <c r="V15" s="5">
        <v>0.05</v>
      </c>
      <c r="Y15" s="2">
        <f t="shared" ref="Y15:AF15" si="38">+Y14/Y16</f>
        <v>8.6329891152665361</v>
      </c>
      <c r="Z15" s="2">
        <f t="shared" si="38"/>
        <v>15.286549480431194</v>
      </c>
      <c r="AA15" s="2">
        <f t="shared" si="38"/>
        <v>24.606885666370722</v>
      </c>
    </row>
    <row r="16" spans="1:65" x14ac:dyDescent="0.2">
      <c r="A16" s="2" t="s">
        <v>2</v>
      </c>
      <c r="B16" s="2">
        <v>2725</v>
      </c>
      <c r="C16" s="2">
        <v>2704</v>
      </c>
      <c r="D16" s="2">
        <v>2682</v>
      </c>
      <c r="E16" s="2">
        <v>2638</v>
      </c>
      <c r="F16" s="2">
        <v>2587</v>
      </c>
      <c r="G16" s="2">
        <v>2568</v>
      </c>
      <c r="H16" s="2">
        <v>2576</v>
      </c>
      <c r="I16" s="2">
        <v>2566</v>
      </c>
      <c r="J16" s="2">
        <v>2545</v>
      </c>
      <c r="K16" s="2">
        <v>2534</v>
      </c>
      <c r="L16" s="2">
        <v>2529</v>
      </c>
      <c r="M16" s="2">
        <v>2529</v>
      </c>
      <c r="N16" s="2">
        <v>2527</v>
      </c>
      <c r="O16" s="2">
        <v>2518</v>
      </c>
      <c r="P16" s="2">
        <v>2517</v>
      </c>
      <c r="R16" s="2">
        <v>2534</v>
      </c>
      <c r="U16" s="2" t="s">
        <v>34</v>
      </c>
      <c r="V16" s="5">
        <v>0.01</v>
      </c>
      <c r="X16" s="2" t="s">
        <v>9</v>
      </c>
      <c r="Y16" s="2">
        <f>AVERAGE(B16:E16)</f>
        <v>2687.25</v>
      </c>
      <c r="Z16" s="2">
        <f>AVERAGE(F16:I16)</f>
        <v>2574.25</v>
      </c>
      <c r="AA16" s="2">
        <f>AVERAGE(J16:M16)</f>
        <v>2534.25</v>
      </c>
    </row>
    <row r="17" spans="1:33" x14ac:dyDescent="0.2">
      <c r="A17" s="2" t="s">
        <v>9</v>
      </c>
      <c r="U17" s="2" t="s">
        <v>35</v>
      </c>
      <c r="V17" s="5">
        <v>0.08</v>
      </c>
    </row>
    <row r="18" spans="1:33" s="7" customFormat="1" ht="15" x14ac:dyDescent="0.25">
      <c r="A18" s="7" t="s">
        <v>32</v>
      </c>
      <c r="F18" s="7">
        <f t="shared" ref="F18:P18" si="39">+F3/B3-1</f>
        <v>2.6408198366060009E-2</v>
      </c>
      <c r="G18" s="7">
        <f t="shared" si="39"/>
        <v>0.11022829782804799</v>
      </c>
      <c r="H18" s="7">
        <f t="shared" si="39"/>
        <v>0.23208486685429741</v>
      </c>
      <c r="I18" s="7">
        <f t="shared" si="39"/>
        <v>0.24703870666873939</v>
      </c>
      <c r="J18" s="7">
        <f t="shared" si="39"/>
        <v>0.27264793157619138</v>
      </c>
      <c r="K18" s="7">
        <f t="shared" si="39"/>
        <v>0.2210069064658271</v>
      </c>
      <c r="L18" s="7">
        <f t="shared" si="39"/>
        <v>0.18868974404029748</v>
      </c>
      <c r="M18" s="7">
        <f t="shared" si="39"/>
        <v>0.20627757971628724</v>
      </c>
      <c r="N18" s="7">
        <f t="shared" si="39"/>
        <v>0.16071869428062002</v>
      </c>
      <c r="O18" s="7">
        <f t="shared" si="39"/>
        <v>0.21614496685521223</v>
      </c>
      <c r="P18" s="7">
        <f t="shared" si="39"/>
        <v>0.26246027248761972</v>
      </c>
      <c r="Q18" s="7">
        <f>+Q3/M3-1</f>
        <v>0.23784230649994842</v>
      </c>
      <c r="R18" s="7">
        <f>+R3/N3-1</f>
        <v>0.33078886420570019</v>
      </c>
      <c r="U18" s="7" t="s">
        <v>36</v>
      </c>
      <c r="V18" s="9">
        <f>NPV(V17,Y14:BM14)</f>
        <v>2078826.2123905655</v>
      </c>
      <c r="Y18" s="7" t="s">
        <v>9</v>
      </c>
      <c r="Z18" s="7">
        <f>+Z3/Y3-1</f>
        <v>0.15686610810486323</v>
      </c>
      <c r="AA18" s="7">
        <f>+AA1/Z3-1</f>
        <v>0.19999999999999996</v>
      </c>
      <c r="AB18" s="7">
        <f>+AB3/AA1-1</f>
        <v>0.2414350770812177</v>
      </c>
      <c r="AC18" s="7">
        <f t="shared" ref="AC18:AG18" si="40">+AC3/AB3-1</f>
        <v>0.19999999999999996</v>
      </c>
      <c r="AD18" s="7">
        <f t="shared" si="40"/>
        <v>0.19999999999999996</v>
      </c>
      <c r="AE18" s="7">
        <f t="shared" si="40"/>
        <v>0.19999999999999996</v>
      </c>
      <c r="AF18" s="7">
        <f t="shared" si="40"/>
        <v>0.14999999999999991</v>
      </c>
      <c r="AG18" s="7">
        <f t="shared" si="40"/>
        <v>0.14999999999999991</v>
      </c>
    </row>
    <row r="19" spans="1:33" s="8" customFormat="1" x14ac:dyDescent="0.2">
      <c r="A19" s="8" t="s">
        <v>99</v>
      </c>
      <c r="F19" s="8">
        <f t="shared" ref="F19:J19" si="41">+F14/B14-1</f>
        <v>-0.23523107836570667</v>
      </c>
      <c r="G19" s="8">
        <f t="shared" si="41"/>
        <v>0.16464782413638401</v>
      </c>
      <c r="H19" s="8">
        <f t="shared" si="41"/>
        <v>1.6354948805460752</v>
      </c>
      <c r="I19" s="8">
        <f t="shared" si="41"/>
        <v>2.0131126397248496</v>
      </c>
      <c r="J19" s="8">
        <f t="shared" si="41"/>
        <v>1.16657908565423</v>
      </c>
      <c r="K19" s="8">
        <f>+K14/G14-1</f>
        <v>0.72894196199280947</v>
      </c>
      <c r="L19" s="8">
        <f>+L14/H14-1</f>
        <v>0.3543986877320211</v>
      </c>
      <c r="M19" s="8">
        <f>+M14/I14-1</f>
        <v>0.4866233858885638</v>
      </c>
      <c r="N19" s="8">
        <f>+N14/J14-1</f>
        <v>0.34562211981566815</v>
      </c>
      <c r="O19" s="8">
        <f>+O14/K14-1</f>
        <v>0.36182695878202753</v>
      </c>
      <c r="P19" s="8">
        <f t="shared" ref="P19" si="42">+P14/L14-1</f>
        <v>-0.82732024477307498</v>
      </c>
      <c r="Q19" s="8">
        <f t="shared" ref="Q19" si="43">+Q14/M14-1</f>
        <v>9.2619253287263614E-2</v>
      </c>
      <c r="R19" s="8">
        <f t="shared" ref="R19" si="44">+R14/N14-1</f>
        <v>0.60856765200672913</v>
      </c>
      <c r="S19" s="8" t="s">
        <v>9</v>
      </c>
      <c r="U19" s="8" t="s">
        <v>47</v>
      </c>
      <c r="V19" s="10">
        <f>+main!L5-main!L6</f>
        <v>18239</v>
      </c>
      <c r="Y19" s="8" t="s">
        <v>9</v>
      </c>
      <c r="Z19" s="8">
        <f>+Z14/Y14-1</f>
        <v>0.6962541488857279</v>
      </c>
      <c r="AA19" s="8">
        <f t="shared" ref="AA19:AG19" si="45">+AA14/Z14-1</f>
        <v>0.58469584309579825</v>
      </c>
      <c r="AB19" s="8">
        <f t="shared" si="45"/>
        <v>0.29719178960872328</v>
      </c>
      <c r="AC19" s="8">
        <f t="shared" si="45"/>
        <v>0.34475091701519323</v>
      </c>
      <c r="AD19" s="8">
        <f t="shared" si="45"/>
        <v>0.31682460967981507</v>
      </c>
      <c r="AE19" s="8">
        <f t="shared" si="45"/>
        <v>0.29626508629773785</v>
      </c>
      <c r="AF19" s="8">
        <f t="shared" si="45"/>
        <v>0.20575912470615454</v>
      </c>
      <c r="AG19" s="8">
        <f t="shared" si="45"/>
        <v>0.19964243489180089</v>
      </c>
    </row>
    <row r="20" spans="1:33" s="8" customFormat="1" x14ac:dyDescent="0.2">
      <c r="U20" s="8" t="s">
        <v>37</v>
      </c>
      <c r="V20" s="10">
        <f>+V18-V19</f>
        <v>2060587.2123905655</v>
      </c>
    </row>
    <row r="21" spans="1:33" s="8" customFormat="1" x14ac:dyDescent="0.2">
      <c r="B21" s="8">
        <f t="shared" ref="B21:J21" si="46">+B5/B3</f>
        <v>0.78482872294682526</v>
      </c>
      <c r="C21" s="8">
        <f t="shared" si="46"/>
        <v>0.81985982929706469</v>
      </c>
      <c r="D21" s="8">
        <f t="shared" si="46"/>
        <v>0.79375045103557773</v>
      </c>
      <c r="E21" s="8">
        <f t="shared" si="46"/>
        <v>0.74083631276231932</v>
      </c>
      <c r="F21" s="8">
        <f t="shared" si="46"/>
        <v>0.7867690696456624</v>
      </c>
      <c r="G21" s="8">
        <f t="shared" si="46"/>
        <v>0.81421294415450485</v>
      </c>
      <c r="H21" s="8">
        <f t="shared" si="46"/>
        <v>0.81813389562467054</v>
      </c>
      <c r="I21" s="8">
        <f t="shared" si="46"/>
        <v>0.80815736331679588</v>
      </c>
      <c r="J21" s="8">
        <f t="shared" si="46"/>
        <v>0.81785763269784661</v>
      </c>
      <c r="K21" s="8">
        <f>+K5/K3</f>
        <v>0.81295590079598679</v>
      </c>
      <c r="L21" s="8">
        <f>+L5/L3</f>
        <v>0.81830052477272164</v>
      </c>
      <c r="M21" s="8">
        <f>+M5/M3</f>
        <v>0.81731941717474421</v>
      </c>
      <c r="N21" s="8">
        <f>+N5/N3</f>
        <v>0.82105213404546962</v>
      </c>
      <c r="O21" s="8">
        <f>+O5/O3</f>
        <v>0.82130229817324696</v>
      </c>
      <c r="P21" s="8">
        <f t="shared" ref="P21" si="47">+P5/P3</f>
        <v>0.82034268763904605</v>
      </c>
      <c r="U21" s="8" t="s">
        <v>38</v>
      </c>
      <c r="V21" s="10">
        <f>+V20/main!L3</f>
        <v>818.3428166761579</v>
      </c>
      <c r="Y21" s="8">
        <f t="shared" ref="Y21:AF21" si="48">+Y5/Y3</f>
        <v>0.78347297378418479</v>
      </c>
      <c r="Z21" s="8">
        <f t="shared" si="48"/>
        <v>0.80757740861817184</v>
      </c>
      <c r="AA21" s="8">
        <f>+AA5/AA1</f>
        <v>0.82985547426137196</v>
      </c>
      <c r="AB21" s="8">
        <f t="shared" si="48"/>
        <v>0.83490558057373165</v>
      </c>
      <c r="AC21" s="8">
        <f t="shared" si="48"/>
        <v>0.84866344885925404</v>
      </c>
      <c r="AD21" s="8">
        <f t="shared" si="48"/>
        <v>0.86127482812098277</v>
      </c>
      <c r="AE21" s="8">
        <f t="shared" si="48"/>
        <v>0.87283525911090099</v>
      </c>
      <c r="AF21" s="8">
        <f t="shared" si="48"/>
        <v>0.87836416088868774</v>
      </c>
      <c r="AG21" s="8">
        <f t="shared" ref="AG21" si="49">+AG5/AG3</f>
        <v>0.88365267563265781</v>
      </c>
    </row>
    <row r="22" spans="1:33" s="8" customFormat="1" x14ac:dyDescent="0.2">
      <c r="A22" s="8" t="s">
        <v>42</v>
      </c>
      <c r="B22" s="8">
        <f t="shared" ref="B22:J22" si="50">+B6/B3</f>
        <v>0.27615737422961156</v>
      </c>
      <c r="C22" s="8">
        <f t="shared" si="50"/>
        <v>0.30150579418499757</v>
      </c>
      <c r="D22" s="8">
        <f t="shared" si="50"/>
        <v>0.33087969979071952</v>
      </c>
      <c r="E22" s="8">
        <f t="shared" si="50"/>
        <v>0.30377739779263174</v>
      </c>
      <c r="F22" s="8">
        <f t="shared" si="50"/>
        <v>0.32749170884971202</v>
      </c>
      <c r="G22" s="8">
        <f t="shared" si="50"/>
        <v>0.29200912528516515</v>
      </c>
      <c r="H22" s="8">
        <f t="shared" si="50"/>
        <v>0.27063199203420607</v>
      </c>
      <c r="I22" s="8">
        <f t="shared" si="50"/>
        <v>0.26219740220887039</v>
      </c>
      <c r="J22" s="8">
        <f t="shared" si="50"/>
        <v>0.27370731038266355</v>
      </c>
      <c r="K22" s="8">
        <f>+K6/K3</f>
        <v>0.26968851577896652</v>
      </c>
      <c r="L22" s="8">
        <f>+L6/L3</f>
        <v>0.27537017418512405</v>
      </c>
      <c r="M22" s="8">
        <f>+M6/M3</f>
        <v>0.25173090833936135</v>
      </c>
      <c r="N22" s="8">
        <f>+N6/N3</f>
        <v>0.28713900836602541</v>
      </c>
      <c r="O22" s="8">
        <f>+O6/O3</f>
        <v>0.27237141173499452</v>
      </c>
      <c r="P22" s="8">
        <f t="shared" ref="P22" si="51">+P6/P3</f>
        <v>0.29553881581515162</v>
      </c>
      <c r="U22" s="8" t="s">
        <v>39</v>
      </c>
      <c r="V22" s="10">
        <v>609</v>
      </c>
      <c r="Y22" s="8">
        <f t="shared" ref="Y22:AF22" si="52">+Y6/Y3</f>
        <v>0.30304693462768739</v>
      </c>
      <c r="Z22" s="8">
        <f t="shared" si="52"/>
        <v>0.28526845612708579</v>
      </c>
      <c r="AA22" s="8">
        <f>+AA6/AA1</f>
        <v>0.27101355809074806</v>
      </c>
      <c r="AB22" s="8">
        <f t="shared" si="52"/>
        <v>0.23577120394098475</v>
      </c>
      <c r="AC22" s="8">
        <f t="shared" si="52"/>
        <v>0.21219408354688629</v>
      </c>
      <c r="AD22" s="8">
        <f t="shared" si="52"/>
        <v>0.19097467519219771</v>
      </c>
      <c r="AE22" s="8">
        <f t="shared" si="52"/>
        <v>0.17187720767297796</v>
      </c>
      <c r="AF22" s="8">
        <f t="shared" si="52"/>
        <v>0.16141511677114453</v>
      </c>
      <c r="AG22" s="8">
        <f t="shared" ref="AG22" si="53">+AG6/AG3</f>
        <v>0.15158984879377052</v>
      </c>
    </row>
    <row r="23" spans="1:33" s="8" customFormat="1" x14ac:dyDescent="0.2">
      <c r="A23" s="8" t="s">
        <v>43</v>
      </c>
      <c r="B23" s="8">
        <f t="shared" ref="B23:J23" si="54">+B7/B3</f>
        <v>0.11867564855955282</v>
      </c>
      <c r="C23" s="8">
        <f t="shared" si="54"/>
        <v>0.12473110818125044</v>
      </c>
      <c r="D23" s="8">
        <f t="shared" si="54"/>
        <v>0.13639315869235766</v>
      </c>
      <c r="E23" s="8">
        <f t="shared" si="54"/>
        <v>0.142204259288046</v>
      </c>
      <c r="F23" s="8">
        <f t="shared" si="54"/>
        <v>0.10626636411241054</v>
      </c>
      <c r="G23" s="8">
        <f t="shared" si="54"/>
        <v>9.8565580174380454E-2</v>
      </c>
      <c r="H23" s="8">
        <f t="shared" si="54"/>
        <v>8.4255842558425581E-2</v>
      </c>
      <c r="I23" s="8">
        <f t="shared" si="54"/>
        <v>8.0426815586746775E-2</v>
      </c>
      <c r="J23" s="8">
        <f t="shared" si="54"/>
        <v>7.0333287614867651E-2</v>
      </c>
      <c r="K23" s="8">
        <f>+K7/K3</f>
        <v>6.9642445803793099E-2</v>
      </c>
      <c r="L23" s="8">
        <f>+L7/L3</f>
        <v>6.9526226317475182E-2</v>
      </c>
      <c r="M23" s="8">
        <f>+M7/M3</f>
        <v>6.6962901725741444E-2</v>
      </c>
      <c r="N23" s="8">
        <f>+N7/N3</f>
        <v>6.5155740416883295E-2</v>
      </c>
      <c r="O23" s="8">
        <f>+O7/O3</f>
        <v>6.269467126862531E-2</v>
      </c>
      <c r="P23" s="8">
        <f t="shared" ref="P23" si="55">+P7/P3</f>
        <v>5.5520861793060379E-2</v>
      </c>
      <c r="U23" s="8" t="s">
        <v>40</v>
      </c>
      <c r="V23" s="8">
        <f>+V21/V22-1</f>
        <v>0.34374846744853516</v>
      </c>
      <c r="Y23" s="8">
        <f t="shared" ref="Y23:AF23" si="56">+Y7/Y3</f>
        <v>0.13087326021147597</v>
      </c>
      <c r="Z23" s="8">
        <f t="shared" si="56"/>
        <v>9.1185387802907317E-2</v>
      </c>
      <c r="AA23" s="8">
        <f>+AA7/AA1</f>
        <v>7.0094612592444344E-2</v>
      </c>
      <c r="AB23" s="8">
        <f t="shared" si="56"/>
        <v>5.8156445152140919E-2</v>
      </c>
      <c r="AC23" s="8">
        <f t="shared" si="56"/>
        <v>4.9917615422254293E-2</v>
      </c>
      <c r="AD23" s="8">
        <f t="shared" si="56"/>
        <v>4.2845953237434939E-2</v>
      </c>
      <c r="AE23" s="8">
        <f t="shared" si="56"/>
        <v>3.6776109862131659E-2</v>
      </c>
      <c r="AF23" s="8">
        <f t="shared" si="56"/>
        <v>3.2938602746083144E-2</v>
      </c>
      <c r="AG23" s="8">
        <f t="shared" ref="AG23" si="57">+AG7/AG3</f>
        <v>2.950153115518751E-2</v>
      </c>
    </row>
    <row r="24" spans="1:33" s="8" customFormat="1" x14ac:dyDescent="0.2">
      <c r="A24" s="8" t="s">
        <v>44</v>
      </c>
      <c r="B24" s="8">
        <f t="shared" ref="B24:J24" si="58">+B8/B3</f>
        <v>8.4563566002579901E-2</v>
      </c>
      <c r="C24" s="8">
        <f t="shared" si="58"/>
        <v>0.1036361113038651</v>
      </c>
      <c r="D24" s="8">
        <f t="shared" si="58"/>
        <v>0.12210435159125352</v>
      </c>
      <c r="E24" s="8">
        <f t="shared" si="58"/>
        <v>9.5911705269703093E-2</v>
      </c>
      <c r="F24" s="8">
        <f t="shared" si="58"/>
        <v>0.10071565718275441</v>
      </c>
      <c r="G24" s="8">
        <f t="shared" si="58"/>
        <v>0.13012906653332917</v>
      </c>
      <c r="H24" s="8">
        <f t="shared" si="58"/>
        <v>6.062203479177649E-2</v>
      </c>
      <c r="I24" s="8">
        <f t="shared" si="58"/>
        <v>5.7066640073795215E-2</v>
      </c>
      <c r="J24" s="8">
        <f t="shared" si="58"/>
        <v>9.4774379371828282E-2</v>
      </c>
      <c r="K24" s="8">
        <f>+K8/K3</f>
        <v>9.3624427324614165E-2</v>
      </c>
      <c r="L24" s="8">
        <f>+L8/L3</f>
        <v>4.5948409667643943E-2</v>
      </c>
      <c r="M24" s="8">
        <f>+M8/M3</f>
        <v>1.5728014880644826E-2</v>
      </c>
      <c r="N24" s="8">
        <f>+N8/N3</f>
        <v>5.3882875643994896E-2</v>
      </c>
      <c r="O24" s="8">
        <f>+O8/O3</f>
        <v>5.6044279821533802E-2</v>
      </c>
      <c r="P24" s="8">
        <f t="shared" ref="P24" si="59">+P8/P3</f>
        <v>6.8537527809218998E-2</v>
      </c>
      <c r="Y24" s="8">
        <f t="shared" ref="Y24:AF24" si="60">+Y8/Y3</f>
        <v>0.10133008601394404</v>
      </c>
      <c r="Z24" s="8">
        <f t="shared" si="60"/>
        <v>8.4565718563983955E-2</v>
      </c>
      <c r="AA24" s="8">
        <f>+AA8/AA1</f>
        <v>6.0161402312312984E-2</v>
      </c>
      <c r="AB24" s="8">
        <f t="shared" si="60"/>
        <v>4.9915010076381459E-2</v>
      </c>
      <c r="AC24" s="8">
        <f t="shared" si="60"/>
        <v>4.2843716982227421E-2</v>
      </c>
      <c r="AD24" s="8">
        <f t="shared" si="60"/>
        <v>3.6774190409745208E-2</v>
      </c>
      <c r="AE24" s="8">
        <f t="shared" si="60"/>
        <v>3.1564513435031305E-2</v>
      </c>
      <c r="AF24" s="8">
        <f t="shared" si="60"/>
        <v>2.8270825076593262E-2</v>
      </c>
      <c r="AG24" s="8">
        <f t="shared" ref="AG24" si="61">+AG8/AG3</f>
        <v>2.532082593816614E-2</v>
      </c>
    </row>
    <row r="25" spans="1:33" s="8" customFormat="1" x14ac:dyDescent="0.2">
      <c r="A25" s="8" t="s">
        <v>41</v>
      </c>
      <c r="B25" s="8">
        <f t="shared" ref="B25:J25" si="62">+B10/B3</f>
        <v>0.30543213415508097</v>
      </c>
      <c r="C25" s="8">
        <f t="shared" si="62"/>
        <v>0.28998681562695161</v>
      </c>
      <c r="D25" s="8">
        <f t="shared" si="62"/>
        <v>0.20437324096124701</v>
      </c>
      <c r="E25" s="8">
        <f t="shared" si="62"/>
        <v>0.19894295041193844</v>
      </c>
      <c r="F25" s="8">
        <f t="shared" si="62"/>
        <v>0.25229533950078548</v>
      </c>
      <c r="G25" s="8">
        <f t="shared" si="62"/>
        <v>0.29350917216163003</v>
      </c>
      <c r="H25" s="8">
        <f t="shared" si="62"/>
        <v>0.40262402624026239</v>
      </c>
      <c r="I25" s="8">
        <f t="shared" si="62"/>
        <v>0.4084665054473835</v>
      </c>
      <c r="J25" s="8">
        <f t="shared" si="62"/>
        <v>0.37904265532848719</v>
      </c>
      <c r="K25" s="8">
        <f>+K10/K3</f>
        <v>0.38000051188861306</v>
      </c>
      <c r="L25" s="8">
        <f>+L10/L3</f>
        <v>0.4274557146024785</v>
      </c>
      <c r="M25" s="8">
        <f>+M10/M3</f>
        <v>0.48289759222899659</v>
      </c>
      <c r="N25" s="8">
        <f>+N10/N3</f>
        <v>0.41487450961856598</v>
      </c>
      <c r="O25" s="8">
        <f>+O10/O3</f>
        <v>0.43019193534809325</v>
      </c>
      <c r="P25" s="8">
        <f t="shared" ref="P25" si="63">+P10/P3</f>
        <v>0.4007454822216151</v>
      </c>
      <c r="Y25" s="8">
        <f t="shared" ref="Y25:AF25" si="64">+Y10/Y3</f>
        <v>0.24822269293107735</v>
      </c>
      <c r="Z25" s="8">
        <f t="shared" si="64"/>
        <v>0.34655784612419477</v>
      </c>
      <c r="AA25" s="8">
        <f>+AA10/AA1</f>
        <v>0.4285859012658666</v>
      </c>
      <c r="AB25" s="8">
        <f t="shared" si="64"/>
        <v>0.49106292140422458</v>
      </c>
      <c r="AC25" s="8">
        <f t="shared" si="64"/>
        <v>0.54370803290788605</v>
      </c>
      <c r="AD25" s="8">
        <f t="shared" si="64"/>
        <v>0.59068000928160491</v>
      </c>
      <c r="AE25" s="8">
        <f t="shared" si="64"/>
        <v>0.63261742814076005</v>
      </c>
      <c r="AF25" s="8">
        <f t="shared" si="64"/>
        <v>0.65573961629486688</v>
      </c>
      <c r="AG25" s="8">
        <f t="shared" ref="AG25" si="65">+AG10/AG3</f>
        <v>0.67724046974553365</v>
      </c>
    </row>
    <row r="26" spans="1:33" s="8" customFormat="1" x14ac:dyDescent="0.2">
      <c r="A26" s="8" t="s">
        <v>45</v>
      </c>
      <c r="B26" s="8">
        <f t="shared" ref="B26:J26" si="66">+B13/B12</f>
        <v>0.1619892231701841</v>
      </c>
      <c r="C26" s="8">
        <f t="shared" si="66"/>
        <v>0.18311751771316884</v>
      </c>
      <c r="D26" s="8">
        <f t="shared" si="66"/>
        <v>0.21180057388809181</v>
      </c>
      <c r="E26" s="8">
        <f t="shared" si="66"/>
        <v>0.24345422019840623</v>
      </c>
      <c r="F26" s="8">
        <f t="shared" si="66"/>
        <v>0.21869440262761736</v>
      </c>
      <c r="G26" s="8">
        <f t="shared" si="66"/>
        <v>0.16194985472936618</v>
      </c>
      <c r="H26" s="8">
        <f t="shared" si="66"/>
        <v>0.1738231098430813</v>
      </c>
      <c r="I26" s="8">
        <f t="shared" si="66"/>
        <v>0.16605188005711566</v>
      </c>
      <c r="J26" s="8">
        <f t="shared" si="66"/>
        <v>0.12789959811041388</v>
      </c>
      <c r="K26" s="8">
        <f>+K13/K12</f>
        <v>0.10863233152389778</v>
      </c>
      <c r="L26" s="8">
        <f>+L13/L12</f>
        <v>0.11973964762652901</v>
      </c>
      <c r="M26" s="8">
        <f>+M13/M12</f>
        <v>0.11527193988027003</v>
      </c>
      <c r="N26" s="8">
        <f>+N13/N12</f>
        <v>9.4549015341094556E-2</v>
      </c>
      <c r="O26" s="8">
        <f>+O13/O12</f>
        <v>0.10699327943897925</v>
      </c>
      <c r="P26" s="8">
        <f t="shared" ref="P26" si="67">+P13/P12</f>
        <v>0.87494806813460735</v>
      </c>
      <c r="Y26" s="8">
        <f t="shared" ref="Y26:AF26" si="68">+Y13/Y12</f>
        <v>0.19501023630243935</v>
      </c>
      <c r="Z26" s="8">
        <f t="shared" si="68"/>
        <v>0.17471855443517942</v>
      </c>
      <c r="AA26" s="8">
        <f t="shared" si="68"/>
        <v>0.11751386844786596</v>
      </c>
      <c r="AB26" s="8">
        <f t="shared" si="68"/>
        <v>0.20000000000000004</v>
      </c>
      <c r="AC26" s="8">
        <f t="shared" si="68"/>
        <v>0.2</v>
      </c>
      <c r="AD26" s="8">
        <f t="shared" si="68"/>
        <v>0.2</v>
      </c>
      <c r="AE26" s="8">
        <f t="shared" si="68"/>
        <v>0.2</v>
      </c>
      <c r="AF26" s="8">
        <f t="shared" si="68"/>
        <v>0.2</v>
      </c>
      <c r="AG26" s="8">
        <f t="shared" ref="AG26" si="69">+AG13/AG12</f>
        <v>0.2</v>
      </c>
    </row>
    <row r="27" spans="1:33" s="7" customFormat="1" ht="15" x14ac:dyDescent="0.25">
      <c r="A27" s="7" t="s">
        <v>46</v>
      </c>
      <c r="B27" s="7">
        <f t="shared" ref="B27:K27" si="70">+B14/B3</f>
        <v>0.26748602551239786</v>
      </c>
      <c r="C27" s="7">
        <f t="shared" si="70"/>
        <v>0.23201026993269031</v>
      </c>
      <c r="D27" s="7">
        <f t="shared" si="70"/>
        <v>0.15858410911452694</v>
      </c>
      <c r="E27" s="7">
        <f t="shared" si="70"/>
        <v>0.1446292554018343</v>
      </c>
      <c r="F27" s="7">
        <f t="shared" si="70"/>
        <v>0.19930179787048349</v>
      </c>
      <c r="G27" s="7">
        <f t="shared" si="70"/>
        <v>0.24338260570642833</v>
      </c>
      <c r="H27" s="7">
        <f t="shared" si="70"/>
        <v>0.33921982076963625</v>
      </c>
      <c r="I27" s="7">
        <f t="shared" si="70"/>
        <v>0.34945526164892421</v>
      </c>
      <c r="J27" s="7">
        <f t="shared" si="70"/>
        <v>0.33929502125908656</v>
      </c>
      <c r="K27" s="7">
        <f t="shared" si="70"/>
        <v>0.34462900872770086</v>
      </c>
      <c r="L27" s="7">
        <f t="shared" ref="L27:M27" si="71">+L14/L3</f>
        <v>0.38650865998176848</v>
      </c>
      <c r="M27" s="7">
        <f t="shared" si="71"/>
        <v>0.43067066239537044</v>
      </c>
      <c r="N27" s="7">
        <f t="shared" ref="N27:O27" si="72">+N14/N3</f>
        <v>0.39334499220116276</v>
      </c>
      <c r="O27" s="7">
        <f t="shared" si="72"/>
        <v>0.38591211381429413</v>
      </c>
      <c r="P27" s="7">
        <f t="shared" ref="P27" si="73">+P14/P3</f>
        <v>5.2866788962179459E-2</v>
      </c>
      <c r="Y27" s="7">
        <f t="shared" ref="Y27:AF27" si="74">+Y14/Y3</f>
        <v>0.19894690804311846</v>
      </c>
      <c r="Z27" s="7">
        <f t="shared" si="74"/>
        <v>0.29170576941609033</v>
      </c>
      <c r="AA27" s="7">
        <f>+AA14/AA1</f>
        <v>0.3852207668339499</v>
      </c>
      <c r="AB27" s="7">
        <f t="shared" si="74"/>
        <v>0.40252223023909633</v>
      </c>
      <c r="AC27" s="7">
        <f t="shared" si="74"/>
        <v>0.45107678186085459</v>
      </c>
      <c r="AD27" s="7">
        <f t="shared" si="74"/>
        <v>0.49499083934128923</v>
      </c>
      <c r="AE27" s="7">
        <f t="shared" si="74"/>
        <v>0.53469945256277163</v>
      </c>
      <c r="AF27" s="7">
        <f t="shared" si="74"/>
        <v>0.56062499469821525</v>
      </c>
      <c r="AG27" s="7">
        <f t="shared" ref="AG27" si="75">+AG14/AG3</f>
        <v>0.5848256814791043</v>
      </c>
    </row>
    <row r="30" spans="1:33" x14ac:dyDescent="0.2">
      <c r="AC30" s="2" t="s">
        <v>9</v>
      </c>
    </row>
    <row r="31" spans="1:33" x14ac:dyDescent="0.2">
      <c r="Y31" s="2" t="s">
        <v>9</v>
      </c>
    </row>
    <row r="33" spans="1:44" s="3" customFormat="1" ht="15" x14ac:dyDescent="0.25">
      <c r="A33" s="3" t="s">
        <v>64</v>
      </c>
      <c r="B33" s="3">
        <f t="shared" ref="B33:K33" si="76">+B36-B46</f>
        <v>0</v>
      </c>
      <c r="C33" s="3">
        <f t="shared" si="76"/>
        <v>0</v>
      </c>
      <c r="D33" s="3">
        <f t="shared" si="76"/>
        <v>0</v>
      </c>
      <c r="E33" s="3">
        <f t="shared" si="76"/>
        <v>0</v>
      </c>
      <c r="F33" s="3">
        <f t="shared" si="76"/>
        <v>0</v>
      </c>
      <c r="G33" s="3">
        <f t="shared" si="76"/>
        <v>0</v>
      </c>
      <c r="H33" s="3">
        <f t="shared" si="76"/>
        <v>0</v>
      </c>
      <c r="I33" s="3">
        <f t="shared" si="76"/>
        <v>0</v>
      </c>
      <c r="J33" s="3">
        <f t="shared" si="76"/>
        <v>0</v>
      </c>
      <c r="K33" s="3">
        <f t="shared" si="76"/>
        <v>0</v>
      </c>
      <c r="M33" s="3">
        <f t="shared" ref="M33:N33" si="77">+M36-M46</f>
        <v>48989</v>
      </c>
      <c r="N33" s="3">
        <f t="shared" si="77"/>
        <v>41401</v>
      </c>
      <c r="O33" s="3">
        <f>+O36-O46</f>
        <v>18239</v>
      </c>
      <c r="P33" s="3">
        <f>+P36-P46</f>
        <v>77432</v>
      </c>
      <c r="X33" s="3" t="s">
        <v>9</v>
      </c>
      <c r="Z33" s="3">
        <f>+Z36-Z46</f>
        <v>18628</v>
      </c>
      <c r="AA33" s="3">
        <f>+Z33+AA14</f>
        <v>80988</v>
      </c>
      <c r="AB33" s="3">
        <f t="shared" ref="AB33:AR33" si="78">+AA33+AB14</f>
        <v>161880.88</v>
      </c>
      <c r="AC33" s="3">
        <f t="shared" si="78"/>
        <v>270661.65456</v>
      </c>
      <c r="AD33" s="3">
        <f t="shared" si="78"/>
        <v>413906.85556063993</v>
      </c>
      <c r="AE33" s="3">
        <f t="shared" si="78"/>
        <v>599590.60839747125</v>
      </c>
      <c r="AF33" s="3">
        <f t="shared" si="78"/>
        <v>823480.48769016296</v>
      </c>
      <c r="AG33" s="3">
        <f t="shared" si="78"/>
        <v>1092068.2876324789</v>
      </c>
      <c r="AH33" s="3">
        <f t="shared" si="78"/>
        <v>1357970.2095753718</v>
      </c>
      <c r="AI33" s="3">
        <f t="shared" si="78"/>
        <v>1621213.1122988358</v>
      </c>
      <c r="AJ33" s="3">
        <f t="shared" si="78"/>
        <v>1881823.585995065</v>
      </c>
      <c r="AK33" s="3">
        <f t="shared" si="78"/>
        <v>2139827.9549543322</v>
      </c>
      <c r="AL33" s="3">
        <f t="shared" si="78"/>
        <v>2395252.2802240066</v>
      </c>
      <c r="AM33" s="3">
        <f t="shared" si="78"/>
        <v>2648122.3622409841</v>
      </c>
      <c r="AN33" s="3">
        <f t="shared" si="78"/>
        <v>2898463.7434377917</v>
      </c>
      <c r="AO33" s="3">
        <f t="shared" si="78"/>
        <v>3146301.7108226316</v>
      </c>
      <c r="AP33" s="3">
        <f t="shared" si="78"/>
        <v>3391661.2985336231</v>
      </c>
      <c r="AQ33" s="3">
        <f t="shared" si="78"/>
        <v>3634567.2903675046</v>
      </c>
      <c r="AR33" s="3">
        <f t="shared" si="78"/>
        <v>3875044.2222830472</v>
      </c>
    </row>
    <row r="36" spans="1:44" x14ac:dyDescent="0.2">
      <c r="A36" s="2" t="s">
        <v>48</v>
      </c>
      <c r="L36" s="2">
        <f>43852+27048</f>
        <v>70900</v>
      </c>
      <c r="M36" s="2">
        <f>43889+33926</f>
        <v>77815</v>
      </c>
      <c r="N36" s="2">
        <f>28750+41480</f>
        <v>70230</v>
      </c>
      <c r="O36" s="2">
        <f>12005+35066</f>
        <v>47071</v>
      </c>
      <c r="P36" s="2">
        <f>73118+10187+25074</f>
        <v>108379</v>
      </c>
      <c r="Z36" s="2">
        <v>41862</v>
      </c>
    </row>
    <row r="37" spans="1:44" ht="15" x14ac:dyDescent="0.25">
      <c r="A37" s="2" t="s">
        <v>50</v>
      </c>
      <c r="B37" s="3"/>
      <c r="C37" s="3"/>
      <c r="D37" s="3"/>
      <c r="E37" s="3"/>
      <c r="F37" s="3"/>
      <c r="G37" s="3"/>
      <c r="H37" s="3"/>
      <c r="I37" s="3"/>
      <c r="J37" s="3"/>
      <c r="K37" s="3"/>
      <c r="L37" s="2">
        <v>14700</v>
      </c>
      <c r="M37" s="2">
        <v>16994</v>
      </c>
      <c r="N37" s="2">
        <v>14514</v>
      </c>
      <c r="O37" s="2">
        <v>16561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2">
        <v>16169</v>
      </c>
    </row>
    <row r="38" spans="1:44" x14ac:dyDescent="0.2">
      <c r="A38" s="2" t="s">
        <v>51</v>
      </c>
      <c r="L38" s="2">
        <v>5467</v>
      </c>
      <c r="M38" s="2">
        <v>5236</v>
      </c>
      <c r="N38" s="2">
        <v>5483</v>
      </c>
      <c r="O38" s="2">
        <v>9981</v>
      </c>
      <c r="Z38" s="2">
        <v>3793</v>
      </c>
    </row>
    <row r="39" spans="1:44" x14ac:dyDescent="0.2">
      <c r="A39" s="2" t="s">
        <v>52</v>
      </c>
      <c r="L39" s="2">
        <v>6071</v>
      </c>
      <c r="M39" s="2">
        <v>6070</v>
      </c>
      <c r="N39" s="2">
        <v>6168</v>
      </c>
      <c r="O39" s="2">
        <v>21988</v>
      </c>
      <c r="Z39" s="2">
        <v>6141</v>
      </c>
    </row>
    <row r="40" spans="1:44" x14ac:dyDescent="0.2">
      <c r="A40" s="2" t="s">
        <v>53</v>
      </c>
      <c r="L40" s="2">
        <v>112162</v>
      </c>
      <c r="M40" s="2">
        <v>121346</v>
      </c>
      <c r="N40" s="2">
        <v>133567</v>
      </c>
      <c r="O40" s="2">
        <v>147039</v>
      </c>
      <c r="Z40" s="2">
        <v>96587</v>
      </c>
    </row>
    <row r="41" spans="1:44" x14ac:dyDescent="0.2">
      <c r="A41" s="2" t="s">
        <v>54</v>
      </c>
      <c r="L41" s="2">
        <v>14812</v>
      </c>
      <c r="M41" s="2">
        <v>14922</v>
      </c>
      <c r="N41" s="2">
        <v>15505</v>
      </c>
      <c r="O41" s="2">
        <v>15662</v>
      </c>
      <c r="Z41" s="2">
        <v>13294</v>
      </c>
    </row>
    <row r="42" spans="1:44" x14ac:dyDescent="0.2">
      <c r="A42" s="2" t="s">
        <v>55</v>
      </c>
      <c r="L42" s="2">
        <v>20654</v>
      </c>
      <c r="M42" s="2">
        <v>20654</v>
      </c>
      <c r="N42" s="2">
        <v>20654</v>
      </c>
      <c r="O42" s="2">
        <v>20654</v>
      </c>
      <c r="Z42" s="2">
        <f>788+20654</f>
        <v>21442</v>
      </c>
    </row>
    <row r="43" spans="1:44" x14ac:dyDescent="0.2">
      <c r="A43" s="2" t="s">
        <v>56</v>
      </c>
      <c r="L43" s="2">
        <v>11642</v>
      </c>
      <c r="M43" s="2">
        <v>13017</v>
      </c>
      <c r="N43" s="2">
        <v>14092</v>
      </c>
      <c r="O43" s="2">
        <v>15788</v>
      </c>
      <c r="Z43" s="2">
        <v>6794</v>
      </c>
    </row>
    <row r="44" spans="1:44" s="3" customFormat="1" ht="15" x14ac:dyDescent="0.25">
      <c r="A44" s="3" t="s">
        <v>49</v>
      </c>
      <c r="L44" s="3">
        <f>+SUM(L36:L43)</f>
        <v>256408</v>
      </c>
      <c r="M44" s="3">
        <f>+SUM(M36:M43)</f>
        <v>276054</v>
      </c>
      <c r="N44" s="3">
        <f>+SUM(N36:N43)</f>
        <v>280213</v>
      </c>
      <c r="O44" s="3">
        <f>+SUM(O36:O43)</f>
        <v>294744</v>
      </c>
      <c r="Y44" s="3" t="s">
        <v>9</v>
      </c>
      <c r="Z44" s="3">
        <f>SUM(Z36:Z43)</f>
        <v>206082</v>
      </c>
    </row>
    <row r="46" spans="1:44" ht="15" x14ac:dyDescent="0.25">
      <c r="A46" s="2" t="s">
        <v>5</v>
      </c>
      <c r="B46" s="3"/>
      <c r="C46" s="3"/>
      <c r="D46" s="3"/>
      <c r="E46" s="3"/>
      <c r="F46" s="3"/>
      <c r="G46" s="3"/>
      <c r="H46" s="3"/>
      <c r="I46" s="3"/>
      <c r="J46" s="3"/>
      <c r="K46" s="3"/>
      <c r="L46" s="2">
        <v>28823</v>
      </c>
      <c r="M46" s="2">
        <v>28826</v>
      </c>
      <c r="N46" s="2">
        <v>28829</v>
      </c>
      <c r="O46" s="2">
        <v>28832</v>
      </c>
      <c r="P46" s="3">
        <f>2113+28834</f>
        <v>30947</v>
      </c>
      <c r="Q46" s="3"/>
      <c r="R46" s="3"/>
      <c r="S46" s="3"/>
      <c r="T46" s="3"/>
      <c r="U46" s="3"/>
      <c r="V46" s="3"/>
      <c r="W46" s="3"/>
      <c r="X46" s="3"/>
      <c r="Y46" s="3"/>
      <c r="Z46" s="2">
        <f>4849+18385</f>
        <v>23234</v>
      </c>
    </row>
    <row r="47" spans="1:44" x14ac:dyDescent="0.2">
      <c r="A47" s="2" t="s">
        <v>57</v>
      </c>
      <c r="L47" s="2">
        <v>7656</v>
      </c>
      <c r="M47" s="2">
        <v>7687</v>
      </c>
      <c r="N47" s="2">
        <v>8512</v>
      </c>
      <c r="O47" s="2">
        <v>10271</v>
      </c>
      <c r="Z47" s="2">
        <v>863</v>
      </c>
    </row>
    <row r="48" spans="1:44" s="3" customFormat="1" ht="15" x14ac:dyDescent="0.25">
      <c r="A48" s="2" t="s">
        <v>58</v>
      </c>
      <c r="L48" s="2">
        <v>2016</v>
      </c>
      <c r="M48" s="2">
        <v>1942</v>
      </c>
      <c r="N48" s="2">
        <v>1976</v>
      </c>
      <c r="O48" s="2">
        <v>1977</v>
      </c>
      <c r="Z48" s="2">
        <v>24625</v>
      </c>
    </row>
    <row r="49" spans="1:26" x14ac:dyDescent="0.2">
      <c r="A49" s="2" t="s">
        <v>59</v>
      </c>
      <c r="L49" s="2">
        <v>23658</v>
      </c>
      <c r="M49" s="2">
        <v>23967</v>
      </c>
      <c r="N49" s="2">
        <v>23402</v>
      </c>
      <c r="O49" s="2">
        <v>25057</v>
      </c>
      <c r="Z49" s="2">
        <v>17226</v>
      </c>
    </row>
    <row r="50" spans="1:26" x14ac:dyDescent="0.2">
      <c r="A50" s="2" t="s">
        <v>60</v>
      </c>
      <c r="L50" s="2">
        <v>18208</v>
      </c>
      <c r="M50" s="2">
        <v>18292</v>
      </c>
      <c r="N50" s="2">
        <v>18714</v>
      </c>
      <c r="O50" s="2">
        <v>18751</v>
      </c>
      <c r="Z50" s="2">
        <v>884</v>
      </c>
    </row>
    <row r="51" spans="1:26" x14ac:dyDescent="0.2">
      <c r="A51" s="2" t="s">
        <v>27</v>
      </c>
      <c r="L51" s="2">
        <v>9171</v>
      </c>
      <c r="M51" s="2">
        <v>9987</v>
      </c>
      <c r="N51" s="2">
        <v>10991</v>
      </c>
      <c r="O51" s="2">
        <v>12046</v>
      </c>
    </row>
    <row r="52" spans="1:26" x14ac:dyDescent="0.2">
      <c r="A52" s="2" t="s">
        <v>56</v>
      </c>
      <c r="L52" s="2">
        <v>2347</v>
      </c>
      <c r="M52" s="2">
        <v>2716</v>
      </c>
      <c r="N52" s="2">
        <v>2760</v>
      </c>
      <c r="O52" s="2">
        <v>2740</v>
      </c>
      <c r="Z52" s="2">
        <v>8884</v>
      </c>
    </row>
    <row r="53" spans="1:26" s="3" customFormat="1" ht="15" x14ac:dyDescent="0.25">
      <c r="A53" s="3" t="s">
        <v>61</v>
      </c>
      <c r="L53" s="3">
        <f>+SUM(L46:L52)</f>
        <v>91879</v>
      </c>
      <c r="M53" s="3">
        <f>+SUM(M46:M52)</f>
        <v>93417</v>
      </c>
      <c r="N53" s="3">
        <f>+SUM(N46:N52)</f>
        <v>95184</v>
      </c>
      <c r="O53" s="3">
        <f>+SUM(O46:O52)</f>
        <v>99674</v>
      </c>
      <c r="Z53" s="3">
        <f>SUM(Z46:Z52)</f>
        <v>75716</v>
      </c>
    </row>
    <row r="55" spans="1:26" s="3" customFormat="1" ht="15" x14ac:dyDescent="0.25">
      <c r="A55" s="3" t="s">
        <v>62</v>
      </c>
      <c r="L55" s="3">
        <f>+L44-L53</f>
        <v>164529</v>
      </c>
      <c r="M55" s="3">
        <f>+M44-M53</f>
        <v>182637</v>
      </c>
      <c r="N55" s="3">
        <f>+N44-N53</f>
        <v>185029</v>
      </c>
      <c r="O55" s="3">
        <f>+O44-O53</f>
        <v>195070</v>
      </c>
      <c r="Z55" s="3">
        <f>+Z44-Z53</f>
        <v>130366</v>
      </c>
    </row>
    <row r="56" spans="1:26" s="3" customFormat="1" ht="15" x14ac:dyDescent="0.25">
      <c r="A56" s="3" t="s">
        <v>63</v>
      </c>
      <c r="L56" s="3">
        <f>+L53+L55</f>
        <v>256408</v>
      </c>
      <c r="M56" s="3">
        <f>+M53+M55</f>
        <v>276054</v>
      </c>
      <c r="N56" s="3">
        <f>+N53+N55</f>
        <v>280213</v>
      </c>
      <c r="O56" s="3">
        <f>+O53+O55</f>
        <v>294744</v>
      </c>
      <c r="Z56" s="3">
        <f>+Z53+Z55</f>
        <v>206082</v>
      </c>
    </row>
    <row r="59" spans="1:26" x14ac:dyDescent="0.2">
      <c r="A59" s="2" t="s">
        <v>65</v>
      </c>
      <c r="L59" s="5">
        <f>+L14/L44</f>
        <v>6.1183738416898066E-2</v>
      </c>
      <c r="M59" s="5">
        <f>+M14/M44</f>
        <v>7.5485231150427087E-2</v>
      </c>
      <c r="N59" s="5">
        <f>+N14/N44</f>
        <v>5.9397672484859734E-2</v>
      </c>
      <c r="O59" s="5">
        <f>+O14/O44</f>
        <v>6.2213310533887033E-2</v>
      </c>
      <c r="P59" s="5" t="s">
        <v>9</v>
      </c>
      <c r="Z59" s="8">
        <f>+Z14/Z44</f>
        <v>0.19095020428761367</v>
      </c>
    </row>
    <row r="60" spans="1:26" x14ac:dyDescent="0.2">
      <c r="A60" s="2" t="s">
        <v>66</v>
      </c>
      <c r="L60" s="5">
        <f>+L14/L55</f>
        <v>9.5350971561244516E-2</v>
      </c>
      <c r="M60" s="5">
        <f>+M14/M55</f>
        <v>0.11409517239113652</v>
      </c>
      <c r="N60" s="5">
        <f>+N14/N55</f>
        <v>8.9953466753860206E-2</v>
      </c>
      <c r="O60" s="5">
        <f>+O14/O55</f>
        <v>9.4002153073255754E-2</v>
      </c>
      <c r="P60" s="5" t="s">
        <v>9</v>
      </c>
      <c r="Z60" s="8">
        <f>+Z14/(Z44-Z53)</f>
        <v>0.30185324394397312</v>
      </c>
    </row>
    <row r="62" spans="1:26" x14ac:dyDescent="0.2">
      <c r="A62" s="2" t="s">
        <v>74</v>
      </c>
      <c r="B62" s="2">
        <f t="shared" ref="B62:N62" si="79">+B14</f>
        <v>7465</v>
      </c>
      <c r="C62" s="2">
        <f t="shared" si="79"/>
        <v>6687</v>
      </c>
      <c r="D62" s="2">
        <f t="shared" si="79"/>
        <v>4395</v>
      </c>
      <c r="E62" s="2">
        <f t="shared" si="79"/>
        <v>4652</v>
      </c>
      <c r="F62" s="2">
        <f t="shared" si="79"/>
        <v>5709</v>
      </c>
      <c r="G62" s="2">
        <f t="shared" si="79"/>
        <v>7788</v>
      </c>
      <c r="H62" s="2">
        <f t="shared" si="79"/>
        <v>11583</v>
      </c>
      <c r="I62" s="2">
        <f t="shared" si="79"/>
        <v>14017</v>
      </c>
      <c r="J62" s="2">
        <f t="shared" si="79"/>
        <v>12369</v>
      </c>
      <c r="K62" s="2">
        <f t="shared" si="79"/>
        <v>13465</v>
      </c>
      <c r="L62" s="2">
        <f t="shared" si="79"/>
        <v>15688</v>
      </c>
      <c r="M62" s="2">
        <f t="shared" si="79"/>
        <v>20838</v>
      </c>
      <c r="N62" s="2">
        <f t="shared" si="79"/>
        <v>16644</v>
      </c>
      <c r="O62" s="2">
        <f>+O14</f>
        <v>18337</v>
      </c>
    </row>
    <row r="63" spans="1:26" x14ac:dyDescent="0.2">
      <c r="A63" s="2" t="s">
        <v>73</v>
      </c>
      <c r="L63" s="2">
        <v>15688</v>
      </c>
      <c r="N63" s="2">
        <v>16644</v>
      </c>
      <c r="O63" s="2">
        <v>18337</v>
      </c>
    </row>
    <row r="64" spans="1:26" x14ac:dyDescent="0.2">
      <c r="A64" s="2" t="s">
        <v>75</v>
      </c>
      <c r="N64" s="2">
        <v>3900</v>
      </c>
      <c r="O64" s="2">
        <v>4342</v>
      </c>
    </row>
    <row r="65" spans="1:16" x14ac:dyDescent="0.2">
      <c r="A65" s="2" t="s">
        <v>76</v>
      </c>
      <c r="N65" s="2">
        <v>4147</v>
      </c>
      <c r="O65" s="2">
        <v>4834</v>
      </c>
    </row>
    <row r="66" spans="1:16" x14ac:dyDescent="0.2">
      <c r="A66" s="2" t="s">
        <v>77</v>
      </c>
      <c r="N66" s="2">
        <v>-993</v>
      </c>
      <c r="O66" s="2">
        <v>-1170</v>
      </c>
    </row>
    <row r="67" spans="1:16" x14ac:dyDescent="0.2">
      <c r="A67" s="2" t="s">
        <v>78</v>
      </c>
      <c r="N67" s="2">
        <v>-231</v>
      </c>
      <c r="O67" s="2">
        <v>511</v>
      </c>
    </row>
    <row r="68" spans="1:16" x14ac:dyDescent="0.2">
      <c r="A68" s="2" t="s">
        <v>56</v>
      </c>
      <c r="N68" s="2">
        <v>2804</v>
      </c>
      <c r="O68" s="2">
        <v>-336</v>
      </c>
    </row>
    <row r="69" spans="1:16" x14ac:dyDescent="0.2">
      <c r="A69" s="2" t="s">
        <v>79</v>
      </c>
      <c r="N69" s="2">
        <v>360</v>
      </c>
      <c r="O69" s="2">
        <v>-1338</v>
      </c>
    </row>
    <row r="70" spans="1:16" x14ac:dyDescent="0.2">
      <c r="A70" s="2" t="s">
        <v>80</v>
      </c>
      <c r="N70" s="2">
        <v>0</v>
      </c>
      <c r="O70" s="2">
        <v>326</v>
      </c>
    </row>
    <row r="71" spans="1:16" x14ac:dyDescent="0.2">
      <c r="A71" s="2" t="s">
        <v>49</v>
      </c>
      <c r="N71" s="2">
        <v>-52</v>
      </c>
      <c r="O71" s="2">
        <v>-190</v>
      </c>
    </row>
    <row r="72" spans="1:16" x14ac:dyDescent="0.2">
      <c r="A72" s="2" t="s">
        <v>81</v>
      </c>
      <c r="N72" s="2">
        <v>-1034</v>
      </c>
      <c r="O72" s="2">
        <v>460</v>
      </c>
    </row>
    <row r="73" spans="1:16" x14ac:dyDescent="0.2">
      <c r="A73" s="2" t="s">
        <v>72</v>
      </c>
      <c r="N73" s="2">
        <v>-2231</v>
      </c>
      <c r="O73" s="2">
        <v>-1107</v>
      </c>
    </row>
    <row r="74" spans="1:16" x14ac:dyDescent="0.2">
      <c r="A74" s="2" t="s">
        <v>56</v>
      </c>
      <c r="N74" s="2">
        <v>712</v>
      </c>
      <c r="O74" s="2">
        <v>892</v>
      </c>
    </row>
    <row r="75" spans="1:16" s="3" customFormat="1" ht="15" x14ac:dyDescent="0.25">
      <c r="A75" s="3" t="s">
        <v>82</v>
      </c>
      <c r="L75" s="3">
        <v>24724</v>
      </c>
      <c r="M75" s="3">
        <v>27988</v>
      </c>
      <c r="N75" s="3">
        <f>+SUM(N63:N74)</f>
        <v>24026</v>
      </c>
      <c r="O75" s="3">
        <f>+SUM(O63:O74)</f>
        <v>25561</v>
      </c>
      <c r="P75" s="3">
        <v>29999</v>
      </c>
    </row>
    <row r="77" spans="1:16" x14ac:dyDescent="0.2">
      <c r="A77" s="2" t="s">
        <v>83</v>
      </c>
      <c r="N77" s="2">
        <v>-12941</v>
      </c>
      <c r="O77" s="2">
        <v>-16538</v>
      </c>
    </row>
    <row r="78" spans="1:16" x14ac:dyDescent="0.2">
      <c r="A78" s="2" t="s">
        <v>84</v>
      </c>
      <c r="N78" s="2">
        <v>-11763</v>
      </c>
      <c r="O78" s="2">
        <v>-7746</v>
      </c>
    </row>
    <row r="79" spans="1:16" x14ac:dyDescent="0.2">
      <c r="A79" s="2" t="s">
        <v>85</v>
      </c>
      <c r="N79" s="2">
        <v>4784</v>
      </c>
      <c r="O79" s="2">
        <v>14273</v>
      </c>
    </row>
    <row r="80" spans="1:16" x14ac:dyDescent="0.2">
      <c r="A80" s="2" t="s">
        <v>86</v>
      </c>
      <c r="N80" s="2">
        <v>-90</v>
      </c>
      <c r="O80" s="2">
        <v>-15114</v>
      </c>
    </row>
    <row r="81" spans="1:16" x14ac:dyDescent="0.2">
      <c r="A81" s="2" t="s">
        <v>87</v>
      </c>
      <c r="N81" s="2" t="s">
        <v>9</v>
      </c>
      <c r="O81" s="2">
        <v>-775</v>
      </c>
    </row>
    <row r="82" spans="1:16" x14ac:dyDescent="0.2">
      <c r="A82" s="2" t="s">
        <v>88</v>
      </c>
      <c r="N82" s="2" t="s">
        <v>95</v>
      </c>
      <c r="O82" s="2">
        <v>-61</v>
      </c>
    </row>
    <row r="83" spans="1:16" x14ac:dyDescent="0.2">
      <c r="A83" s="2" t="s">
        <v>56</v>
      </c>
      <c r="N83" s="2" t="s">
        <v>9</v>
      </c>
      <c r="O83" s="2">
        <v>3</v>
      </c>
    </row>
    <row r="84" spans="1:16" s="3" customFormat="1" ht="15" x14ac:dyDescent="0.25">
      <c r="A84" s="3" t="s">
        <v>89</v>
      </c>
      <c r="L84" s="3">
        <v>-8620</v>
      </c>
      <c r="M84" s="3">
        <v>-21498</v>
      </c>
      <c r="N84" s="3">
        <f>+SUM(N77:N80)</f>
        <v>-20010</v>
      </c>
      <c r="O84" s="3">
        <f>+SUM(O77:O83)</f>
        <v>-25958</v>
      </c>
      <c r="P84" s="3">
        <v>-21848</v>
      </c>
    </row>
    <row r="85" spans="1:16" x14ac:dyDescent="0.2">
      <c r="N85" s="2" t="s">
        <v>9</v>
      </c>
    </row>
    <row r="86" spans="1:16" x14ac:dyDescent="0.2">
      <c r="A86" s="2" t="s">
        <v>27</v>
      </c>
      <c r="N86" s="2">
        <v>-4883</v>
      </c>
      <c r="O86" s="2">
        <v>-4110</v>
      </c>
    </row>
    <row r="87" spans="1:16" x14ac:dyDescent="0.2">
      <c r="A87" s="2" t="s">
        <v>90</v>
      </c>
      <c r="N87" s="2">
        <v>-12754</v>
      </c>
      <c r="O87" s="2">
        <v>-10167</v>
      </c>
    </row>
    <row r="88" spans="1:16" x14ac:dyDescent="0.2">
      <c r="A88" s="2" t="s">
        <v>91</v>
      </c>
      <c r="N88" s="2">
        <v>-1329</v>
      </c>
      <c r="O88" s="2">
        <v>-1327</v>
      </c>
    </row>
    <row r="89" spans="1:16" x14ac:dyDescent="0.2">
      <c r="A89" s="2" t="s">
        <v>92</v>
      </c>
      <c r="N89" s="2">
        <v>-751</v>
      </c>
      <c r="O89" s="2">
        <v>-474</v>
      </c>
    </row>
    <row r="90" spans="1:16" x14ac:dyDescent="0.2">
      <c r="A90" s="2" t="s">
        <v>56</v>
      </c>
      <c r="N90" s="2">
        <v>222</v>
      </c>
      <c r="O90" s="2">
        <v>101</v>
      </c>
    </row>
    <row r="91" spans="1:16" s="3" customFormat="1" ht="15" x14ac:dyDescent="0.25">
      <c r="A91" s="3" t="s">
        <v>93</v>
      </c>
      <c r="L91" s="3">
        <v>-4371</v>
      </c>
      <c r="M91" s="3">
        <v>-5465</v>
      </c>
      <c r="N91" s="3">
        <f>+SUM(N86:N90)</f>
        <v>-19495</v>
      </c>
      <c r="O91" s="3">
        <f>+SUM(O86:O90)</f>
        <v>-15977</v>
      </c>
      <c r="P91" s="3">
        <v>-10047</v>
      </c>
    </row>
    <row r="93" spans="1:16" s="3" customFormat="1" ht="15" x14ac:dyDescent="0.25">
      <c r="A93" s="3" t="s">
        <v>94</v>
      </c>
      <c r="L93" s="3">
        <f>+L91+L84+L75</f>
        <v>11733</v>
      </c>
      <c r="M93" s="3">
        <f>+M91+M84+M75</f>
        <v>1025</v>
      </c>
      <c r="N93" s="3">
        <f>+N91+N84+N75</f>
        <v>-15479</v>
      </c>
      <c r="O93" s="3">
        <f>+O91+O84+O75</f>
        <v>-16374</v>
      </c>
      <c r="P93" s="3">
        <f>+P91+P84+P75</f>
        <v>-1896</v>
      </c>
    </row>
    <row r="94" spans="1:16" x14ac:dyDescent="0.2">
      <c r="A94" s="2" t="s">
        <v>103</v>
      </c>
      <c r="L94" s="2">
        <v>8258</v>
      </c>
      <c r="M94" s="2">
        <v>14425</v>
      </c>
      <c r="N94" s="2">
        <v>12941</v>
      </c>
      <c r="O94" s="2">
        <v>16538</v>
      </c>
      <c r="P94" s="2">
        <v>18829</v>
      </c>
    </row>
    <row r="95" spans="1:16" ht="15" x14ac:dyDescent="0.25">
      <c r="A95" s="3" t="s">
        <v>102</v>
      </c>
      <c r="L95" s="2">
        <f t="shared" ref="L95:N95" si="80">+L75-L94</f>
        <v>16466</v>
      </c>
      <c r="M95" s="2">
        <f t="shared" si="80"/>
        <v>13563</v>
      </c>
      <c r="N95" s="2">
        <f t="shared" si="80"/>
        <v>11085</v>
      </c>
      <c r="O95" s="2">
        <f>+O75-O94</f>
        <v>9023</v>
      </c>
      <c r="P95" s="2">
        <f>+P75-P94</f>
        <v>11170</v>
      </c>
    </row>
  </sheetData>
  <pageMargins left="0.7" right="0.7" top="0.75" bottom="0.75" header="0.3" footer="0.3"/>
  <pageSetup paperSize="9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de0fd296-9832-4e10-a7ad-2bcee574d3b0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78CBFEB144F63F4E9EB43CF067A3FDD2" ma:contentTypeVersion="9" ma:contentTypeDescription="Criar um novo documento." ma:contentTypeScope="" ma:versionID="f59182e7d3e0cf5298e8ad942a121699">
  <xsd:schema xmlns:xsd="http://www.w3.org/2001/XMLSchema" xmlns:xs="http://www.w3.org/2001/XMLSchema" xmlns:p="http://schemas.microsoft.com/office/2006/metadata/properties" xmlns:ns3="de0fd296-9832-4e10-a7ad-2bcee574d3b0" xmlns:ns4="02570eab-4ecf-4bb5-b806-a666b23f79b6" targetNamespace="http://schemas.microsoft.com/office/2006/metadata/properties" ma:root="true" ma:fieldsID="f61c57c9eb7d1a1f1952f23e1a76f510" ns3:_="" ns4:_="">
    <xsd:import namespace="de0fd296-9832-4e10-a7ad-2bcee574d3b0"/>
    <xsd:import namespace="02570eab-4ecf-4bb5-b806-a666b23f79b6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ObjectDetectorVersions" minOccurs="0"/>
                <xsd:element ref="ns3:_activity" minOccurs="0"/>
                <xsd:element ref="ns3:MediaServiceSearchProperties" minOccurs="0"/>
                <xsd:element ref="ns3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e0fd296-9832-4e10-a7ad-2bcee574d3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4" nillable="true" ma:displayName="_activity" ma:hidden="true" ma:internalName="_activity">
      <xsd:simpleType>
        <xsd:restriction base="dms:Note"/>
      </xsd:simpleType>
    </xsd:element>
    <xsd:element name="MediaServiceSearchProperties" ma:index="1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2570eab-4ecf-4bb5-b806-a666b23f79b6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Partilhado Com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2" nillable="true" ma:displayName="Hash de Sugestão de Partilha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4E1E6AC-BE1F-4454-ACC0-808E93021859}">
  <ds:schemaRefs>
    <ds:schemaRef ds:uri="http://schemas.microsoft.com/office/2006/documentManagement/types"/>
    <ds:schemaRef ds:uri="02570eab-4ecf-4bb5-b806-a666b23f79b6"/>
    <ds:schemaRef ds:uri="http://schemas.microsoft.com/office/infopath/2007/PartnerControls"/>
    <ds:schemaRef ds:uri="http://www.w3.org/XML/1998/namespace"/>
    <ds:schemaRef ds:uri="http://purl.org/dc/dcmitype/"/>
    <ds:schemaRef ds:uri="http://schemas.microsoft.com/office/2006/metadata/properties"/>
    <ds:schemaRef ds:uri="http://schemas.openxmlformats.org/package/2006/metadata/core-properties"/>
    <ds:schemaRef ds:uri="de0fd296-9832-4e10-a7ad-2bcee574d3b0"/>
    <ds:schemaRef ds:uri="http://purl.org/dc/terms/"/>
    <ds:schemaRef ds:uri="http://purl.org/dc/elements/1.1/"/>
  </ds:schemaRefs>
</ds:datastoreItem>
</file>

<file path=customXml/itemProps2.xml><?xml version="1.0" encoding="utf-8"?>
<ds:datastoreItem xmlns:ds="http://schemas.openxmlformats.org/officeDocument/2006/customXml" ds:itemID="{B3CAFD1E-70C1-468B-BCA7-27CB3B3A9D7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0302561-F91D-4714-9836-447F718E17F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e0fd296-9832-4e10-a7ad-2bcee574d3b0"/>
    <ds:schemaRef ds:uri="02570eab-4ecf-4bb5-b806-a666b23f79b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2</vt:i4>
      </vt:variant>
    </vt:vector>
  </HeadingPairs>
  <TitlesOfParts>
    <vt:vector size="2" baseType="lpstr">
      <vt:lpstr>main</vt:lpstr>
      <vt:lpstr>model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Simão Clemente</dc:creator>
  <cp:lastModifiedBy>Simão Clemente</cp:lastModifiedBy>
  <dcterms:created xsi:type="dcterms:W3CDTF">2024-09-19T10:36:20Z</dcterms:created>
  <dcterms:modified xsi:type="dcterms:W3CDTF">2026-07-02T21:12:18Z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0x01010078CBFEB144F63F4E9EB43CF067A3FDD2</vt:lpwstr>
  </property>
</Properties>
</file>