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academiafaedupt-my.sharepoint.com/personal/sbclemente_academiafa_edu_pt/Documents/Gigs/WorkingFolder/Finance_Shared/Screens/"/>
    </mc:Choice>
  </mc:AlternateContent>
  <xr:revisionPtr revIDLastSave="2064" documentId="8_{DACE1CD8-BFAD-45DC-B788-5EF46346D019}" xr6:coauthVersionLast="47" xr6:coauthVersionMax="47" xr10:uidLastSave="{606806C9-284C-4643-B66C-7F3938D9D5BC}"/>
  <bookViews>
    <workbookView xWindow="-120" yWindow="-120" windowWidth="29040" windowHeight="15720" xr2:uid="{AFB8188F-5378-4836-AC5C-A12794E7FF25}"/>
  </bookViews>
  <sheets>
    <sheet name="main" sheetId="3" r:id="rId1"/>
    <sheet name="screen" sheetId="2" r:id="rId2"/>
    <sheet name="databas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3" l="1" a="1"/>
  <c r="G15" i="3" s="1"/>
  <c r="H16" i="2" a="1"/>
  <c r="H16" i="2" s="1"/>
  <c r="I16" i="2" s="1"/>
  <c r="F16" i="2" a="1"/>
  <c r="F16" i="2" s="1"/>
  <c r="F13" i="2" a="1"/>
  <c r="F13" i="2" s="1"/>
  <c r="H13" i="2" a="1"/>
  <c r="H13" i="2" s="1"/>
  <c r="I13" i="2" s="1"/>
  <c r="G212" i="3" a="1"/>
  <c r="G212" i="3" s="1"/>
  <c r="G211" i="3" a="1"/>
  <c r="G211" i="3" s="1"/>
  <c r="G210" i="3" a="1"/>
  <c r="G210" i="3" s="1"/>
  <c r="G209" i="3" a="1"/>
  <c r="G209" i="3" s="1"/>
  <c r="G208" i="3" a="1"/>
  <c r="G208" i="3" s="1"/>
  <c r="G207" i="3" a="1"/>
  <c r="G207" i="3" s="1"/>
  <c r="G206" i="3" a="1"/>
  <c r="G206" i="3" s="1"/>
  <c r="G205" i="3" a="1"/>
  <c r="G205" i="3" s="1"/>
  <c r="G204" i="3" a="1"/>
  <c r="G204" i="3" s="1"/>
  <c r="G203" i="3" a="1"/>
  <c r="G203" i="3" s="1"/>
  <c r="G202" i="3" a="1"/>
  <c r="G202" i="3" s="1"/>
  <c r="G201" i="3" a="1"/>
  <c r="G201" i="3" s="1"/>
  <c r="G200" i="3" a="1"/>
  <c r="G200" i="3" s="1"/>
  <c r="G199" i="3" a="1"/>
  <c r="G199" i="3" s="1"/>
  <c r="G198" i="3" a="1"/>
  <c r="G198" i="3" s="1"/>
  <c r="G197" i="3" a="1"/>
  <c r="G197" i="3" s="1"/>
  <c r="G196" i="3" a="1"/>
  <c r="G196" i="3" s="1"/>
  <c r="G195" i="3" a="1"/>
  <c r="G195" i="3" s="1"/>
  <c r="G194" i="3" a="1"/>
  <c r="G194" i="3" s="1"/>
  <c r="G193" i="3" a="1"/>
  <c r="G193" i="3" s="1"/>
  <c r="G192" i="3" a="1"/>
  <c r="G192" i="3" s="1"/>
  <c r="G191" i="3" a="1"/>
  <c r="G191" i="3" s="1"/>
  <c r="G190" i="3" a="1"/>
  <c r="G190" i="3" s="1"/>
  <c r="G189" i="3" a="1"/>
  <c r="G189" i="3" s="1"/>
  <c r="G188" i="3" a="1"/>
  <c r="G188" i="3" s="1"/>
  <c r="G187" i="3" a="1"/>
  <c r="G187" i="3" s="1"/>
  <c r="G186" i="3" a="1"/>
  <c r="G186" i="3" s="1"/>
  <c r="G185" i="3" a="1"/>
  <c r="G185" i="3" s="1"/>
  <c r="G184" i="3" a="1"/>
  <c r="G184" i="3" s="1"/>
  <c r="G183" i="3" a="1"/>
  <c r="G183" i="3" s="1"/>
  <c r="G182" i="3" a="1"/>
  <c r="G182" i="3" s="1"/>
  <c r="G181" i="3" a="1"/>
  <c r="G181" i="3" s="1"/>
  <c r="G180" i="3" a="1"/>
  <c r="G180" i="3" s="1"/>
  <c r="G179" i="3" a="1"/>
  <c r="G179" i="3" s="1"/>
  <c r="G178" i="3" a="1"/>
  <c r="G178" i="3" s="1"/>
  <c r="G177" i="3" a="1"/>
  <c r="G177" i="3" s="1"/>
  <c r="G176" i="3" a="1"/>
  <c r="G176" i="3" s="1"/>
  <c r="G175" i="3" a="1"/>
  <c r="G175" i="3" s="1"/>
  <c r="G174" i="3" a="1"/>
  <c r="G174" i="3" s="1"/>
  <c r="G173" i="3" a="1"/>
  <c r="G173" i="3" s="1"/>
  <c r="G172" i="3" a="1"/>
  <c r="G172" i="3" s="1"/>
  <c r="G171" i="3" a="1"/>
  <c r="G171" i="3" s="1"/>
  <c r="G170" i="3" a="1"/>
  <c r="G170" i="3" s="1"/>
  <c r="G169" i="3" a="1"/>
  <c r="G169" i="3" s="1"/>
  <c r="G168" i="3" a="1"/>
  <c r="G168" i="3" s="1"/>
  <c r="G167" i="3" a="1"/>
  <c r="G167" i="3" s="1"/>
  <c r="G166" i="3" a="1"/>
  <c r="G166" i="3" s="1"/>
  <c r="G165" i="3" a="1"/>
  <c r="G165" i="3" s="1"/>
  <c r="G164" i="3" a="1"/>
  <c r="G164" i="3" s="1"/>
  <c r="G163" i="3" a="1"/>
  <c r="G163" i="3" s="1"/>
  <c r="G162" i="3" a="1"/>
  <c r="G162" i="3" s="1"/>
  <c r="G161" i="3" a="1"/>
  <c r="G161" i="3" s="1"/>
  <c r="G160" i="3" a="1"/>
  <c r="G160" i="3" s="1"/>
  <c r="G159" i="3" a="1"/>
  <c r="G159" i="3" s="1"/>
  <c r="G158" i="3" a="1"/>
  <c r="G158" i="3" s="1"/>
  <c r="G157" i="3" a="1"/>
  <c r="G157" i="3" s="1"/>
  <c r="G156" i="3" a="1"/>
  <c r="G156" i="3" s="1"/>
  <c r="G155" i="3" a="1"/>
  <c r="G155" i="3" s="1"/>
  <c r="G154" i="3" a="1"/>
  <c r="G154" i="3" s="1"/>
  <c r="G153" i="3" a="1"/>
  <c r="G153" i="3" s="1"/>
  <c r="G152" i="3" a="1"/>
  <c r="G152" i="3" s="1"/>
  <c r="G151" i="3" a="1"/>
  <c r="G151" i="3" s="1"/>
  <c r="G150" i="3" a="1"/>
  <c r="G150" i="3" s="1"/>
  <c r="G149" i="3" a="1"/>
  <c r="G149" i="3" s="1"/>
  <c r="G148" i="3" a="1"/>
  <c r="G148" i="3" s="1"/>
  <c r="G147" i="3" a="1"/>
  <c r="G147" i="3" s="1"/>
  <c r="G146" i="3" a="1"/>
  <c r="G146" i="3" s="1"/>
  <c r="G145" i="3" a="1"/>
  <c r="G145" i="3" s="1"/>
  <c r="G144" i="3" a="1"/>
  <c r="G144" i="3" s="1"/>
  <c r="G143" i="3" a="1"/>
  <c r="G143" i="3" s="1"/>
  <c r="G142" i="3" a="1"/>
  <c r="G142" i="3" s="1"/>
  <c r="G141" i="3" a="1"/>
  <c r="G141" i="3" s="1"/>
  <c r="G140" i="3" a="1"/>
  <c r="G140" i="3" s="1"/>
  <c r="G139" i="3" a="1"/>
  <c r="G139" i="3" s="1"/>
  <c r="G138" i="3" a="1"/>
  <c r="G138" i="3" s="1"/>
  <c r="G137" i="3" a="1"/>
  <c r="G137" i="3" s="1"/>
  <c r="G136" i="3" a="1"/>
  <c r="G136" i="3" s="1"/>
  <c r="G135" i="3" a="1"/>
  <c r="G135" i="3" s="1"/>
  <c r="G134" i="3" a="1"/>
  <c r="G134" i="3" s="1"/>
  <c r="G133" i="3" a="1"/>
  <c r="G133" i="3" s="1"/>
  <c r="G132" i="3" a="1"/>
  <c r="G132" i="3" s="1"/>
  <c r="G131" i="3" a="1"/>
  <c r="G131" i="3" s="1"/>
  <c r="G130" i="3" a="1"/>
  <c r="G130" i="3" s="1"/>
  <c r="G129" i="3" a="1"/>
  <c r="G129" i="3" s="1"/>
  <c r="G128" i="3" a="1"/>
  <c r="G128" i="3" s="1"/>
  <c r="G127" i="3" a="1"/>
  <c r="G127" i="3" s="1"/>
  <c r="G126" i="3" a="1"/>
  <c r="G126" i="3" s="1"/>
  <c r="G125" i="3" a="1"/>
  <c r="G125" i="3" s="1"/>
  <c r="G124" i="3" a="1"/>
  <c r="G124" i="3" s="1"/>
  <c r="G123" i="3" a="1"/>
  <c r="G123" i="3" s="1"/>
  <c r="G122" i="3" a="1"/>
  <c r="G122" i="3" s="1"/>
  <c r="G121" i="3" a="1"/>
  <c r="G121" i="3" s="1"/>
  <c r="G120" i="3" a="1"/>
  <c r="G120" i="3" s="1"/>
  <c r="G119" i="3" a="1"/>
  <c r="G119" i="3" s="1"/>
  <c r="G118" i="3" a="1"/>
  <c r="G118" i="3" s="1"/>
  <c r="G117" i="3" a="1"/>
  <c r="G117" i="3" s="1"/>
  <c r="G116" i="3" a="1"/>
  <c r="G116" i="3" s="1"/>
  <c r="G115" i="3" a="1"/>
  <c r="G115" i="3" s="1"/>
  <c r="G114" i="3" a="1"/>
  <c r="G114" i="3" s="1"/>
  <c r="G113" i="3" a="1"/>
  <c r="G113" i="3" s="1"/>
  <c r="G112" i="3" a="1"/>
  <c r="G112" i="3" s="1"/>
  <c r="G111" i="3" a="1"/>
  <c r="G111" i="3" s="1"/>
  <c r="G110" i="3" a="1"/>
  <c r="G110" i="3" s="1"/>
  <c r="G109" i="3" a="1"/>
  <c r="G109" i="3" s="1"/>
  <c r="G108" i="3" a="1"/>
  <c r="G108" i="3" s="1"/>
  <c r="G107" i="3" a="1"/>
  <c r="G107" i="3" s="1"/>
  <c r="G106" i="3" a="1"/>
  <c r="G106" i="3" s="1"/>
  <c r="G105" i="3" a="1"/>
  <c r="G105" i="3" s="1"/>
  <c r="G104" i="3" a="1"/>
  <c r="G104" i="3" s="1"/>
  <c r="G103" i="3" a="1"/>
  <c r="G103" i="3" s="1"/>
  <c r="G102" i="3" a="1"/>
  <c r="G102" i="3" s="1"/>
  <c r="G101" i="3" a="1"/>
  <c r="G101" i="3" s="1"/>
  <c r="G100" i="3" a="1"/>
  <c r="G100" i="3" s="1"/>
  <c r="G99" i="3" a="1"/>
  <c r="G99" i="3" s="1"/>
  <c r="G98" i="3" a="1"/>
  <c r="G98" i="3" s="1"/>
  <c r="G97" i="3" a="1"/>
  <c r="G97" i="3" s="1"/>
  <c r="G96" i="3" a="1"/>
  <c r="G96" i="3" s="1"/>
  <c r="G95" i="3" a="1"/>
  <c r="G95" i="3" s="1"/>
  <c r="G94" i="3" a="1"/>
  <c r="G94" i="3" s="1"/>
  <c r="G93" i="3" a="1"/>
  <c r="G93" i="3" s="1"/>
  <c r="G92" i="3" a="1"/>
  <c r="G92" i="3" s="1"/>
  <c r="G91" i="3" a="1"/>
  <c r="G91" i="3" s="1"/>
  <c r="G90" i="3" a="1"/>
  <c r="G90" i="3" s="1"/>
  <c r="G89" i="3" a="1"/>
  <c r="G89" i="3" s="1"/>
  <c r="G88" i="3" a="1"/>
  <c r="G88" i="3" s="1"/>
  <c r="G87" i="3" a="1"/>
  <c r="G87" i="3" s="1"/>
  <c r="G86" i="3" a="1"/>
  <c r="G86" i="3" s="1"/>
  <c r="G85" i="3" a="1"/>
  <c r="G85" i="3" s="1"/>
  <c r="G84" i="3" a="1"/>
  <c r="G84" i="3" s="1"/>
  <c r="G83" i="3" a="1"/>
  <c r="G83" i="3" s="1"/>
  <c r="G82" i="3" a="1"/>
  <c r="G82" i="3" s="1"/>
  <c r="G81" i="3" a="1"/>
  <c r="G81" i="3" s="1"/>
  <c r="G80" i="3" a="1"/>
  <c r="G80" i="3" s="1"/>
  <c r="G79" i="3" a="1"/>
  <c r="G79" i="3" s="1"/>
  <c r="G78" i="3" a="1"/>
  <c r="G78" i="3" s="1"/>
  <c r="G77" i="3" a="1"/>
  <c r="G77" i="3" s="1"/>
  <c r="G76" i="3" a="1"/>
  <c r="G76" i="3" s="1"/>
  <c r="G75" i="3" a="1"/>
  <c r="G75" i="3" s="1"/>
  <c r="G74" i="3" a="1"/>
  <c r="G74" i="3" s="1"/>
  <c r="G73" i="3" a="1"/>
  <c r="G73" i="3" s="1"/>
  <c r="G72" i="3" a="1"/>
  <c r="G72" i="3" s="1"/>
  <c r="G71" i="3" a="1"/>
  <c r="G71" i="3" s="1"/>
  <c r="G70" i="3" a="1"/>
  <c r="G70" i="3" s="1"/>
  <c r="G69" i="3" a="1"/>
  <c r="G69" i="3" s="1"/>
  <c r="G68" i="3" a="1"/>
  <c r="G68" i="3" s="1"/>
  <c r="G67" i="3" a="1"/>
  <c r="G67" i="3" s="1"/>
  <c r="G66" i="3" a="1"/>
  <c r="G66" i="3" s="1"/>
  <c r="G65" i="3" a="1"/>
  <c r="G65" i="3" s="1"/>
  <c r="G64" i="3" a="1"/>
  <c r="G64" i="3" s="1"/>
  <c r="G63" i="3" a="1"/>
  <c r="G63" i="3" s="1"/>
  <c r="G62" i="3" a="1"/>
  <c r="G62" i="3" s="1"/>
  <c r="G61" i="3" a="1"/>
  <c r="G61" i="3" s="1"/>
  <c r="G60" i="3" a="1"/>
  <c r="G60" i="3" s="1"/>
  <c r="G59" i="3" a="1"/>
  <c r="G59" i="3" s="1"/>
  <c r="G58" i="3" a="1"/>
  <c r="G58" i="3" s="1"/>
  <c r="G57" i="3" a="1"/>
  <c r="G57" i="3" s="1"/>
  <c r="G56" i="3" a="1"/>
  <c r="G56" i="3" s="1"/>
  <c r="G55" i="3" a="1"/>
  <c r="G55" i="3" s="1"/>
  <c r="G54" i="3" a="1"/>
  <c r="G54" i="3" s="1"/>
  <c r="G53" i="3" a="1"/>
  <c r="G53" i="3" s="1"/>
  <c r="G52" i="3" a="1"/>
  <c r="G52" i="3" s="1"/>
  <c r="G51" i="3" a="1"/>
  <c r="G51" i="3" s="1"/>
  <c r="G50" i="3" a="1"/>
  <c r="G50" i="3" s="1"/>
  <c r="G49" i="3" a="1"/>
  <c r="G49" i="3" s="1"/>
  <c r="G48" i="3" a="1"/>
  <c r="G48" i="3" s="1"/>
  <c r="G47" i="3" a="1"/>
  <c r="G47" i="3" s="1"/>
  <c r="G46" i="3" a="1"/>
  <c r="G46" i="3" s="1"/>
  <c r="G45" i="3" a="1"/>
  <c r="G45" i="3" s="1"/>
  <c r="G44" i="3" a="1"/>
  <c r="G44" i="3" s="1"/>
  <c r="G43" i="3" a="1"/>
  <c r="G43" i="3" s="1"/>
  <c r="G42" i="3" a="1"/>
  <c r="G42" i="3" s="1"/>
  <c r="G41" i="3" a="1"/>
  <c r="G41" i="3" s="1"/>
  <c r="G40" i="3" a="1"/>
  <c r="G40" i="3" s="1"/>
  <c r="G39" i="3" a="1"/>
  <c r="G39" i="3" s="1"/>
  <c r="G38" i="3" a="1"/>
  <c r="G38" i="3" s="1"/>
  <c r="G37" i="3" a="1"/>
  <c r="G37" i="3" s="1"/>
  <c r="G36" i="3" a="1"/>
  <c r="G36" i="3" s="1"/>
  <c r="G35" i="3" a="1"/>
  <c r="G35" i="3" s="1"/>
  <c r="G34" i="3" a="1"/>
  <c r="G34" i="3" s="1"/>
  <c r="G33" i="3" a="1"/>
  <c r="G33" i="3" s="1"/>
  <c r="G32" i="3" a="1"/>
  <c r="G32" i="3" s="1"/>
  <c r="G31" i="3" a="1"/>
  <c r="G31" i="3" s="1"/>
  <c r="G30" i="3" a="1"/>
  <c r="G30" i="3" s="1"/>
  <c r="G29" i="3" a="1"/>
  <c r="G29" i="3" s="1"/>
  <c r="G28" i="3" a="1"/>
  <c r="G28" i="3" s="1"/>
  <c r="G27" i="3" a="1"/>
  <c r="G27" i="3" s="1"/>
  <c r="G26" i="3" a="1"/>
  <c r="G26" i="3" s="1"/>
  <c r="G25" i="3" a="1"/>
  <c r="G25" i="3" s="1"/>
  <c r="G24" i="3" a="1"/>
  <c r="G24" i="3" s="1"/>
  <c r="G23" i="3" a="1"/>
  <c r="G23" i="3" s="1"/>
  <c r="G22" i="3" a="1"/>
  <c r="G22" i="3" s="1"/>
  <c r="G21" i="3" a="1"/>
  <c r="G21" i="3" s="1"/>
  <c r="G20" i="3" a="1"/>
  <c r="G20" i="3" s="1"/>
  <c r="G19" i="3" a="1"/>
  <c r="G19" i="3" s="1"/>
  <c r="G18" i="3" a="1"/>
  <c r="G18" i="3" s="1"/>
  <c r="G17" i="3" a="1"/>
  <c r="G17" i="3" s="1"/>
  <c r="G16" i="3" a="1"/>
  <c r="G16" i="3" s="1"/>
  <c r="G14" i="3" a="1"/>
  <c r="G14" i="3" s="1"/>
  <c r="G13" i="3" a="1"/>
  <c r="G13" i="3" s="1"/>
  <c r="G12" i="3" a="1"/>
  <c r="G12" i="3" s="1"/>
  <c r="G11" i="3" a="1"/>
  <c r="G11" i="3" s="1"/>
  <c r="G10" i="3" a="1"/>
  <c r="G10" i="3" s="1"/>
  <c r="G9" i="3" a="1"/>
  <c r="G9" i="3" s="1"/>
  <c r="G8" i="3" a="1"/>
  <c r="G8" i="3" s="1"/>
  <c r="G7" i="3" a="1"/>
  <c r="G7" i="3" s="1"/>
  <c r="G6" i="3" a="1"/>
  <c r="G6" i="3" s="1"/>
  <c r="G5" i="3" a="1"/>
  <c r="G5" i="3" s="1"/>
  <c r="G4" i="3" a="1"/>
  <c r="G4" i="3" s="1"/>
  <c r="G3" i="3" a="1"/>
  <c r="G3" i="3" s="1"/>
  <c r="H15" i="2" a="1"/>
  <c r="H15" i="2" s="1"/>
  <c r="I15" i="2" s="1"/>
  <c r="F15" i="2" a="1"/>
  <c r="F15" i="2" s="1"/>
  <c r="H14" i="2" a="1"/>
  <c r="H14" i="2" s="1"/>
  <c r="I14" i="2" s="1"/>
  <c r="F14" i="2" a="1"/>
  <c r="F14" i="2" s="1"/>
  <c r="H12" i="2" a="1"/>
  <c r="H12" i="2" s="1"/>
  <c r="I12" i="2" s="1"/>
  <c r="F12" i="2" a="1"/>
  <c r="F12" i="2" s="1"/>
  <c r="H11" i="2" a="1"/>
  <c r="H11" i="2" s="1"/>
  <c r="I11" i="2" s="1"/>
  <c r="F11" i="2" a="1"/>
  <c r="F11" i="2" s="1"/>
  <c r="H10" i="2" a="1"/>
  <c r="H10" i="2" s="1"/>
  <c r="I10" i="2" s="1"/>
  <c r="F10" i="2" a="1"/>
  <c r="F10" i="2" s="1"/>
  <c r="H9" i="2" a="1"/>
  <c r="H9" i="2" s="1"/>
  <c r="I9" i="2" s="1"/>
  <c r="F9" i="2" a="1"/>
  <c r="F9" i="2" s="1"/>
  <c r="H8" i="2" a="1"/>
  <c r="H8" i="2" s="1"/>
  <c r="I8" i="2" s="1"/>
  <c r="F8" i="2" a="1"/>
  <c r="F8" i="2" s="1"/>
  <c r="H7" i="2" a="1"/>
  <c r="H7" i="2" s="1"/>
  <c r="I7" i="2" s="1"/>
  <c r="F7" i="2" a="1"/>
  <c r="F7" i="2" s="1"/>
  <c r="H6" i="2" a="1"/>
  <c r="H6" i="2" s="1"/>
  <c r="I6" i="2" s="1"/>
  <c r="F6" i="2" a="1"/>
  <c r="F6" i="2" s="1"/>
  <c r="H5" i="2" a="1"/>
  <c r="H5" i="2" s="1"/>
  <c r="I5" i="2" s="1"/>
  <c r="F5" i="2" a="1"/>
  <c r="F5" i="2" s="1"/>
  <c r="H4" i="2" a="1"/>
  <c r="H4" i="2" s="1"/>
  <c r="I4" i="2" s="1"/>
  <c r="F4" i="2" a="1"/>
  <c r="F4" i="2" s="1"/>
  <c r="H3" i="2" a="1"/>
  <c r="H3" i="2" s="1"/>
  <c r="I3" i="2" s="1"/>
  <c r="F3" i="2" a="1"/>
  <c r="F3" i="2" s="1"/>
  <c r="F202" i="3" a="1"/>
  <c r="F202" i="3" s="1"/>
  <c r="I202" i="3" a="1"/>
  <c r="I202" i="3" s="1"/>
  <c r="J202" i="3" s="1"/>
  <c r="I212" i="3" a="1"/>
  <c r="I212" i="3" s="1"/>
  <c r="J212" i="3" s="1"/>
  <c r="I211" i="3" a="1"/>
  <c r="I211" i="3" s="1"/>
  <c r="J211" i="3" s="1"/>
  <c r="I210" i="3" a="1"/>
  <c r="I210" i="3" s="1"/>
  <c r="J210" i="3" s="1"/>
  <c r="I209" i="3" a="1"/>
  <c r="I209" i="3" s="1"/>
  <c r="J209" i="3" s="1"/>
  <c r="I208" i="3" a="1"/>
  <c r="I208" i="3" s="1"/>
  <c r="J208" i="3" s="1"/>
  <c r="I207" i="3" a="1"/>
  <c r="I207" i="3" s="1"/>
  <c r="I206" i="3" a="1"/>
  <c r="I206" i="3" s="1"/>
  <c r="J206" i="3" s="1"/>
  <c r="I205" i="3" a="1"/>
  <c r="I205" i="3" s="1"/>
  <c r="J205" i="3" s="1"/>
  <c r="I204" i="3" a="1"/>
  <c r="I204" i="3" s="1"/>
  <c r="J204" i="3" s="1"/>
  <c r="I203" i="3" a="1"/>
  <c r="I203" i="3" s="1"/>
  <c r="J203" i="3" s="1"/>
  <c r="I201" i="3" a="1"/>
  <c r="I201" i="3" s="1"/>
  <c r="J201" i="3" s="1"/>
  <c r="I200" i="3" a="1"/>
  <c r="I200" i="3" s="1"/>
  <c r="J200" i="3" s="1"/>
  <c r="I199" i="3" a="1"/>
  <c r="I199" i="3" s="1"/>
  <c r="J199" i="3" s="1"/>
  <c r="I198" i="3" a="1"/>
  <c r="I198" i="3" s="1"/>
  <c r="J198" i="3" s="1"/>
  <c r="I197" i="3" a="1"/>
  <c r="I197" i="3" s="1"/>
  <c r="J197" i="3" s="1"/>
  <c r="I196" i="3" a="1"/>
  <c r="I196" i="3" s="1"/>
  <c r="J196" i="3" s="1"/>
  <c r="I195" i="3" a="1"/>
  <c r="I195" i="3" s="1"/>
  <c r="J195" i="3" s="1"/>
  <c r="I194" i="3" a="1"/>
  <c r="I194" i="3" s="1"/>
  <c r="J194" i="3" s="1"/>
  <c r="I193" i="3" a="1"/>
  <c r="I193" i="3" s="1"/>
  <c r="J193" i="3" s="1"/>
  <c r="I192" i="3" a="1"/>
  <c r="I192" i="3" s="1"/>
  <c r="J192" i="3" s="1"/>
  <c r="I191" i="3" a="1"/>
  <c r="I191" i="3" s="1"/>
  <c r="J191" i="3" s="1"/>
  <c r="I190" i="3" a="1"/>
  <c r="I190" i="3" s="1"/>
  <c r="J190" i="3" s="1"/>
  <c r="I189" i="3" a="1"/>
  <c r="I189" i="3" s="1"/>
  <c r="J189" i="3" s="1"/>
  <c r="I188" i="3" a="1"/>
  <c r="I188" i="3" s="1"/>
  <c r="J188" i="3" s="1"/>
  <c r="I187" i="3" a="1"/>
  <c r="I187" i="3" s="1"/>
  <c r="J187" i="3" s="1"/>
  <c r="I186" i="3" a="1"/>
  <c r="I186" i="3" s="1"/>
  <c r="J186" i="3" s="1"/>
  <c r="I185" i="3" a="1"/>
  <c r="I185" i="3" s="1"/>
  <c r="J185" i="3" s="1"/>
  <c r="I184" i="3" a="1"/>
  <c r="I184" i="3" s="1"/>
  <c r="J184" i="3" s="1"/>
  <c r="I183" i="3" a="1"/>
  <c r="I183" i="3" s="1"/>
  <c r="J183" i="3" s="1"/>
  <c r="I182" i="3" a="1"/>
  <c r="I182" i="3" s="1"/>
  <c r="J182" i="3" s="1"/>
  <c r="I181" i="3" a="1"/>
  <c r="I181" i="3" s="1"/>
  <c r="J181" i="3" s="1"/>
  <c r="I180" i="3" a="1"/>
  <c r="I180" i="3" s="1"/>
  <c r="J180" i="3" s="1"/>
  <c r="I179" i="3" a="1"/>
  <c r="I179" i="3" s="1"/>
  <c r="J179" i="3" s="1"/>
  <c r="I178" i="3" a="1"/>
  <c r="I178" i="3" s="1"/>
  <c r="J178" i="3" s="1"/>
  <c r="I177" i="3" a="1"/>
  <c r="I177" i="3" s="1"/>
  <c r="J177" i="3" s="1"/>
  <c r="I176" i="3" a="1"/>
  <c r="I176" i="3" s="1"/>
  <c r="J176" i="3" s="1"/>
  <c r="I175" i="3" a="1"/>
  <c r="I175" i="3" s="1"/>
  <c r="J175" i="3" s="1"/>
  <c r="I174" i="3" a="1"/>
  <c r="I174" i="3" s="1"/>
  <c r="J174" i="3" s="1"/>
  <c r="I173" i="3" a="1"/>
  <c r="I173" i="3" s="1"/>
  <c r="J173" i="3" s="1"/>
  <c r="I172" i="3" a="1"/>
  <c r="I172" i="3" s="1"/>
  <c r="J172" i="3" s="1"/>
  <c r="I171" i="3" a="1"/>
  <c r="I171" i="3" s="1"/>
  <c r="J171" i="3" s="1"/>
  <c r="I170" i="3" a="1"/>
  <c r="I170" i="3" s="1"/>
  <c r="J170" i="3" s="1"/>
  <c r="I169" i="3" a="1"/>
  <c r="I169" i="3" s="1"/>
  <c r="J169" i="3" s="1"/>
  <c r="I168" i="3" a="1"/>
  <c r="I168" i="3" s="1"/>
  <c r="J168" i="3" s="1"/>
  <c r="I167" i="3" a="1"/>
  <c r="I167" i="3" s="1"/>
  <c r="J167" i="3" s="1"/>
  <c r="I166" i="3" a="1"/>
  <c r="I166" i="3" s="1"/>
  <c r="J166" i="3" s="1"/>
  <c r="I165" i="3" a="1"/>
  <c r="I165" i="3" s="1"/>
  <c r="J165" i="3" s="1"/>
  <c r="I164" i="3" a="1"/>
  <c r="I164" i="3" s="1"/>
  <c r="J164" i="3" s="1"/>
  <c r="I163" i="3" a="1"/>
  <c r="I163" i="3" s="1"/>
  <c r="J163" i="3" s="1"/>
  <c r="I162" i="3" a="1"/>
  <c r="I162" i="3" s="1"/>
  <c r="J162" i="3" s="1"/>
  <c r="I161" i="3" a="1"/>
  <c r="I161" i="3" s="1"/>
  <c r="J161" i="3" s="1"/>
  <c r="I160" i="3" a="1"/>
  <c r="I160" i="3" s="1"/>
  <c r="J160" i="3" s="1"/>
  <c r="I159" i="3" a="1"/>
  <c r="I159" i="3" s="1"/>
  <c r="J159" i="3" s="1"/>
  <c r="I158" i="3" a="1"/>
  <c r="I158" i="3" s="1"/>
  <c r="J158" i="3" s="1"/>
  <c r="I157" i="3" a="1"/>
  <c r="I157" i="3" s="1"/>
  <c r="I156" i="3" a="1"/>
  <c r="I156" i="3" s="1"/>
  <c r="J156" i="3" s="1"/>
  <c r="I155" i="3" a="1"/>
  <c r="I155" i="3" s="1"/>
  <c r="J155" i="3" s="1"/>
  <c r="I154" i="3" a="1"/>
  <c r="I154" i="3" s="1"/>
  <c r="J154" i="3" s="1"/>
  <c r="I153" i="3" a="1"/>
  <c r="I153" i="3" s="1"/>
  <c r="J153" i="3" s="1"/>
  <c r="I152" i="3" a="1"/>
  <c r="I152" i="3" s="1"/>
  <c r="J152" i="3" s="1"/>
  <c r="I151" i="3" a="1"/>
  <c r="I151" i="3" s="1"/>
  <c r="J151" i="3" s="1"/>
  <c r="I150" i="3" a="1"/>
  <c r="I150" i="3" s="1"/>
  <c r="J150" i="3" s="1"/>
  <c r="I149" i="3" a="1"/>
  <c r="I149" i="3" s="1"/>
  <c r="J149" i="3" s="1"/>
  <c r="I148" i="3" a="1"/>
  <c r="I148" i="3" s="1"/>
  <c r="J148" i="3" s="1"/>
  <c r="I147" i="3" a="1"/>
  <c r="I147" i="3" s="1"/>
  <c r="J147" i="3" s="1"/>
  <c r="I146" i="3" a="1"/>
  <c r="I146" i="3" s="1"/>
  <c r="J146" i="3" s="1"/>
  <c r="I145" i="3" a="1"/>
  <c r="I145" i="3" s="1"/>
  <c r="J145" i="3" s="1"/>
  <c r="I144" i="3" a="1"/>
  <c r="I144" i="3" s="1"/>
  <c r="J144" i="3" s="1"/>
  <c r="I143" i="3" a="1"/>
  <c r="I143" i="3" s="1"/>
  <c r="J143" i="3" s="1"/>
  <c r="I142" i="3" a="1"/>
  <c r="I142" i="3" s="1"/>
  <c r="J142" i="3" s="1"/>
  <c r="I141" i="3" a="1"/>
  <c r="I141" i="3" s="1"/>
  <c r="J141" i="3" s="1"/>
  <c r="I140" i="3" a="1"/>
  <c r="I140" i="3" s="1"/>
  <c r="J140" i="3" s="1"/>
  <c r="I139" i="3" a="1"/>
  <c r="I139" i="3" s="1"/>
  <c r="J139" i="3" s="1"/>
  <c r="I138" i="3" a="1"/>
  <c r="I138" i="3" s="1"/>
  <c r="J138" i="3" s="1"/>
  <c r="I137" i="3" a="1"/>
  <c r="I137" i="3" s="1"/>
  <c r="J137" i="3" s="1"/>
  <c r="I136" i="3" a="1"/>
  <c r="I136" i="3" s="1"/>
  <c r="J136" i="3" s="1"/>
  <c r="I135" i="3" a="1"/>
  <c r="I135" i="3" s="1"/>
  <c r="J135" i="3" s="1"/>
  <c r="I134" i="3" a="1"/>
  <c r="I134" i="3" s="1"/>
  <c r="J134" i="3" s="1"/>
  <c r="I133" i="3" a="1"/>
  <c r="I133" i="3" s="1"/>
  <c r="J133" i="3" s="1"/>
  <c r="I132" i="3" a="1"/>
  <c r="I132" i="3" s="1"/>
  <c r="J132" i="3" s="1"/>
  <c r="I131" i="3" a="1"/>
  <c r="I131" i="3" s="1"/>
  <c r="J131" i="3" s="1"/>
  <c r="I130" i="3" a="1"/>
  <c r="I130" i="3" s="1"/>
  <c r="J130" i="3" s="1"/>
  <c r="I129" i="3" a="1"/>
  <c r="I129" i="3" s="1"/>
  <c r="J129" i="3" s="1"/>
  <c r="I128" i="3" a="1"/>
  <c r="I128" i="3" s="1"/>
  <c r="J128" i="3" s="1"/>
  <c r="I127" i="3" a="1"/>
  <c r="I127" i="3" s="1"/>
  <c r="J127" i="3" s="1"/>
  <c r="I126" i="3" a="1"/>
  <c r="I126" i="3" s="1"/>
  <c r="J126" i="3" s="1"/>
  <c r="I125" i="3" a="1"/>
  <c r="I125" i="3" s="1"/>
  <c r="J125" i="3" s="1"/>
  <c r="I124" i="3" a="1"/>
  <c r="I124" i="3" s="1"/>
  <c r="J124" i="3" s="1"/>
  <c r="I123" i="3" a="1"/>
  <c r="I123" i="3" s="1"/>
  <c r="J123" i="3" s="1"/>
  <c r="I122" i="3" a="1"/>
  <c r="I122" i="3" s="1"/>
  <c r="J122" i="3" s="1"/>
  <c r="I121" i="3" a="1"/>
  <c r="I121" i="3" s="1"/>
  <c r="J121" i="3" s="1"/>
  <c r="I120" i="3" a="1"/>
  <c r="I120" i="3" s="1"/>
  <c r="J120" i="3" s="1"/>
  <c r="I119" i="3" a="1"/>
  <c r="I119" i="3" s="1"/>
  <c r="J119" i="3" s="1"/>
  <c r="I118" i="3" a="1"/>
  <c r="I118" i="3" s="1"/>
  <c r="J118" i="3" s="1"/>
  <c r="I117" i="3" a="1"/>
  <c r="I117" i="3" s="1"/>
  <c r="J117" i="3" s="1"/>
  <c r="I116" i="3" a="1"/>
  <c r="I116" i="3" s="1"/>
  <c r="J116" i="3" s="1"/>
  <c r="I115" i="3" a="1"/>
  <c r="I115" i="3" s="1"/>
  <c r="J115" i="3" s="1"/>
  <c r="I114" i="3" a="1"/>
  <c r="I114" i="3" s="1"/>
  <c r="J114" i="3" s="1"/>
  <c r="I113" i="3" a="1"/>
  <c r="I113" i="3" s="1"/>
  <c r="J113" i="3" s="1"/>
  <c r="I112" i="3" a="1"/>
  <c r="I112" i="3" s="1"/>
  <c r="J112" i="3" s="1"/>
  <c r="I111" i="3" a="1"/>
  <c r="I111" i="3" s="1"/>
  <c r="J111" i="3" s="1"/>
  <c r="I110" i="3" a="1"/>
  <c r="I110" i="3" s="1"/>
  <c r="J110" i="3" s="1"/>
  <c r="I109" i="3" a="1"/>
  <c r="I109" i="3" s="1"/>
  <c r="J109" i="3" s="1"/>
  <c r="I108" i="3" a="1"/>
  <c r="I108" i="3" s="1"/>
  <c r="J108" i="3" s="1"/>
  <c r="I107" i="3" a="1"/>
  <c r="I107" i="3" s="1"/>
  <c r="J107" i="3" s="1"/>
  <c r="I106" i="3" a="1"/>
  <c r="I106" i="3" s="1"/>
  <c r="J106" i="3" s="1"/>
  <c r="I105" i="3" a="1"/>
  <c r="I105" i="3" s="1"/>
  <c r="J105" i="3" s="1"/>
  <c r="I104" i="3" a="1"/>
  <c r="I104" i="3" s="1"/>
  <c r="J104" i="3" s="1"/>
  <c r="I103" i="3" a="1"/>
  <c r="I103" i="3" s="1"/>
  <c r="J103" i="3" s="1"/>
  <c r="I102" i="3" a="1"/>
  <c r="I102" i="3" s="1"/>
  <c r="J102" i="3" s="1"/>
  <c r="I101" i="3" a="1"/>
  <c r="I101" i="3" s="1"/>
  <c r="J101" i="3" s="1"/>
  <c r="I100" i="3" a="1"/>
  <c r="I100" i="3" s="1"/>
  <c r="J100" i="3" s="1"/>
  <c r="I99" i="3" a="1"/>
  <c r="I99" i="3" s="1"/>
  <c r="J99" i="3" s="1"/>
  <c r="I98" i="3" a="1"/>
  <c r="I98" i="3" s="1"/>
  <c r="J98" i="3" s="1"/>
  <c r="I97" i="3" a="1"/>
  <c r="I97" i="3" s="1"/>
  <c r="J97" i="3" s="1"/>
  <c r="I96" i="3" a="1"/>
  <c r="I96" i="3" s="1"/>
  <c r="J96" i="3" s="1"/>
  <c r="I95" i="3" a="1"/>
  <c r="I95" i="3" s="1"/>
  <c r="J95" i="3" s="1"/>
  <c r="I94" i="3" a="1"/>
  <c r="I94" i="3" s="1"/>
  <c r="J94" i="3" s="1"/>
  <c r="I93" i="3" a="1"/>
  <c r="I93" i="3" s="1"/>
  <c r="J93" i="3" s="1"/>
  <c r="I92" i="3" a="1"/>
  <c r="I92" i="3" s="1"/>
  <c r="J92" i="3" s="1"/>
  <c r="I91" i="3" a="1"/>
  <c r="I91" i="3" s="1"/>
  <c r="J91" i="3" s="1"/>
  <c r="I90" i="3" a="1"/>
  <c r="I90" i="3" s="1"/>
  <c r="J90" i="3" s="1"/>
  <c r="I89" i="3" a="1"/>
  <c r="I89" i="3" s="1"/>
  <c r="J89" i="3" s="1"/>
  <c r="I88" i="3" a="1"/>
  <c r="I88" i="3" s="1"/>
  <c r="J88" i="3" s="1"/>
  <c r="I87" i="3" a="1"/>
  <c r="I87" i="3" s="1"/>
  <c r="J87" i="3" s="1"/>
  <c r="I86" i="3" a="1"/>
  <c r="I86" i="3" s="1"/>
  <c r="J86" i="3" s="1"/>
  <c r="I85" i="3" a="1"/>
  <c r="I85" i="3" s="1"/>
  <c r="J85" i="3" s="1"/>
  <c r="I84" i="3" a="1"/>
  <c r="I84" i="3" s="1"/>
  <c r="J84" i="3" s="1"/>
  <c r="I83" i="3" a="1"/>
  <c r="I83" i="3" s="1"/>
  <c r="J83" i="3" s="1"/>
  <c r="I82" i="3" a="1"/>
  <c r="I82" i="3" s="1"/>
  <c r="J82" i="3" s="1"/>
  <c r="I81" i="3" a="1"/>
  <c r="I81" i="3" s="1"/>
  <c r="J81" i="3" s="1"/>
  <c r="I80" i="3" a="1"/>
  <c r="I80" i="3" s="1"/>
  <c r="J80" i="3" s="1"/>
  <c r="I79" i="3" a="1"/>
  <c r="I79" i="3" s="1"/>
  <c r="J79" i="3" s="1"/>
  <c r="I78" i="3" a="1"/>
  <c r="I78" i="3" s="1"/>
  <c r="J78" i="3" s="1"/>
  <c r="I77" i="3" a="1"/>
  <c r="I77" i="3" s="1"/>
  <c r="J77" i="3" s="1"/>
  <c r="I76" i="3" a="1"/>
  <c r="I76" i="3" s="1"/>
  <c r="J76" i="3" s="1"/>
  <c r="I75" i="3" a="1"/>
  <c r="I75" i="3" s="1"/>
  <c r="J75" i="3" s="1"/>
  <c r="I74" i="3" a="1"/>
  <c r="I74" i="3" s="1"/>
  <c r="I73" i="3" a="1"/>
  <c r="I73" i="3" s="1"/>
  <c r="J73" i="3" s="1"/>
  <c r="I72" i="3" a="1"/>
  <c r="I72" i="3" s="1"/>
  <c r="J72" i="3" s="1"/>
  <c r="I71" i="3" a="1"/>
  <c r="I71" i="3" s="1"/>
  <c r="J71" i="3" s="1"/>
  <c r="I70" i="3" a="1"/>
  <c r="I70" i="3" s="1"/>
  <c r="J70" i="3" s="1"/>
  <c r="I69" i="3" a="1"/>
  <c r="I69" i="3" s="1"/>
  <c r="J69" i="3" s="1"/>
  <c r="I68" i="3" a="1"/>
  <c r="I68" i="3" s="1"/>
  <c r="J68" i="3" s="1"/>
  <c r="I67" i="3" a="1"/>
  <c r="I67" i="3" s="1"/>
  <c r="J67" i="3" s="1"/>
  <c r="I66" i="3" a="1"/>
  <c r="I66" i="3" s="1"/>
  <c r="J66" i="3" s="1"/>
  <c r="I65" i="3" a="1"/>
  <c r="I65" i="3" s="1"/>
  <c r="J65" i="3" s="1"/>
  <c r="I64" i="3" a="1"/>
  <c r="I64" i="3" s="1"/>
  <c r="J64" i="3" s="1"/>
  <c r="I63" i="3" a="1"/>
  <c r="I63" i="3" s="1"/>
  <c r="J63" i="3" s="1"/>
  <c r="I62" i="3" a="1"/>
  <c r="I62" i="3" s="1"/>
  <c r="J62" i="3" s="1"/>
  <c r="I61" i="3" a="1"/>
  <c r="I61" i="3" s="1"/>
  <c r="J61" i="3" s="1"/>
  <c r="I60" i="3" a="1"/>
  <c r="I60" i="3" s="1"/>
  <c r="J60" i="3" s="1"/>
  <c r="I59" i="3" a="1"/>
  <c r="I59" i="3" s="1"/>
  <c r="J59" i="3" s="1"/>
  <c r="I58" i="3" a="1"/>
  <c r="I58" i="3" s="1"/>
  <c r="J58" i="3" s="1"/>
  <c r="I57" i="3" a="1"/>
  <c r="I57" i="3" s="1"/>
  <c r="J57" i="3" s="1"/>
  <c r="I56" i="3" a="1"/>
  <c r="I56" i="3" s="1"/>
  <c r="J56" i="3" s="1"/>
  <c r="I55" i="3" a="1"/>
  <c r="I55" i="3" s="1"/>
  <c r="J55" i="3" s="1"/>
  <c r="I54" i="3" a="1"/>
  <c r="I54" i="3" s="1"/>
  <c r="J54" i="3" s="1"/>
  <c r="I53" i="3" a="1"/>
  <c r="I53" i="3" s="1"/>
  <c r="J53" i="3" s="1"/>
  <c r="I52" i="3" a="1"/>
  <c r="I52" i="3" s="1"/>
  <c r="J52" i="3" s="1"/>
  <c r="I51" i="3" a="1"/>
  <c r="I51" i="3" s="1"/>
  <c r="J51" i="3" s="1"/>
  <c r="I50" i="3" a="1"/>
  <c r="I50" i="3" s="1"/>
  <c r="J50" i="3" s="1"/>
  <c r="I49" i="3" a="1"/>
  <c r="I49" i="3" s="1"/>
  <c r="J49" i="3" s="1"/>
  <c r="I48" i="3" a="1"/>
  <c r="I48" i="3" s="1"/>
  <c r="J48" i="3" s="1"/>
  <c r="I47" i="3" a="1"/>
  <c r="I47" i="3" s="1"/>
  <c r="J47" i="3" s="1"/>
  <c r="I46" i="3" a="1"/>
  <c r="I46" i="3" s="1"/>
  <c r="J46" i="3" s="1"/>
  <c r="I45" i="3" a="1"/>
  <c r="I45" i="3" s="1"/>
  <c r="J45" i="3" s="1"/>
  <c r="I44" i="3" a="1"/>
  <c r="I44" i="3" s="1"/>
  <c r="J44" i="3" s="1"/>
  <c r="I43" i="3" a="1"/>
  <c r="I43" i="3" s="1"/>
  <c r="J43" i="3" s="1"/>
  <c r="I42" i="3" a="1"/>
  <c r="I42" i="3" s="1"/>
  <c r="J42" i="3" s="1"/>
  <c r="I41" i="3" a="1"/>
  <c r="I41" i="3" s="1"/>
  <c r="J41" i="3" s="1"/>
  <c r="I40" i="3" a="1"/>
  <c r="I40" i="3" s="1"/>
  <c r="J40" i="3" s="1"/>
  <c r="I39" i="3" a="1"/>
  <c r="I39" i="3" s="1"/>
  <c r="J39" i="3" s="1"/>
  <c r="I38" i="3" a="1"/>
  <c r="I38" i="3" s="1"/>
  <c r="J38" i="3" s="1"/>
  <c r="I37" i="3" a="1"/>
  <c r="I37" i="3" s="1"/>
  <c r="J37" i="3" s="1"/>
  <c r="I36" i="3" a="1"/>
  <c r="I36" i="3" s="1"/>
  <c r="J36" i="3" s="1"/>
  <c r="I35" i="3" a="1"/>
  <c r="I35" i="3" s="1"/>
  <c r="J35" i="3" s="1"/>
  <c r="I34" i="3" a="1"/>
  <c r="I34" i="3" s="1"/>
  <c r="J34" i="3" s="1"/>
  <c r="I33" i="3" a="1"/>
  <c r="I33" i="3" s="1"/>
  <c r="J33" i="3" s="1"/>
  <c r="I32" i="3" a="1"/>
  <c r="I32" i="3" s="1"/>
  <c r="J32" i="3" s="1"/>
  <c r="I31" i="3" a="1"/>
  <c r="I31" i="3" s="1"/>
  <c r="J31" i="3" s="1"/>
  <c r="I30" i="3" a="1"/>
  <c r="I30" i="3" s="1"/>
  <c r="J30" i="3" s="1"/>
  <c r="I29" i="3" a="1"/>
  <c r="I29" i="3" s="1"/>
  <c r="J29" i="3" s="1"/>
  <c r="I28" i="3" a="1"/>
  <c r="I28" i="3" s="1"/>
  <c r="J28" i="3" s="1"/>
  <c r="I27" i="3" a="1"/>
  <c r="I27" i="3" s="1"/>
  <c r="J27" i="3" s="1"/>
  <c r="I26" i="3" a="1"/>
  <c r="I26" i="3" s="1"/>
  <c r="J26" i="3" s="1"/>
  <c r="I25" i="3" a="1"/>
  <c r="I25" i="3" s="1"/>
  <c r="J25" i="3" s="1"/>
  <c r="I24" i="3" a="1"/>
  <c r="I24" i="3" s="1"/>
  <c r="J24" i="3" s="1"/>
  <c r="I23" i="3" a="1"/>
  <c r="I23" i="3" s="1"/>
  <c r="J23" i="3" s="1"/>
  <c r="I22" i="3" a="1"/>
  <c r="I22" i="3" s="1"/>
  <c r="J22" i="3" s="1"/>
  <c r="I21" i="3" a="1"/>
  <c r="I21" i="3" s="1"/>
  <c r="J21" i="3" s="1"/>
  <c r="I20" i="3" a="1"/>
  <c r="I20" i="3" s="1"/>
  <c r="J20" i="3" s="1"/>
  <c r="I19" i="3" a="1"/>
  <c r="I19" i="3" s="1"/>
  <c r="J19" i="3" s="1"/>
  <c r="I18" i="3" a="1"/>
  <c r="I18" i="3" s="1"/>
  <c r="J18" i="3" s="1"/>
  <c r="I17" i="3" a="1"/>
  <c r="I17" i="3" s="1"/>
  <c r="J17" i="3" s="1"/>
  <c r="I16" i="3" a="1"/>
  <c r="I16" i="3" s="1"/>
  <c r="J16" i="3" s="1"/>
  <c r="I15" i="3" a="1"/>
  <c r="I15" i="3" s="1"/>
  <c r="J15" i="3" s="1"/>
  <c r="I14" i="3" a="1"/>
  <c r="I14" i="3" s="1"/>
  <c r="J14" i="3" s="1"/>
  <c r="I13" i="3" a="1"/>
  <c r="I13" i="3" s="1"/>
  <c r="J13" i="3" s="1"/>
  <c r="I12" i="3" a="1"/>
  <c r="I12" i="3" s="1"/>
  <c r="J12" i="3" s="1"/>
  <c r="I11" i="3" a="1"/>
  <c r="I11" i="3" s="1"/>
  <c r="J11" i="3" s="1"/>
  <c r="I10" i="3" a="1"/>
  <c r="I10" i="3" s="1"/>
  <c r="J10" i="3" s="1"/>
  <c r="I9" i="3" a="1"/>
  <c r="I9" i="3" s="1"/>
  <c r="J9" i="3" s="1"/>
  <c r="I8" i="3" a="1"/>
  <c r="I8" i="3" s="1"/>
  <c r="J8" i="3" s="1"/>
  <c r="I7" i="3" a="1"/>
  <c r="I7" i="3" s="1"/>
  <c r="J7" i="3" s="1"/>
  <c r="I6" i="3" a="1"/>
  <c r="I6" i="3" s="1"/>
  <c r="J6" i="3" s="1"/>
  <c r="I5" i="3" a="1"/>
  <c r="I5" i="3" s="1"/>
  <c r="J5" i="3" s="1"/>
  <c r="I4" i="3" a="1"/>
  <c r="I4" i="3" s="1"/>
  <c r="J4" i="3" s="1"/>
  <c r="I3" i="3" a="1"/>
  <c r="I3" i="3" s="1"/>
  <c r="J3" i="3" s="1"/>
  <c r="F212" i="3" a="1"/>
  <c r="F212" i="3" s="1"/>
  <c r="F211" i="3" a="1"/>
  <c r="F211" i="3" s="1"/>
  <c r="F210" i="3" a="1"/>
  <c r="F210" i="3" s="1"/>
  <c r="F209" i="3" a="1"/>
  <c r="F209" i="3" s="1"/>
  <c r="F208" i="3" a="1"/>
  <c r="F208" i="3" s="1"/>
  <c r="F207" i="3" a="1"/>
  <c r="F207" i="3" s="1"/>
  <c r="F206" i="3" a="1"/>
  <c r="F206" i="3" s="1"/>
  <c r="F205" i="3" a="1"/>
  <c r="F205" i="3" s="1"/>
  <c r="F204" i="3" a="1"/>
  <c r="F204" i="3" s="1"/>
  <c r="F203" i="3" a="1"/>
  <c r="F203" i="3" s="1"/>
  <c r="F201" i="3" a="1"/>
  <c r="F201" i="3" s="1"/>
  <c r="F200" i="3" a="1"/>
  <c r="F200" i="3" s="1"/>
  <c r="F199" i="3" a="1"/>
  <c r="F199" i="3" s="1"/>
  <c r="F198" i="3" a="1"/>
  <c r="F198" i="3" s="1"/>
  <c r="F197" i="3" a="1"/>
  <c r="F197" i="3" s="1"/>
  <c r="F196" i="3" a="1"/>
  <c r="F196" i="3" s="1"/>
  <c r="F195" i="3" a="1"/>
  <c r="F195" i="3" s="1"/>
  <c r="F194" i="3" a="1"/>
  <c r="F194" i="3" s="1"/>
  <c r="F193" i="3" a="1"/>
  <c r="F193" i="3" s="1"/>
  <c r="F192" i="3" a="1"/>
  <c r="F192" i="3" s="1"/>
  <c r="F191" i="3" a="1"/>
  <c r="F191" i="3" s="1"/>
  <c r="F190" i="3" a="1"/>
  <c r="F190" i="3" s="1"/>
  <c r="F189" i="3" a="1"/>
  <c r="F189" i="3" s="1"/>
  <c r="F188" i="3" a="1"/>
  <c r="F188" i="3" s="1"/>
  <c r="F187" i="3" a="1"/>
  <c r="F187" i="3" s="1"/>
  <c r="F186" i="3" a="1"/>
  <c r="F186" i="3" s="1"/>
  <c r="F185" i="3" a="1"/>
  <c r="F185" i="3" s="1"/>
  <c r="F184" i="3" a="1"/>
  <c r="F184" i="3" s="1"/>
  <c r="F183" i="3" a="1"/>
  <c r="F183" i="3" s="1"/>
  <c r="F182" i="3" a="1"/>
  <c r="F182" i="3" s="1"/>
  <c r="F181" i="3" a="1"/>
  <c r="F181" i="3" s="1"/>
  <c r="F180" i="3" a="1"/>
  <c r="F180" i="3" s="1"/>
  <c r="F179" i="3" a="1"/>
  <c r="F179" i="3" s="1"/>
  <c r="F178" i="3" a="1"/>
  <c r="F178" i="3" s="1"/>
  <c r="F177" i="3" a="1"/>
  <c r="F177" i="3" s="1"/>
  <c r="F176" i="3" a="1"/>
  <c r="F176" i="3" s="1"/>
  <c r="F175" i="3" a="1"/>
  <c r="F175" i="3" s="1"/>
  <c r="F174" i="3" a="1"/>
  <c r="F174" i="3" s="1"/>
  <c r="F173" i="3" a="1"/>
  <c r="F173" i="3" s="1"/>
  <c r="F172" i="3" a="1"/>
  <c r="F172" i="3" s="1"/>
  <c r="F171" i="3" a="1"/>
  <c r="F171" i="3" s="1"/>
  <c r="F170" i="3" a="1"/>
  <c r="F170" i="3" s="1"/>
  <c r="F169" i="3" a="1"/>
  <c r="F169" i="3" s="1"/>
  <c r="F168" i="3" a="1"/>
  <c r="F168" i="3" s="1"/>
  <c r="F167" i="3" a="1"/>
  <c r="F167" i="3" s="1"/>
  <c r="F166" i="3" a="1"/>
  <c r="F166" i="3" s="1"/>
  <c r="F165" i="3" a="1"/>
  <c r="F165" i="3" s="1"/>
  <c r="F164" i="3" a="1"/>
  <c r="F164" i="3" s="1"/>
  <c r="F163" i="3" a="1"/>
  <c r="F163" i="3" s="1"/>
  <c r="F162" i="3" a="1"/>
  <c r="F162" i="3" s="1"/>
  <c r="F161" i="3" a="1"/>
  <c r="F161" i="3" s="1"/>
  <c r="F160" i="3" a="1"/>
  <c r="F160" i="3" s="1"/>
  <c r="F159" i="3" a="1"/>
  <c r="F159" i="3" s="1"/>
  <c r="F158" i="3" a="1"/>
  <c r="F158" i="3" s="1"/>
  <c r="F157" i="3" a="1"/>
  <c r="F157" i="3" s="1"/>
  <c r="F156" i="3" a="1"/>
  <c r="F156" i="3" s="1"/>
  <c r="F155" i="3" a="1"/>
  <c r="F155" i="3" s="1"/>
  <c r="F154" i="3" a="1"/>
  <c r="F154" i="3" s="1"/>
  <c r="F153" i="3" a="1"/>
  <c r="F153" i="3" s="1"/>
  <c r="F152" i="3" a="1"/>
  <c r="F152" i="3" s="1"/>
  <c r="F151" i="3" a="1"/>
  <c r="F151" i="3" s="1"/>
  <c r="F150" i="3" a="1"/>
  <c r="F150" i="3" s="1"/>
  <c r="F149" i="3" a="1"/>
  <c r="F149" i="3" s="1"/>
  <c r="F148" i="3" a="1"/>
  <c r="F148" i="3" s="1"/>
  <c r="F147" i="3" a="1"/>
  <c r="F147" i="3" s="1"/>
  <c r="F146" i="3" a="1"/>
  <c r="F146" i="3" s="1"/>
  <c r="F145" i="3" a="1"/>
  <c r="F145" i="3" s="1"/>
  <c r="F144" i="3" a="1"/>
  <c r="F144" i="3" s="1"/>
  <c r="F143" i="3" a="1"/>
  <c r="F143" i="3" s="1"/>
  <c r="F142" i="3" a="1"/>
  <c r="F142" i="3" s="1"/>
  <c r="F141" i="3" a="1"/>
  <c r="F141" i="3" s="1"/>
  <c r="F140" i="3" a="1"/>
  <c r="F140" i="3" s="1"/>
  <c r="F139" i="3" a="1"/>
  <c r="F139" i="3" s="1"/>
  <c r="F138" i="3" a="1"/>
  <c r="F138" i="3" s="1"/>
  <c r="F137" i="3" a="1"/>
  <c r="F137" i="3" s="1"/>
  <c r="F136" i="3" a="1"/>
  <c r="F136" i="3" s="1"/>
  <c r="F135" i="3" a="1"/>
  <c r="F135" i="3" s="1"/>
  <c r="F134" i="3" a="1"/>
  <c r="F134" i="3" s="1"/>
  <c r="F133" i="3" a="1"/>
  <c r="F133" i="3" s="1"/>
  <c r="F132" i="3" a="1"/>
  <c r="F132" i="3" s="1"/>
  <c r="F131" i="3" a="1"/>
  <c r="F131" i="3" s="1"/>
  <c r="F130" i="3" a="1"/>
  <c r="F130" i="3" s="1"/>
  <c r="F129" i="3" a="1"/>
  <c r="F129" i="3" s="1"/>
  <c r="F128" i="3" a="1"/>
  <c r="F128" i="3" s="1"/>
  <c r="F127" i="3" a="1"/>
  <c r="F127" i="3" s="1"/>
  <c r="F126" i="3" a="1"/>
  <c r="F126" i="3" s="1"/>
  <c r="F125" i="3" a="1"/>
  <c r="F125" i="3" s="1"/>
  <c r="F124" i="3" a="1"/>
  <c r="F124" i="3" s="1"/>
  <c r="F123" i="3" a="1"/>
  <c r="F123" i="3" s="1"/>
  <c r="F122" i="3" a="1"/>
  <c r="F122" i="3" s="1"/>
  <c r="F121" i="3" a="1"/>
  <c r="F121" i="3" s="1"/>
  <c r="F120" i="3" a="1"/>
  <c r="F120" i="3" s="1"/>
  <c r="F119" i="3" a="1"/>
  <c r="F119" i="3" s="1"/>
  <c r="F118" i="3" a="1"/>
  <c r="F118" i="3" s="1"/>
  <c r="F117" i="3" a="1"/>
  <c r="F117" i="3" s="1"/>
  <c r="F116" i="3" a="1"/>
  <c r="F116" i="3" s="1"/>
  <c r="F115" i="3" a="1"/>
  <c r="F115" i="3" s="1"/>
  <c r="F114" i="3" a="1"/>
  <c r="F114" i="3" s="1"/>
  <c r="F113" i="3" a="1"/>
  <c r="F113" i="3" s="1"/>
  <c r="F112" i="3" a="1"/>
  <c r="F112" i="3" s="1"/>
  <c r="F111" i="3" a="1"/>
  <c r="F111" i="3" s="1"/>
  <c r="F110" i="3" a="1"/>
  <c r="F110" i="3" s="1"/>
  <c r="F109" i="3" a="1"/>
  <c r="F109" i="3" s="1"/>
  <c r="F108" i="3" a="1"/>
  <c r="F108" i="3" s="1"/>
  <c r="F107" i="3" a="1"/>
  <c r="F107" i="3" s="1"/>
  <c r="F106" i="3" a="1"/>
  <c r="F106" i="3" s="1"/>
  <c r="F105" i="3" a="1"/>
  <c r="F105" i="3" s="1"/>
  <c r="F104" i="3" a="1"/>
  <c r="F104" i="3" s="1"/>
  <c r="F103" i="3" a="1"/>
  <c r="F103" i="3" s="1"/>
  <c r="F102" i="3" a="1"/>
  <c r="F102" i="3" s="1"/>
  <c r="F101" i="3" a="1"/>
  <c r="F101" i="3" s="1"/>
  <c r="F100" i="3" a="1"/>
  <c r="F100" i="3" s="1"/>
  <c r="F99" i="3" a="1"/>
  <c r="F99" i="3" s="1"/>
  <c r="F98" i="3" a="1"/>
  <c r="F98" i="3" s="1"/>
  <c r="F97" i="3" a="1"/>
  <c r="F97" i="3" s="1"/>
  <c r="F96" i="3" a="1"/>
  <c r="F96" i="3" s="1"/>
  <c r="F95" i="3" a="1"/>
  <c r="F95" i="3" s="1"/>
  <c r="F94" i="3" a="1"/>
  <c r="F94" i="3" s="1"/>
  <c r="F93" i="3" a="1"/>
  <c r="F93" i="3" s="1"/>
  <c r="F92" i="3" a="1"/>
  <c r="F92" i="3" s="1"/>
  <c r="F91" i="3" a="1"/>
  <c r="F91" i="3" s="1"/>
  <c r="F90" i="3" a="1"/>
  <c r="F90" i="3" s="1"/>
  <c r="F89" i="3" a="1"/>
  <c r="F89" i="3" s="1"/>
  <c r="F88" i="3" a="1"/>
  <c r="F88" i="3" s="1"/>
  <c r="F87" i="3" a="1"/>
  <c r="F87" i="3" s="1"/>
  <c r="F86" i="3" a="1"/>
  <c r="F86" i="3" s="1"/>
  <c r="F85" i="3" a="1"/>
  <c r="F85" i="3" s="1"/>
  <c r="F84" i="3" a="1"/>
  <c r="F84" i="3" s="1"/>
  <c r="F83" i="3" a="1"/>
  <c r="F83" i="3" s="1"/>
  <c r="F82" i="3" a="1"/>
  <c r="F82" i="3" s="1"/>
  <c r="F81" i="3" a="1"/>
  <c r="F81" i="3" s="1"/>
  <c r="F80" i="3" a="1"/>
  <c r="F80" i="3" s="1"/>
  <c r="F79" i="3" a="1"/>
  <c r="F79" i="3" s="1"/>
  <c r="F78" i="3" a="1"/>
  <c r="F78" i="3" s="1"/>
  <c r="F77" i="3" a="1"/>
  <c r="F77" i="3" s="1"/>
  <c r="F76" i="3" a="1"/>
  <c r="F76" i="3" s="1"/>
  <c r="F75" i="3" a="1"/>
  <c r="F75" i="3" s="1"/>
  <c r="F74" i="3" a="1"/>
  <c r="F74" i="3" s="1"/>
  <c r="F73" i="3" a="1"/>
  <c r="F73" i="3" s="1"/>
  <c r="F72" i="3" a="1"/>
  <c r="F72" i="3" s="1"/>
  <c r="F71" i="3" a="1"/>
  <c r="F71" i="3" s="1"/>
  <c r="F70" i="3" a="1"/>
  <c r="F70" i="3" s="1"/>
  <c r="F69" i="3" a="1"/>
  <c r="F69" i="3" s="1"/>
  <c r="F68" i="3" a="1"/>
  <c r="F68" i="3" s="1"/>
  <c r="F67" i="3" a="1"/>
  <c r="F67" i="3" s="1"/>
  <c r="F66" i="3" a="1"/>
  <c r="F66" i="3" s="1"/>
  <c r="F65" i="3" a="1"/>
  <c r="F65" i="3" s="1"/>
  <c r="F64" i="3" a="1"/>
  <c r="F64" i="3" s="1"/>
  <c r="F63" i="3" a="1"/>
  <c r="F63" i="3" s="1"/>
  <c r="F62" i="3" a="1"/>
  <c r="F62" i="3" s="1"/>
  <c r="F61" i="3" a="1"/>
  <c r="F61" i="3" s="1"/>
  <c r="F60" i="3" a="1"/>
  <c r="F60" i="3" s="1"/>
  <c r="F59" i="3" a="1"/>
  <c r="F59" i="3" s="1"/>
  <c r="F58" i="3" a="1"/>
  <c r="F58" i="3" s="1"/>
  <c r="F57" i="3" a="1"/>
  <c r="F57" i="3" s="1"/>
  <c r="F56" i="3" a="1"/>
  <c r="F56" i="3" s="1"/>
  <c r="F55" i="3" a="1"/>
  <c r="F55" i="3" s="1"/>
  <c r="F54" i="3" a="1"/>
  <c r="F54" i="3" s="1"/>
  <c r="F53" i="3" a="1"/>
  <c r="F53" i="3" s="1"/>
  <c r="F52" i="3" a="1"/>
  <c r="F52" i="3" s="1"/>
  <c r="F51" i="3" a="1"/>
  <c r="F51" i="3" s="1"/>
  <c r="F50" i="3" a="1"/>
  <c r="F50" i="3" s="1"/>
  <c r="F49" i="3" a="1"/>
  <c r="F49" i="3" s="1"/>
  <c r="F48" i="3" a="1"/>
  <c r="F48" i="3" s="1"/>
  <c r="F47" i="3" a="1"/>
  <c r="F47" i="3" s="1"/>
  <c r="F46" i="3" a="1"/>
  <c r="F46" i="3" s="1"/>
  <c r="F45" i="3" a="1"/>
  <c r="F45" i="3" s="1"/>
  <c r="F44" i="3" a="1"/>
  <c r="F44" i="3" s="1"/>
  <c r="F43" i="3" a="1"/>
  <c r="F43" i="3" s="1"/>
  <c r="F42" i="3" a="1"/>
  <c r="F42" i="3" s="1"/>
  <c r="F41" i="3" a="1"/>
  <c r="F41" i="3" s="1"/>
  <c r="F40" i="3" a="1"/>
  <c r="F40" i="3" s="1"/>
  <c r="F39" i="3" a="1"/>
  <c r="F39" i="3" s="1"/>
  <c r="F38" i="3" a="1"/>
  <c r="F38" i="3" s="1"/>
  <c r="F37" i="3" a="1"/>
  <c r="F37" i="3" s="1"/>
  <c r="F36" i="3" a="1"/>
  <c r="F36" i="3" s="1"/>
  <c r="F35" i="3" a="1"/>
  <c r="F35" i="3" s="1"/>
  <c r="F34" i="3" a="1"/>
  <c r="F34" i="3" s="1"/>
  <c r="F33" i="3" a="1"/>
  <c r="F33" i="3" s="1"/>
  <c r="F32" i="3" a="1"/>
  <c r="F32" i="3" s="1"/>
  <c r="F31" i="3" a="1"/>
  <c r="F31" i="3" s="1"/>
  <c r="F30" i="3" a="1"/>
  <c r="F30" i="3" s="1"/>
  <c r="F29" i="3" a="1"/>
  <c r="F29" i="3" s="1"/>
  <c r="F28" i="3" a="1"/>
  <c r="F28" i="3" s="1"/>
  <c r="F27" i="3" a="1"/>
  <c r="F27" i="3" s="1"/>
  <c r="F26" i="3" a="1"/>
  <c r="F26" i="3" s="1"/>
  <c r="F25" i="3" a="1"/>
  <c r="F25" i="3" s="1"/>
  <c r="F24" i="3" a="1"/>
  <c r="F24" i="3" s="1"/>
  <c r="F23" i="3" a="1"/>
  <c r="F23" i="3" s="1"/>
  <c r="F22" i="3" a="1"/>
  <c r="F22" i="3" s="1"/>
  <c r="F21" i="3" a="1"/>
  <c r="F21" i="3" s="1"/>
  <c r="F20" i="3" a="1"/>
  <c r="F20" i="3" s="1"/>
  <c r="F19" i="3" a="1"/>
  <c r="F19" i="3" s="1"/>
  <c r="F18" i="3" a="1"/>
  <c r="F18" i="3" s="1"/>
  <c r="F17" i="3" a="1"/>
  <c r="F17" i="3" s="1"/>
  <c r="F16" i="3" a="1"/>
  <c r="F16" i="3" s="1"/>
  <c r="F15" i="3" a="1"/>
  <c r="F15" i="3" s="1"/>
  <c r="F14" i="3" a="1"/>
  <c r="F14" i="3" s="1"/>
  <c r="F13" i="3" a="1"/>
  <c r="F13" i="3" s="1"/>
  <c r="F12" i="3" a="1"/>
  <c r="F12" i="3" s="1"/>
  <c r="F11" i="3" a="1"/>
  <c r="F11" i="3" s="1"/>
  <c r="F10" i="3" a="1"/>
  <c r="F10" i="3" s="1"/>
  <c r="F9" i="3" a="1"/>
  <c r="F9" i="3" s="1"/>
  <c r="F8" i="3" a="1"/>
  <c r="F8" i="3" s="1"/>
  <c r="F7" i="3" a="1"/>
  <c r="F7" i="3" s="1"/>
  <c r="F6" i="3" a="1"/>
  <c r="F6" i="3" s="1"/>
  <c r="F5" i="3" a="1"/>
  <c r="F5" i="3" s="1"/>
  <c r="F4" i="3" a="1"/>
  <c r="F4" i="3" s="1"/>
  <c r="F3" i="3" a="1"/>
  <c r="F3"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11">
    <bk>
      <extLst>
        <ext uri="{3e2802c4-a4d2-4d8b-9148-e3be6c30e623}">
          <xlrd:rvb i="2"/>
        </ext>
      </extLst>
    </bk>
    <bk>
      <extLst>
        <ext uri="{3e2802c4-a4d2-4d8b-9148-e3be6c30e623}">
          <xlrd:rvb i="5"/>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7"/>
        </ext>
      </extLst>
    </bk>
    <bk>
      <extLst>
        <ext uri="{3e2802c4-a4d2-4d8b-9148-e3be6c30e623}">
          <xlrd:rvb i="70"/>
        </ext>
      </extLst>
    </bk>
    <bk>
      <extLst>
        <ext uri="{3e2802c4-a4d2-4d8b-9148-e3be6c30e623}">
          <xlrd:rvb i="73"/>
        </ext>
      </extLst>
    </bk>
    <bk>
      <extLst>
        <ext uri="{3e2802c4-a4d2-4d8b-9148-e3be6c30e623}">
          <xlrd:rvb i="76"/>
        </ext>
      </extLst>
    </bk>
    <bk>
      <extLst>
        <ext uri="{3e2802c4-a4d2-4d8b-9148-e3be6c30e623}">
          <xlrd:rvb i="79"/>
        </ext>
      </extLst>
    </bk>
    <bk>
      <extLst>
        <ext uri="{3e2802c4-a4d2-4d8b-9148-e3be6c30e623}">
          <xlrd:rvb i="82"/>
        </ext>
      </extLst>
    </bk>
    <bk>
      <extLst>
        <ext uri="{3e2802c4-a4d2-4d8b-9148-e3be6c30e623}">
          <xlrd:rvb i="85"/>
        </ext>
      </extLst>
    </bk>
    <bk>
      <extLst>
        <ext uri="{3e2802c4-a4d2-4d8b-9148-e3be6c30e623}">
          <xlrd:rvb i="88"/>
        </ext>
      </extLst>
    </bk>
    <bk>
      <extLst>
        <ext uri="{3e2802c4-a4d2-4d8b-9148-e3be6c30e623}">
          <xlrd:rvb i="91"/>
        </ext>
      </extLst>
    </bk>
    <bk>
      <extLst>
        <ext uri="{3e2802c4-a4d2-4d8b-9148-e3be6c30e623}">
          <xlrd:rvb i="94"/>
        </ext>
      </extLst>
    </bk>
    <bk>
      <extLst>
        <ext uri="{3e2802c4-a4d2-4d8b-9148-e3be6c30e623}">
          <xlrd:rvb i="97"/>
        </ext>
      </extLst>
    </bk>
    <bk>
      <extLst>
        <ext uri="{3e2802c4-a4d2-4d8b-9148-e3be6c30e623}">
          <xlrd:rvb i="100"/>
        </ext>
      </extLst>
    </bk>
    <bk>
      <extLst>
        <ext uri="{3e2802c4-a4d2-4d8b-9148-e3be6c30e623}">
          <xlrd:rvb i="103"/>
        </ext>
      </extLst>
    </bk>
    <bk>
      <extLst>
        <ext uri="{3e2802c4-a4d2-4d8b-9148-e3be6c30e623}">
          <xlrd:rvb i="106"/>
        </ext>
      </extLst>
    </bk>
    <bk>
      <extLst>
        <ext uri="{3e2802c4-a4d2-4d8b-9148-e3be6c30e623}">
          <xlrd:rvb i="109"/>
        </ext>
      </extLst>
    </bk>
    <bk>
      <extLst>
        <ext uri="{3e2802c4-a4d2-4d8b-9148-e3be6c30e623}">
          <xlrd:rvb i="112"/>
        </ext>
      </extLst>
    </bk>
    <bk>
      <extLst>
        <ext uri="{3e2802c4-a4d2-4d8b-9148-e3be6c30e623}">
          <xlrd:rvb i="115"/>
        </ext>
      </extLst>
    </bk>
    <bk>
      <extLst>
        <ext uri="{3e2802c4-a4d2-4d8b-9148-e3be6c30e623}">
          <xlrd:rvb i="118"/>
        </ext>
      </extLst>
    </bk>
    <bk>
      <extLst>
        <ext uri="{3e2802c4-a4d2-4d8b-9148-e3be6c30e623}">
          <xlrd:rvb i="121"/>
        </ext>
      </extLst>
    </bk>
    <bk>
      <extLst>
        <ext uri="{3e2802c4-a4d2-4d8b-9148-e3be6c30e623}">
          <xlrd:rvb i="124"/>
        </ext>
      </extLst>
    </bk>
    <bk>
      <extLst>
        <ext uri="{3e2802c4-a4d2-4d8b-9148-e3be6c30e623}">
          <xlrd:rvb i="127"/>
        </ext>
      </extLst>
    </bk>
    <bk>
      <extLst>
        <ext uri="{3e2802c4-a4d2-4d8b-9148-e3be6c30e623}">
          <xlrd:rvb i="130"/>
        </ext>
      </extLst>
    </bk>
    <bk>
      <extLst>
        <ext uri="{3e2802c4-a4d2-4d8b-9148-e3be6c30e623}">
          <xlrd:rvb i="133"/>
        </ext>
      </extLst>
    </bk>
    <bk>
      <extLst>
        <ext uri="{3e2802c4-a4d2-4d8b-9148-e3be6c30e623}">
          <xlrd:rvb i="136"/>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59"/>
        </ext>
      </extLst>
    </bk>
    <bk>
      <extLst>
        <ext uri="{3e2802c4-a4d2-4d8b-9148-e3be6c30e623}">
          <xlrd:rvb i="161"/>
        </ext>
      </extLst>
    </bk>
    <bk>
      <extLst>
        <ext uri="{3e2802c4-a4d2-4d8b-9148-e3be6c30e623}">
          <xlrd:rvb i="164"/>
        </ext>
      </extLst>
    </bk>
    <bk>
      <extLst>
        <ext uri="{3e2802c4-a4d2-4d8b-9148-e3be6c30e623}">
          <xlrd:rvb i="167"/>
        </ext>
      </extLst>
    </bk>
    <bk>
      <extLst>
        <ext uri="{3e2802c4-a4d2-4d8b-9148-e3be6c30e623}">
          <xlrd:rvb i="170"/>
        </ext>
      </extLst>
    </bk>
    <bk>
      <extLst>
        <ext uri="{3e2802c4-a4d2-4d8b-9148-e3be6c30e623}">
          <xlrd:rvb i="173"/>
        </ext>
      </extLst>
    </bk>
    <bk>
      <extLst>
        <ext uri="{3e2802c4-a4d2-4d8b-9148-e3be6c30e623}">
          <xlrd:rvb i="176"/>
        </ext>
      </extLst>
    </bk>
    <bk>
      <extLst>
        <ext uri="{3e2802c4-a4d2-4d8b-9148-e3be6c30e623}">
          <xlrd:rvb i="179"/>
        </ext>
      </extLst>
    </bk>
    <bk>
      <extLst>
        <ext uri="{3e2802c4-a4d2-4d8b-9148-e3be6c30e623}">
          <xlrd:rvb i="182"/>
        </ext>
      </extLst>
    </bk>
    <bk>
      <extLst>
        <ext uri="{3e2802c4-a4d2-4d8b-9148-e3be6c30e623}">
          <xlrd:rvb i="185"/>
        </ext>
      </extLst>
    </bk>
    <bk>
      <extLst>
        <ext uri="{3e2802c4-a4d2-4d8b-9148-e3be6c30e623}">
          <xlrd:rvb i="188"/>
        </ext>
      </extLst>
    </bk>
    <bk>
      <extLst>
        <ext uri="{3e2802c4-a4d2-4d8b-9148-e3be6c30e623}">
          <xlrd:rvb i="191"/>
        </ext>
      </extLst>
    </bk>
    <bk>
      <extLst>
        <ext uri="{3e2802c4-a4d2-4d8b-9148-e3be6c30e623}">
          <xlrd:rvb i="194"/>
        </ext>
      </extLst>
    </bk>
    <bk>
      <extLst>
        <ext uri="{3e2802c4-a4d2-4d8b-9148-e3be6c30e623}">
          <xlrd:rvb i="197"/>
        </ext>
      </extLst>
    </bk>
    <bk>
      <extLst>
        <ext uri="{3e2802c4-a4d2-4d8b-9148-e3be6c30e623}">
          <xlrd:rvb i="200"/>
        </ext>
      </extLst>
    </bk>
    <bk>
      <extLst>
        <ext uri="{3e2802c4-a4d2-4d8b-9148-e3be6c30e623}">
          <xlrd:rvb i="203"/>
        </ext>
      </extLst>
    </bk>
    <bk>
      <extLst>
        <ext uri="{3e2802c4-a4d2-4d8b-9148-e3be6c30e623}">
          <xlrd:rvb i="206"/>
        </ext>
      </extLst>
    </bk>
    <bk>
      <extLst>
        <ext uri="{3e2802c4-a4d2-4d8b-9148-e3be6c30e623}">
          <xlrd:rvb i="209"/>
        </ext>
      </extLst>
    </bk>
    <bk>
      <extLst>
        <ext uri="{3e2802c4-a4d2-4d8b-9148-e3be6c30e623}">
          <xlrd:rvb i="212"/>
        </ext>
      </extLst>
    </bk>
    <bk>
      <extLst>
        <ext uri="{3e2802c4-a4d2-4d8b-9148-e3be6c30e623}">
          <xlrd:rvb i="214"/>
        </ext>
      </extLst>
    </bk>
    <bk>
      <extLst>
        <ext uri="{3e2802c4-a4d2-4d8b-9148-e3be6c30e623}">
          <xlrd:rvb i="215"/>
        </ext>
      </extLst>
    </bk>
    <bk>
      <extLst>
        <ext uri="{3e2802c4-a4d2-4d8b-9148-e3be6c30e623}">
          <xlrd:rvb i="218"/>
        </ext>
      </extLst>
    </bk>
    <bk>
      <extLst>
        <ext uri="{3e2802c4-a4d2-4d8b-9148-e3be6c30e623}">
          <xlrd:rvb i="221"/>
        </ext>
      </extLst>
    </bk>
    <bk>
      <extLst>
        <ext uri="{3e2802c4-a4d2-4d8b-9148-e3be6c30e623}">
          <xlrd:rvb i="224"/>
        </ext>
      </extLst>
    </bk>
    <bk>
      <extLst>
        <ext uri="{3e2802c4-a4d2-4d8b-9148-e3be6c30e623}">
          <xlrd:rvb i="227"/>
        </ext>
      </extLst>
    </bk>
    <bk>
      <extLst>
        <ext uri="{3e2802c4-a4d2-4d8b-9148-e3be6c30e623}">
          <xlrd:rvb i="230"/>
        </ext>
      </extLst>
    </bk>
    <bk>
      <extLst>
        <ext uri="{3e2802c4-a4d2-4d8b-9148-e3be6c30e623}">
          <xlrd:rvb i="233"/>
        </ext>
      </extLst>
    </bk>
    <bk>
      <extLst>
        <ext uri="{3e2802c4-a4d2-4d8b-9148-e3be6c30e623}">
          <xlrd:rvb i="236"/>
        </ext>
      </extLst>
    </bk>
    <bk>
      <extLst>
        <ext uri="{3e2802c4-a4d2-4d8b-9148-e3be6c30e623}">
          <xlrd:rvb i="239"/>
        </ext>
      </extLst>
    </bk>
    <bk>
      <extLst>
        <ext uri="{3e2802c4-a4d2-4d8b-9148-e3be6c30e623}">
          <xlrd:rvb i="242"/>
        </ext>
      </extLst>
    </bk>
    <bk>
      <extLst>
        <ext uri="{3e2802c4-a4d2-4d8b-9148-e3be6c30e623}">
          <xlrd:rvb i="245"/>
        </ext>
      </extLst>
    </bk>
    <bk>
      <extLst>
        <ext uri="{3e2802c4-a4d2-4d8b-9148-e3be6c30e623}">
          <xlrd:rvb i="248"/>
        </ext>
      </extLst>
    </bk>
    <bk>
      <extLst>
        <ext uri="{3e2802c4-a4d2-4d8b-9148-e3be6c30e623}">
          <xlrd:rvb i="251"/>
        </ext>
      </extLst>
    </bk>
    <bk>
      <extLst>
        <ext uri="{3e2802c4-a4d2-4d8b-9148-e3be6c30e623}">
          <xlrd:rvb i="254"/>
        </ext>
      </extLst>
    </bk>
    <bk>
      <extLst>
        <ext uri="{3e2802c4-a4d2-4d8b-9148-e3be6c30e623}">
          <xlrd:rvb i="257"/>
        </ext>
      </extLst>
    </bk>
    <bk>
      <extLst>
        <ext uri="{3e2802c4-a4d2-4d8b-9148-e3be6c30e623}">
          <xlrd:rvb i="260"/>
        </ext>
      </extLst>
    </bk>
    <bk>
      <extLst>
        <ext uri="{3e2802c4-a4d2-4d8b-9148-e3be6c30e623}">
          <xlrd:rvb i="263"/>
        </ext>
      </extLst>
    </bk>
    <bk>
      <extLst>
        <ext uri="{3e2802c4-a4d2-4d8b-9148-e3be6c30e623}">
          <xlrd:rvb i="266"/>
        </ext>
      </extLst>
    </bk>
    <bk>
      <extLst>
        <ext uri="{3e2802c4-a4d2-4d8b-9148-e3be6c30e623}">
          <xlrd:rvb i="269"/>
        </ext>
      </extLst>
    </bk>
    <bk>
      <extLst>
        <ext uri="{3e2802c4-a4d2-4d8b-9148-e3be6c30e623}">
          <xlrd:rvb i="272"/>
        </ext>
      </extLst>
    </bk>
    <bk>
      <extLst>
        <ext uri="{3e2802c4-a4d2-4d8b-9148-e3be6c30e623}">
          <xlrd:rvb i="275"/>
        </ext>
      </extLst>
    </bk>
    <bk>
      <extLst>
        <ext uri="{3e2802c4-a4d2-4d8b-9148-e3be6c30e623}">
          <xlrd:rvb i="278"/>
        </ext>
      </extLst>
    </bk>
    <bk>
      <extLst>
        <ext uri="{3e2802c4-a4d2-4d8b-9148-e3be6c30e623}">
          <xlrd:rvb i="281"/>
        </ext>
      </extLst>
    </bk>
    <bk>
      <extLst>
        <ext uri="{3e2802c4-a4d2-4d8b-9148-e3be6c30e623}">
          <xlrd:rvb i="284"/>
        </ext>
      </extLst>
    </bk>
    <bk>
      <extLst>
        <ext uri="{3e2802c4-a4d2-4d8b-9148-e3be6c30e623}">
          <xlrd:rvb i="287"/>
        </ext>
      </extLst>
    </bk>
    <bk>
      <extLst>
        <ext uri="{3e2802c4-a4d2-4d8b-9148-e3be6c30e623}">
          <xlrd:rvb i="290"/>
        </ext>
      </extLst>
    </bk>
    <bk>
      <extLst>
        <ext uri="{3e2802c4-a4d2-4d8b-9148-e3be6c30e623}">
          <xlrd:rvb i="293"/>
        </ext>
      </extLst>
    </bk>
    <bk>
      <extLst>
        <ext uri="{3e2802c4-a4d2-4d8b-9148-e3be6c30e623}">
          <xlrd:rvb i="296"/>
        </ext>
      </extLst>
    </bk>
    <bk>
      <extLst>
        <ext uri="{3e2802c4-a4d2-4d8b-9148-e3be6c30e623}">
          <xlrd:rvb i="299"/>
        </ext>
      </extLst>
    </bk>
    <bk>
      <extLst>
        <ext uri="{3e2802c4-a4d2-4d8b-9148-e3be6c30e623}">
          <xlrd:rvb i="302"/>
        </ext>
      </extLst>
    </bk>
    <bk>
      <extLst>
        <ext uri="{3e2802c4-a4d2-4d8b-9148-e3be6c30e623}">
          <xlrd:rvb i="305"/>
        </ext>
      </extLst>
    </bk>
    <bk>
      <extLst>
        <ext uri="{3e2802c4-a4d2-4d8b-9148-e3be6c30e623}">
          <xlrd:rvb i="308"/>
        </ext>
      </extLst>
    </bk>
    <bk>
      <extLst>
        <ext uri="{3e2802c4-a4d2-4d8b-9148-e3be6c30e623}">
          <xlrd:rvb i="311"/>
        </ext>
      </extLst>
    </bk>
    <bk>
      <extLst>
        <ext uri="{3e2802c4-a4d2-4d8b-9148-e3be6c30e623}">
          <xlrd:rvb i="314"/>
        </ext>
      </extLst>
    </bk>
    <bk>
      <extLst>
        <ext uri="{3e2802c4-a4d2-4d8b-9148-e3be6c30e623}">
          <xlrd:rvb i="317"/>
        </ext>
      </extLst>
    </bk>
    <bk>
      <extLst>
        <ext uri="{3e2802c4-a4d2-4d8b-9148-e3be6c30e623}">
          <xlrd:rvb i="320"/>
        </ext>
      </extLst>
    </bk>
    <bk>
      <extLst>
        <ext uri="{3e2802c4-a4d2-4d8b-9148-e3be6c30e623}">
          <xlrd:rvb i="323"/>
        </ext>
      </extLst>
    </bk>
    <bk>
      <extLst>
        <ext uri="{3e2802c4-a4d2-4d8b-9148-e3be6c30e623}">
          <xlrd:rvb i="326"/>
        </ext>
      </extLst>
    </bk>
    <bk>
      <extLst>
        <ext uri="{3e2802c4-a4d2-4d8b-9148-e3be6c30e623}">
          <xlrd:rvb i="329"/>
        </ext>
      </extLst>
    </bk>
    <bk>
      <extLst>
        <ext uri="{3e2802c4-a4d2-4d8b-9148-e3be6c30e623}">
          <xlrd:rvb i="332"/>
        </ext>
      </extLst>
    </bk>
    <bk>
      <extLst>
        <ext uri="{3e2802c4-a4d2-4d8b-9148-e3be6c30e623}">
          <xlrd:rvb i="335"/>
        </ext>
      </extLst>
    </bk>
    <bk>
      <extLst>
        <ext uri="{3e2802c4-a4d2-4d8b-9148-e3be6c30e623}">
          <xlrd:rvb i="338"/>
        </ext>
      </extLst>
    </bk>
    <bk>
      <extLst>
        <ext uri="{3e2802c4-a4d2-4d8b-9148-e3be6c30e623}">
          <xlrd:rvb i="340"/>
        </ext>
      </extLst>
    </bk>
    <bk>
      <extLst>
        <ext uri="{3e2802c4-a4d2-4d8b-9148-e3be6c30e623}">
          <xlrd:rvb i="343"/>
        </ext>
      </extLst>
    </bk>
    <bk>
      <extLst>
        <ext uri="{3e2802c4-a4d2-4d8b-9148-e3be6c30e623}">
          <xlrd:rvb i="346"/>
        </ext>
      </extLst>
    </bk>
    <bk>
      <extLst>
        <ext uri="{3e2802c4-a4d2-4d8b-9148-e3be6c30e623}">
          <xlrd:rvb i="349"/>
        </ext>
      </extLst>
    </bk>
    <bk>
      <extLst>
        <ext uri="{3e2802c4-a4d2-4d8b-9148-e3be6c30e623}">
          <xlrd:rvb i="352"/>
        </ext>
      </extLst>
    </bk>
    <bk>
      <extLst>
        <ext uri="{3e2802c4-a4d2-4d8b-9148-e3be6c30e623}">
          <xlrd:rvb i="355"/>
        </ext>
      </extLst>
    </bk>
    <bk>
      <extLst>
        <ext uri="{3e2802c4-a4d2-4d8b-9148-e3be6c30e623}">
          <xlrd:rvb i="358"/>
        </ext>
      </extLst>
    </bk>
    <bk>
      <extLst>
        <ext uri="{3e2802c4-a4d2-4d8b-9148-e3be6c30e623}">
          <xlrd:rvb i="361"/>
        </ext>
      </extLst>
    </bk>
    <bk>
      <extLst>
        <ext uri="{3e2802c4-a4d2-4d8b-9148-e3be6c30e623}">
          <xlrd:rvb i="364"/>
        </ext>
      </extLst>
    </bk>
    <bk>
      <extLst>
        <ext uri="{3e2802c4-a4d2-4d8b-9148-e3be6c30e623}">
          <xlrd:rvb i="367"/>
        </ext>
      </extLst>
    </bk>
    <bk>
      <extLst>
        <ext uri="{3e2802c4-a4d2-4d8b-9148-e3be6c30e623}">
          <xlrd:rvb i="370"/>
        </ext>
      </extLst>
    </bk>
    <bk>
      <extLst>
        <ext uri="{3e2802c4-a4d2-4d8b-9148-e3be6c30e623}">
          <xlrd:rvb i="373"/>
        </ext>
      </extLst>
    </bk>
    <bk>
      <extLst>
        <ext uri="{3e2802c4-a4d2-4d8b-9148-e3be6c30e623}">
          <xlrd:rvb i="376"/>
        </ext>
      </extLst>
    </bk>
    <bk>
      <extLst>
        <ext uri="{3e2802c4-a4d2-4d8b-9148-e3be6c30e623}">
          <xlrd:rvb i="379"/>
        </ext>
      </extLst>
    </bk>
    <bk>
      <extLst>
        <ext uri="{3e2802c4-a4d2-4d8b-9148-e3be6c30e623}">
          <xlrd:rvb i="381"/>
        </ext>
      </extLst>
    </bk>
    <bk>
      <extLst>
        <ext uri="{3e2802c4-a4d2-4d8b-9148-e3be6c30e623}">
          <xlrd:rvb i="384"/>
        </ext>
      </extLst>
    </bk>
    <bk>
      <extLst>
        <ext uri="{3e2802c4-a4d2-4d8b-9148-e3be6c30e623}">
          <xlrd:rvb i="387"/>
        </ext>
      </extLst>
    </bk>
    <bk>
      <extLst>
        <ext uri="{3e2802c4-a4d2-4d8b-9148-e3be6c30e623}">
          <xlrd:rvb i="390"/>
        </ext>
      </extLst>
    </bk>
    <bk>
      <extLst>
        <ext uri="{3e2802c4-a4d2-4d8b-9148-e3be6c30e623}">
          <xlrd:rvb i="393"/>
        </ext>
      </extLst>
    </bk>
    <bk>
      <extLst>
        <ext uri="{3e2802c4-a4d2-4d8b-9148-e3be6c30e623}">
          <xlrd:rvb i="396"/>
        </ext>
      </extLst>
    </bk>
    <bk>
      <extLst>
        <ext uri="{3e2802c4-a4d2-4d8b-9148-e3be6c30e623}">
          <xlrd:rvb i="399"/>
        </ext>
      </extLst>
    </bk>
    <bk>
      <extLst>
        <ext uri="{3e2802c4-a4d2-4d8b-9148-e3be6c30e623}">
          <xlrd:rvb i="401"/>
        </ext>
      </extLst>
    </bk>
    <bk>
      <extLst>
        <ext uri="{3e2802c4-a4d2-4d8b-9148-e3be6c30e623}">
          <xlrd:rvb i="402"/>
        </ext>
      </extLst>
    </bk>
    <bk>
      <extLst>
        <ext uri="{3e2802c4-a4d2-4d8b-9148-e3be6c30e623}">
          <xlrd:rvb i="405"/>
        </ext>
      </extLst>
    </bk>
    <bk>
      <extLst>
        <ext uri="{3e2802c4-a4d2-4d8b-9148-e3be6c30e623}">
          <xlrd:rvb i="408"/>
        </ext>
      </extLst>
    </bk>
    <bk>
      <extLst>
        <ext uri="{3e2802c4-a4d2-4d8b-9148-e3be6c30e623}">
          <xlrd:rvb i="411"/>
        </ext>
      </extLst>
    </bk>
    <bk>
      <extLst>
        <ext uri="{3e2802c4-a4d2-4d8b-9148-e3be6c30e623}">
          <xlrd:rvb i="414"/>
        </ext>
      </extLst>
    </bk>
    <bk>
      <extLst>
        <ext uri="{3e2802c4-a4d2-4d8b-9148-e3be6c30e623}">
          <xlrd:rvb i="417"/>
        </ext>
      </extLst>
    </bk>
    <bk>
      <extLst>
        <ext uri="{3e2802c4-a4d2-4d8b-9148-e3be6c30e623}">
          <xlrd:rvb i="420"/>
        </ext>
      </extLst>
    </bk>
    <bk>
      <extLst>
        <ext uri="{3e2802c4-a4d2-4d8b-9148-e3be6c30e623}">
          <xlrd:rvb i="423"/>
        </ext>
      </extLst>
    </bk>
    <bk>
      <extLst>
        <ext uri="{3e2802c4-a4d2-4d8b-9148-e3be6c30e623}">
          <xlrd:rvb i="426"/>
        </ext>
      </extLst>
    </bk>
    <bk>
      <extLst>
        <ext uri="{3e2802c4-a4d2-4d8b-9148-e3be6c30e623}">
          <xlrd:rvb i="428"/>
        </ext>
      </extLst>
    </bk>
    <bk>
      <extLst>
        <ext uri="{3e2802c4-a4d2-4d8b-9148-e3be6c30e623}">
          <xlrd:rvb i="431"/>
        </ext>
      </extLst>
    </bk>
    <bk>
      <extLst>
        <ext uri="{3e2802c4-a4d2-4d8b-9148-e3be6c30e623}">
          <xlrd:rvb i="433"/>
        </ext>
      </extLst>
    </bk>
    <bk>
      <extLst>
        <ext uri="{3e2802c4-a4d2-4d8b-9148-e3be6c30e623}">
          <xlrd:rvb i="435"/>
        </ext>
      </extLst>
    </bk>
    <bk>
      <extLst>
        <ext uri="{3e2802c4-a4d2-4d8b-9148-e3be6c30e623}">
          <xlrd:rvb i="438"/>
        </ext>
      </extLst>
    </bk>
    <bk>
      <extLst>
        <ext uri="{3e2802c4-a4d2-4d8b-9148-e3be6c30e623}">
          <xlrd:rvb i="441"/>
        </ext>
      </extLst>
    </bk>
    <bk>
      <extLst>
        <ext uri="{3e2802c4-a4d2-4d8b-9148-e3be6c30e623}">
          <xlrd:rvb i="444"/>
        </ext>
      </extLst>
    </bk>
    <bk>
      <extLst>
        <ext uri="{3e2802c4-a4d2-4d8b-9148-e3be6c30e623}">
          <xlrd:rvb i="447"/>
        </ext>
      </extLst>
    </bk>
    <bk>
      <extLst>
        <ext uri="{3e2802c4-a4d2-4d8b-9148-e3be6c30e623}">
          <xlrd:rvb i="450"/>
        </ext>
      </extLst>
    </bk>
    <bk>
      <extLst>
        <ext uri="{3e2802c4-a4d2-4d8b-9148-e3be6c30e623}">
          <xlrd:rvb i="453"/>
        </ext>
      </extLst>
    </bk>
    <bk>
      <extLst>
        <ext uri="{3e2802c4-a4d2-4d8b-9148-e3be6c30e623}">
          <xlrd:rvb i="456"/>
        </ext>
      </extLst>
    </bk>
    <bk>
      <extLst>
        <ext uri="{3e2802c4-a4d2-4d8b-9148-e3be6c30e623}">
          <xlrd:rvb i="458"/>
        </ext>
      </extLst>
    </bk>
    <bk>
      <extLst>
        <ext uri="{3e2802c4-a4d2-4d8b-9148-e3be6c30e623}">
          <xlrd:rvb i="461"/>
        </ext>
      </extLst>
    </bk>
    <bk>
      <extLst>
        <ext uri="{3e2802c4-a4d2-4d8b-9148-e3be6c30e623}">
          <xlrd:rvb i="464"/>
        </ext>
      </extLst>
    </bk>
    <bk>
      <extLst>
        <ext uri="{3e2802c4-a4d2-4d8b-9148-e3be6c30e623}">
          <xlrd:rvb i="467"/>
        </ext>
      </extLst>
    </bk>
    <bk>
      <extLst>
        <ext uri="{3e2802c4-a4d2-4d8b-9148-e3be6c30e623}">
          <xlrd:rvb i="470"/>
        </ext>
      </extLst>
    </bk>
    <bk>
      <extLst>
        <ext uri="{3e2802c4-a4d2-4d8b-9148-e3be6c30e623}">
          <xlrd:rvb i="473"/>
        </ext>
      </extLst>
    </bk>
    <bk>
      <extLst>
        <ext uri="{3e2802c4-a4d2-4d8b-9148-e3be6c30e623}">
          <xlrd:rvb i="476"/>
        </ext>
      </extLst>
    </bk>
    <bk>
      <extLst>
        <ext uri="{3e2802c4-a4d2-4d8b-9148-e3be6c30e623}">
          <xlrd:rvb i="479"/>
        </ext>
      </extLst>
    </bk>
    <bk>
      <extLst>
        <ext uri="{3e2802c4-a4d2-4d8b-9148-e3be6c30e623}">
          <xlrd:rvb i="482"/>
        </ext>
      </extLst>
    </bk>
    <bk>
      <extLst>
        <ext uri="{3e2802c4-a4d2-4d8b-9148-e3be6c30e623}">
          <xlrd:rvb i="485"/>
        </ext>
      </extLst>
    </bk>
    <bk>
      <extLst>
        <ext uri="{3e2802c4-a4d2-4d8b-9148-e3be6c30e623}">
          <xlrd:rvb i="487"/>
        </ext>
      </extLst>
    </bk>
    <bk>
      <extLst>
        <ext uri="{3e2802c4-a4d2-4d8b-9148-e3be6c30e623}">
          <xlrd:rvb i="490"/>
        </ext>
      </extLst>
    </bk>
    <bk>
      <extLst>
        <ext uri="{3e2802c4-a4d2-4d8b-9148-e3be6c30e623}">
          <xlrd:rvb i="493"/>
        </ext>
      </extLst>
    </bk>
    <bk>
      <extLst>
        <ext uri="{3e2802c4-a4d2-4d8b-9148-e3be6c30e623}">
          <xlrd:rvb i="496"/>
        </ext>
      </extLst>
    </bk>
    <bk>
      <extLst>
        <ext uri="{3e2802c4-a4d2-4d8b-9148-e3be6c30e623}">
          <xlrd:rvb i="499"/>
        </ext>
      </extLst>
    </bk>
    <bk>
      <extLst>
        <ext uri="{3e2802c4-a4d2-4d8b-9148-e3be6c30e623}">
          <xlrd:rvb i="502"/>
        </ext>
      </extLst>
    </bk>
    <bk>
      <extLst>
        <ext uri="{3e2802c4-a4d2-4d8b-9148-e3be6c30e623}">
          <xlrd:rvb i="505"/>
        </ext>
      </extLst>
    </bk>
    <bk>
      <extLst>
        <ext uri="{3e2802c4-a4d2-4d8b-9148-e3be6c30e623}">
          <xlrd:rvb i="508"/>
        </ext>
      </extLst>
    </bk>
    <bk>
      <extLst>
        <ext uri="{3e2802c4-a4d2-4d8b-9148-e3be6c30e623}">
          <xlrd:rvb i="511"/>
        </ext>
      </extLst>
    </bk>
    <bk>
      <extLst>
        <ext uri="{3e2802c4-a4d2-4d8b-9148-e3be6c30e623}">
          <xlrd:rvb i="514"/>
        </ext>
      </extLst>
    </bk>
    <bk>
      <extLst>
        <ext uri="{3e2802c4-a4d2-4d8b-9148-e3be6c30e623}">
          <xlrd:rvb i="517"/>
        </ext>
      </extLst>
    </bk>
    <bk>
      <extLst>
        <ext uri="{3e2802c4-a4d2-4d8b-9148-e3be6c30e623}">
          <xlrd:rvb i="520"/>
        </ext>
      </extLst>
    </bk>
    <bk>
      <extLst>
        <ext uri="{3e2802c4-a4d2-4d8b-9148-e3be6c30e623}">
          <xlrd:rvb i="523"/>
        </ext>
      </extLst>
    </bk>
    <bk>
      <extLst>
        <ext uri="{3e2802c4-a4d2-4d8b-9148-e3be6c30e623}">
          <xlrd:rvb i="525"/>
        </ext>
      </extLst>
    </bk>
    <bk>
      <extLst>
        <ext uri="{3e2802c4-a4d2-4d8b-9148-e3be6c30e623}">
          <xlrd:rvb i="528"/>
        </ext>
      </extLst>
    </bk>
    <bk>
      <extLst>
        <ext uri="{3e2802c4-a4d2-4d8b-9148-e3be6c30e623}">
          <xlrd:rvb i="531"/>
        </ext>
      </extLst>
    </bk>
    <bk>
      <extLst>
        <ext uri="{3e2802c4-a4d2-4d8b-9148-e3be6c30e623}">
          <xlrd:rvb i="534"/>
        </ext>
      </extLst>
    </bk>
    <bk>
      <extLst>
        <ext uri="{3e2802c4-a4d2-4d8b-9148-e3be6c30e623}">
          <xlrd:rvb i="536"/>
        </ext>
      </extLst>
    </bk>
    <bk>
      <extLst>
        <ext uri="{3e2802c4-a4d2-4d8b-9148-e3be6c30e623}">
          <xlrd:rvb i="538"/>
        </ext>
      </extLst>
    </bk>
    <bk>
      <extLst>
        <ext uri="{3e2802c4-a4d2-4d8b-9148-e3be6c30e623}">
          <xlrd:rvb i="541"/>
        </ext>
      </extLst>
    </bk>
    <bk>
      <extLst>
        <ext uri="{3e2802c4-a4d2-4d8b-9148-e3be6c30e623}">
          <xlrd:rvb i="544"/>
        </ext>
      </extLst>
    </bk>
    <bk>
      <extLst>
        <ext uri="{3e2802c4-a4d2-4d8b-9148-e3be6c30e623}">
          <xlrd:rvb i="546"/>
        </ext>
      </extLst>
    </bk>
    <bk>
      <extLst>
        <ext uri="{3e2802c4-a4d2-4d8b-9148-e3be6c30e623}">
          <xlrd:rvb i="548"/>
        </ext>
      </extLst>
    </bk>
    <bk>
      <extLst>
        <ext uri="{3e2802c4-a4d2-4d8b-9148-e3be6c30e623}">
          <xlrd:rvb i="550"/>
        </ext>
      </extLst>
    </bk>
    <bk>
      <extLst>
        <ext uri="{3e2802c4-a4d2-4d8b-9148-e3be6c30e623}">
          <xlrd:rvb i="553"/>
        </ext>
      </extLst>
    </bk>
    <bk>
      <extLst>
        <ext uri="{3e2802c4-a4d2-4d8b-9148-e3be6c30e623}">
          <xlrd:rvb i="556"/>
        </ext>
      </extLst>
    </bk>
    <bk>
      <extLst>
        <ext uri="{3e2802c4-a4d2-4d8b-9148-e3be6c30e623}">
          <xlrd:rvb i="558"/>
        </ext>
      </extLst>
    </bk>
    <bk>
      <extLst>
        <ext uri="{3e2802c4-a4d2-4d8b-9148-e3be6c30e623}">
          <xlrd:rvb i="561"/>
        </ext>
      </extLst>
    </bk>
    <bk>
      <extLst>
        <ext uri="{3e2802c4-a4d2-4d8b-9148-e3be6c30e623}">
          <xlrd:rvb i="564"/>
        </ext>
      </extLst>
    </bk>
    <bk>
      <extLst>
        <ext uri="{3e2802c4-a4d2-4d8b-9148-e3be6c30e623}">
          <xlrd:rvb i="567"/>
        </ext>
      </extLst>
    </bk>
    <bk>
      <extLst>
        <ext uri="{3e2802c4-a4d2-4d8b-9148-e3be6c30e623}">
          <xlrd:rvb i="570"/>
        </ext>
      </extLst>
    </bk>
    <bk>
      <extLst>
        <ext uri="{3e2802c4-a4d2-4d8b-9148-e3be6c30e623}">
          <xlrd:rvb i="572"/>
        </ext>
      </extLst>
    </bk>
    <bk>
      <extLst>
        <ext uri="{3e2802c4-a4d2-4d8b-9148-e3be6c30e623}">
          <xlrd:rvb i="574"/>
        </ext>
      </extLst>
    </bk>
    <bk>
      <extLst>
        <ext uri="{3e2802c4-a4d2-4d8b-9148-e3be6c30e623}">
          <xlrd:rvb i="577"/>
        </ext>
      </extLst>
    </bk>
    <bk>
      <extLst>
        <ext uri="{3e2802c4-a4d2-4d8b-9148-e3be6c30e623}">
          <xlrd:rvb i="580"/>
        </ext>
      </extLst>
    </bk>
    <bk>
      <extLst>
        <ext uri="{3e2802c4-a4d2-4d8b-9148-e3be6c30e623}">
          <xlrd:rvb i="582"/>
        </ext>
      </extLst>
    </bk>
    <bk>
      <extLst>
        <ext uri="{3e2802c4-a4d2-4d8b-9148-e3be6c30e623}">
          <xlrd:rvb i="584"/>
        </ext>
      </extLst>
    </bk>
    <bk>
      <extLst>
        <ext uri="{3e2802c4-a4d2-4d8b-9148-e3be6c30e623}">
          <xlrd:rvb i="587"/>
        </ext>
      </extLst>
    </bk>
    <bk>
      <extLst>
        <ext uri="{3e2802c4-a4d2-4d8b-9148-e3be6c30e623}">
          <xlrd:rvb i="590"/>
        </ext>
      </extLst>
    </bk>
    <bk>
      <extLst>
        <ext uri="{3e2802c4-a4d2-4d8b-9148-e3be6c30e623}">
          <xlrd:rvb i="592"/>
        </ext>
      </extLst>
    </bk>
    <bk>
      <extLst>
        <ext uri="{3e2802c4-a4d2-4d8b-9148-e3be6c30e623}">
          <xlrd:rvb i="594"/>
        </ext>
      </extLst>
    </bk>
    <bk>
      <extLst>
        <ext uri="{3e2802c4-a4d2-4d8b-9148-e3be6c30e623}">
          <xlrd:rvb i="597"/>
        </ext>
      </extLst>
    </bk>
    <bk>
      <extLst>
        <ext uri="{3e2802c4-a4d2-4d8b-9148-e3be6c30e623}">
          <xlrd:rvb i="600"/>
        </ext>
      </extLst>
    </bk>
    <bk>
      <extLst>
        <ext uri="{3e2802c4-a4d2-4d8b-9148-e3be6c30e623}">
          <xlrd:rvb i="603"/>
        </ext>
      </extLst>
    </bk>
    <bk>
      <extLst>
        <ext uri="{3e2802c4-a4d2-4d8b-9148-e3be6c30e623}">
          <xlrd:rvb i="605"/>
        </ext>
      </extLst>
    </bk>
  </futureMetadata>
  <cellMetadata count="1">
    <bk>
      <rc t="1" v="0"/>
    </bk>
  </cellMetadata>
  <valueMetadata count="21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valueMetadata>
</metadata>
</file>

<file path=xl/sharedStrings.xml><?xml version="1.0" encoding="utf-8"?>
<sst xmlns="http://schemas.openxmlformats.org/spreadsheetml/2006/main" count="1573" uniqueCount="1356">
  <si>
    <t>Last</t>
  </si>
  <si>
    <t>6.81M</t>
  </si>
  <si>
    <t>Closing Price DateTime</t>
  </si>
  <si>
    <t>Ticker</t>
  </si>
  <si>
    <t>Inmobiliaria Colonial</t>
  </si>
  <si>
    <t>Laborat.Rovi</t>
  </si>
  <si>
    <t>Solaria</t>
  </si>
  <si>
    <t>Promotora Informaciones</t>
  </si>
  <si>
    <t>Nueva Expresion</t>
  </si>
  <si>
    <t>Miquel Cost.</t>
  </si>
  <si>
    <t>ENCE</t>
  </si>
  <si>
    <t>Construcciones y Auxiliar</t>
  </si>
  <si>
    <t>Tubos Reunid</t>
  </si>
  <si>
    <t>Grifols Pref</t>
  </si>
  <si>
    <t>Prosegur</t>
  </si>
  <si>
    <t>Renta Corp</t>
  </si>
  <si>
    <t>Current</t>
  </si>
  <si>
    <t>Average Vol. (3m)</t>
  </si>
  <si>
    <t>Market Cap</t>
  </si>
  <si>
    <t>Revenue</t>
  </si>
  <si>
    <t>1.84M</t>
  </si>
  <si>
    <t>39.38B</t>
  </si>
  <si>
    <t>108.11B</t>
  </si>
  <si>
    <t>72.15B</t>
  </si>
  <si>
    <t>45.49B</t>
  </si>
  <si>
    <t>0.00</t>
  </si>
  <si>
    <t>9.35B</t>
  </si>
  <si>
    <t>21.12B</t>
  </si>
  <si>
    <t>1.32M</t>
  </si>
  <si>
    <t>19.93B</t>
  </si>
  <si>
    <t>6.44B</t>
  </si>
  <si>
    <t>48.69B</t>
  </si>
  <si>
    <t>41.62B</t>
  </si>
  <si>
    <t>48.91B</t>
  </si>
  <si>
    <t>16.94B</t>
  </si>
  <si>
    <t>3.89B</t>
  </si>
  <si>
    <t>30.38B</t>
  </si>
  <si>
    <t>21.69B</t>
  </si>
  <si>
    <t>5.18B</t>
  </si>
  <si>
    <t>1.28M</t>
  </si>
  <si>
    <t>1.69B</t>
  </si>
  <si>
    <t>7.52B</t>
  </si>
  <si>
    <t>9.57B</t>
  </si>
  <si>
    <t>2.25B</t>
  </si>
  <si>
    <t>724.20M</t>
  </si>
  <si>
    <t>949.35M</t>
  </si>
  <si>
    <t>3.92B</t>
  </si>
  <si>
    <t>519.00M</t>
  </si>
  <si>
    <t>4.73B</t>
  </si>
  <si>
    <t>5.80B</t>
  </si>
  <si>
    <t>1.54B</t>
  </si>
  <si>
    <t>3.07B</t>
  </si>
  <si>
    <t>1.09B</t>
  </si>
  <si>
    <t>1.69K</t>
  </si>
  <si>
    <t>6.19B</t>
  </si>
  <si>
    <t>1.24B</t>
  </si>
  <si>
    <t>5.83B</t>
  </si>
  <si>
    <t>4.10B</t>
  </si>
  <si>
    <t>5.86B</t>
  </si>
  <si>
    <t>311.99M</t>
  </si>
  <si>
    <t>4.47B</t>
  </si>
  <si>
    <t>2.08B</t>
  </si>
  <si>
    <t>571.12M</t>
  </si>
  <si>
    <t>1.57B</t>
  </si>
  <si>
    <t>134.96M</t>
  </si>
  <si>
    <t>555.25M</t>
  </si>
  <si>
    <t>5.00B</t>
  </si>
  <si>
    <t>1.43K</t>
  </si>
  <si>
    <t>1.92K</t>
  </si>
  <si>
    <t>1.17B</t>
  </si>
  <si>
    <t>902.39M</t>
  </si>
  <si>
    <t>1.16B</t>
  </si>
  <si>
    <t>296.76M</t>
  </si>
  <si>
    <t>777.24M</t>
  </si>
  <si>
    <t>257.60M</t>
  </si>
  <si>
    <t>1.97B</t>
  </si>
  <si>
    <t>1.56B</t>
  </si>
  <si>
    <t>783.52M</t>
  </si>
  <si>
    <t>315.11M</t>
  </si>
  <si>
    <t>494.91M</t>
  </si>
  <si>
    <t>3.57B</t>
  </si>
  <si>
    <t>888.46M</t>
  </si>
  <si>
    <t>384.49M</t>
  </si>
  <si>
    <t>733.85M</t>
  </si>
  <si>
    <t>30.64M</t>
  </si>
  <si>
    <t>207.77M</t>
  </si>
  <si>
    <t>313.17M</t>
  </si>
  <si>
    <t>645.40M</t>
  </si>
  <si>
    <t>216.09M</t>
  </si>
  <si>
    <t>184.53M</t>
  </si>
  <si>
    <t>330.34M</t>
  </si>
  <si>
    <t>222.96M</t>
  </si>
  <si>
    <t>240.68M</t>
  </si>
  <si>
    <t>201.12M</t>
  </si>
  <si>
    <t>112.38M</t>
  </si>
  <si>
    <t>312.81M</t>
  </si>
  <si>
    <t>924.35M</t>
  </si>
  <si>
    <t>119.39M</t>
  </si>
  <si>
    <t>52.53K</t>
  </si>
  <si>
    <t>340.56M</t>
  </si>
  <si>
    <t>86.70M</t>
  </si>
  <si>
    <t>12.90M</t>
  </si>
  <si>
    <t>139.82M</t>
  </si>
  <si>
    <t>357.09M</t>
  </si>
  <si>
    <t>1.93M</t>
  </si>
  <si>
    <t>20.83M</t>
  </si>
  <si>
    <t>254.08M</t>
  </si>
  <si>
    <t>32.54M</t>
  </si>
  <si>
    <t>13.00K</t>
  </si>
  <si>
    <t>30.17M</t>
  </si>
  <si>
    <t>15.49M</t>
  </si>
  <si>
    <t>313.00K</t>
  </si>
  <si>
    <t>Company Name</t>
  </si>
  <si>
    <t>6.17B</t>
  </si>
  <si>
    <t>20.88B</t>
  </si>
  <si>
    <t>1.36M</t>
  </si>
  <si>
    <t>4.92B</t>
  </si>
  <si>
    <t>2.42B</t>
  </si>
  <si>
    <t>536.47M</t>
  </si>
  <si>
    <t>4.53B</t>
  </si>
  <si>
    <t>4.19B</t>
  </si>
  <si>
    <t>226.37M</t>
  </si>
  <si>
    <t>13.54B</t>
  </si>
  <si>
    <t>2.88B</t>
  </si>
  <si>
    <t>1.05B</t>
  </si>
  <si>
    <t>2.30B</t>
  </si>
  <si>
    <t>462.55M</t>
  </si>
  <si>
    <t>11.67B</t>
  </si>
  <si>
    <t>1.7B</t>
  </si>
  <si>
    <t>953.35M</t>
  </si>
  <si>
    <t>485.43M</t>
  </si>
  <si>
    <t>179.28M</t>
  </si>
  <si>
    <t>Linea Directa Aseguradora</t>
  </si>
  <si>
    <t>1.23B</t>
  </si>
  <si>
    <t>125.78M</t>
  </si>
  <si>
    <t>1.04B</t>
  </si>
  <si>
    <t>1.20B</t>
  </si>
  <si>
    <t>Vivenio Residencial</t>
  </si>
  <si>
    <t>1K</t>
  </si>
  <si>
    <t>995.57M</t>
  </si>
  <si>
    <t>69.45M</t>
  </si>
  <si>
    <t>Castellana Properties</t>
  </si>
  <si>
    <t>153.18M</t>
  </si>
  <si>
    <t>2.06B</t>
  </si>
  <si>
    <t>64.21K</t>
  </si>
  <si>
    <t>694.65M</t>
  </si>
  <si>
    <t>97.03M</t>
  </si>
  <si>
    <t>2.59B</t>
  </si>
  <si>
    <t>587.39M</t>
  </si>
  <si>
    <t>62.92M</t>
  </si>
  <si>
    <t>1.21B</t>
  </si>
  <si>
    <t>63.62M</t>
  </si>
  <si>
    <t>487.25M</t>
  </si>
  <si>
    <t>255.78M</t>
  </si>
  <si>
    <t>Testa Residencial</t>
  </si>
  <si>
    <t>410.74M</t>
  </si>
  <si>
    <t>109.70M</t>
  </si>
  <si>
    <t>596.60M</t>
  </si>
  <si>
    <t>687.11M</t>
  </si>
  <si>
    <t>381.32M</t>
  </si>
  <si>
    <t>52.95M</t>
  </si>
  <si>
    <t>214.53M</t>
  </si>
  <si>
    <t>147.25M</t>
  </si>
  <si>
    <t>29.83M</t>
  </si>
  <si>
    <t>35.71M</t>
  </si>
  <si>
    <t>82.76M</t>
  </si>
  <si>
    <t>280.66M</t>
  </si>
  <si>
    <t>32.74M</t>
  </si>
  <si>
    <t>12.19M</t>
  </si>
  <si>
    <t>255.05M</t>
  </si>
  <si>
    <t>123.55M</t>
  </si>
  <si>
    <t>245.6M</t>
  </si>
  <si>
    <t>9.85M</t>
  </si>
  <si>
    <t>237.75M</t>
  </si>
  <si>
    <t>23.71M</t>
  </si>
  <si>
    <t>226.24M</t>
  </si>
  <si>
    <t>Trivium RE</t>
  </si>
  <si>
    <t>202.64M</t>
  </si>
  <si>
    <t>39.74M</t>
  </si>
  <si>
    <t>24.01M</t>
  </si>
  <si>
    <t>180.64M</t>
  </si>
  <si>
    <t>46.39M</t>
  </si>
  <si>
    <t>10.84M</t>
  </si>
  <si>
    <t>Inversiones Doalca</t>
  </si>
  <si>
    <t>156.64M</t>
  </si>
  <si>
    <t>11.64M</t>
  </si>
  <si>
    <t>47.81M</t>
  </si>
  <si>
    <t>Berkeley Energy</t>
  </si>
  <si>
    <t>124.48M</t>
  </si>
  <si>
    <t>17.41M</t>
  </si>
  <si>
    <t>124.45M</t>
  </si>
  <si>
    <t>26.75M</t>
  </si>
  <si>
    <t>121.83M</t>
  </si>
  <si>
    <t>Tempore Properties</t>
  </si>
  <si>
    <t>2.25K</t>
  </si>
  <si>
    <t>117.88M</t>
  </si>
  <si>
    <t>3.11M</t>
  </si>
  <si>
    <t>113.43M</t>
  </si>
  <si>
    <t>7.89M</t>
  </si>
  <si>
    <t>112.52M</t>
  </si>
  <si>
    <t>2.24K</t>
  </si>
  <si>
    <t>15.61M</t>
  </si>
  <si>
    <t>Grupo Greening 2022</t>
  </si>
  <si>
    <t>Singular People SL</t>
  </si>
  <si>
    <t>8.56K</t>
  </si>
  <si>
    <t>115.66M</t>
  </si>
  <si>
    <t>100.73M</t>
  </si>
  <si>
    <t>12.64M</t>
  </si>
  <si>
    <t>100.51M</t>
  </si>
  <si>
    <t>8.82M</t>
  </si>
  <si>
    <t>3.65M</t>
  </si>
  <si>
    <t>86.48M</t>
  </si>
  <si>
    <t>84.77M</t>
  </si>
  <si>
    <t>83.33M</t>
  </si>
  <si>
    <t>14.76M</t>
  </si>
  <si>
    <t>314.94M</t>
  </si>
  <si>
    <t>Llorente Cuenca Madrid SA</t>
  </si>
  <si>
    <t>1.25K</t>
  </si>
  <si>
    <t>95.87M</t>
  </si>
  <si>
    <t>6.25K</t>
  </si>
  <si>
    <t>72.75M</t>
  </si>
  <si>
    <t>3.45M</t>
  </si>
  <si>
    <t>71.81M</t>
  </si>
  <si>
    <t>17.33M</t>
  </si>
  <si>
    <t>8.09M</t>
  </si>
  <si>
    <t>68.11M</t>
  </si>
  <si>
    <t>153.25M</t>
  </si>
  <si>
    <t>12.75M</t>
  </si>
  <si>
    <t>MilePro Logistica Ultima Milla</t>
  </si>
  <si>
    <t>66.22M</t>
  </si>
  <si>
    <t>66M</t>
  </si>
  <si>
    <t>97.78M</t>
  </si>
  <si>
    <t>34.38M</t>
  </si>
  <si>
    <t>64.63M</t>
  </si>
  <si>
    <t>197.11K</t>
  </si>
  <si>
    <t>58.02M</t>
  </si>
  <si>
    <t>4.48M</t>
  </si>
  <si>
    <t>14.35M</t>
  </si>
  <si>
    <t>3.5M</t>
  </si>
  <si>
    <t>55.66M</t>
  </si>
  <si>
    <t>5.64K</t>
  </si>
  <si>
    <t>51.69M</t>
  </si>
  <si>
    <t>19.97K</t>
  </si>
  <si>
    <t>84.56M</t>
  </si>
  <si>
    <t>49.29M</t>
  </si>
  <si>
    <t>50.59M</t>
  </si>
  <si>
    <t>79.43M</t>
  </si>
  <si>
    <t>47.03M</t>
  </si>
  <si>
    <t>68.65K</t>
  </si>
  <si>
    <t>2.68M</t>
  </si>
  <si>
    <t>41.7M</t>
  </si>
  <si>
    <t>4.55M</t>
  </si>
  <si>
    <t>40.44M</t>
  </si>
  <si>
    <t>50.63M</t>
  </si>
  <si>
    <t>37.22M</t>
  </si>
  <si>
    <t>34.73M</t>
  </si>
  <si>
    <t>3.83M</t>
  </si>
  <si>
    <t>41.15K</t>
  </si>
  <si>
    <t>33.88M</t>
  </si>
  <si>
    <t>2.20M</t>
  </si>
  <si>
    <t>33.47M</t>
  </si>
  <si>
    <t>48.02M</t>
  </si>
  <si>
    <t>71.67M</t>
  </si>
  <si>
    <t>10.06K</t>
  </si>
  <si>
    <t>29.45M</t>
  </si>
  <si>
    <t>6.24M</t>
  </si>
  <si>
    <t>28.52M</t>
  </si>
  <si>
    <t>197.96M</t>
  </si>
  <si>
    <t>26.6M</t>
  </si>
  <si>
    <t>3.29K</t>
  </si>
  <si>
    <t>Mistral Iberia RE</t>
  </si>
  <si>
    <t>1.49K</t>
  </si>
  <si>
    <t>22.87M</t>
  </si>
  <si>
    <t>3.66M</t>
  </si>
  <si>
    <t>20.48M</t>
  </si>
  <si>
    <t>20.66M</t>
  </si>
  <si>
    <t>18.99M</t>
  </si>
  <si>
    <t>2.19K</t>
  </si>
  <si>
    <t>18.18M</t>
  </si>
  <si>
    <t>13.06M</t>
  </si>
  <si>
    <t>15.68M</t>
  </si>
  <si>
    <t>3.05M</t>
  </si>
  <si>
    <t>7.46K</t>
  </si>
  <si>
    <t>13.79M</t>
  </si>
  <si>
    <t>25.00K</t>
  </si>
  <si>
    <t>89.57M</t>
  </si>
  <si>
    <t>19.60M</t>
  </si>
  <si>
    <t>10.95M</t>
  </si>
  <si>
    <t>1.35K</t>
  </si>
  <si>
    <t>10.05M</t>
  </si>
  <si>
    <t>4.36M</t>
  </si>
  <si>
    <t>9.55M</t>
  </si>
  <si>
    <t>60.55M</t>
  </si>
  <si>
    <t>9.4M</t>
  </si>
  <si>
    <t>47.82M</t>
  </si>
  <si>
    <t>1.14K</t>
  </si>
  <si>
    <t>8.58M</t>
  </si>
  <si>
    <t>8.14M</t>
  </si>
  <si>
    <t>8.29M</t>
  </si>
  <si>
    <t>6.97M</t>
  </si>
  <si>
    <t>7.26M</t>
  </si>
  <si>
    <t>Alquiler Seguro Asset Market</t>
  </si>
  <si>
    <t>5.03M</t>
  </si>
  <si>
    <t>4.93M</t>
  </si>
  <si>
    <t>19.12M</t>
  </si>
  <si>
    <t>4.83M</t>
  </si>
  <si>
    <t>14.12M</t>
  </si>
  <si>
    <t>3.91M</t>
  </si>
  <si>
    <t>3.09M</t>
  </si>
  <si>
    <t>Ratio</t>
  </si>
  <si>
    <t>Boa growth</t>
  </si>
  <si>
    <t>Low yield / Potential Come back</t>
  </si>
  <si>
    <t>Good FCF/ Low Moat</t>
  </si>
  <si>
    <t>Bom MOAT / Topline growth capped</t>
  </si>
  <si>
    <t>Expensive</t>
  </si>
  <si>
    <t>Name</t>
  </si>
  <si>
    <t>P/E Ratio</t>
  </si>
  <si>
    <t>Beta</t>
  </si>
  <si>
    <t>Inditex</t>
  </si>
  <si>
    <t>176.61B</t>
  </si>
  <si>
    <t>29.23</t>
  </si>
  <si>
    <t>0.97</t>
  </si>
  <si>
    <t>Santander</t>
  </si>
  <si>
    <t>21.57M</t>
  </si>
  <si>
    <t>156.86B</t>
  </si>
  <si>
    <t>12.71</t>
  </si>
  <si>
    <t>0.96</t>
  </si>
  <si>
    <t>Airbus Group</t>
  </si>
  <si>
    <t>3.85K</t>
  </si>
  <si>
    <t>149.02B</t>
  </si>
  <si>
    <t>29.55</t>
  </si>
  <si>
    <t>0.94</t>
  </si>
  <si>
    <t>Iberdrola</t>
  </si>
  <si>
    <t>6.46M</t>
  </si>
  <si>
    <t>126.64B</t>
  </si>
  <si>
    <t>24.73</t>
  </si>
  <si>
    <t>0.65</t>
  </si>
  <si>
    <t>1.01</t>
  </si>
  <si>
    <t>Caixabank</t>
  </si>
  <si>
    <t>6.01M</t>
  </si>
  <si>
    <t>80.07B</t>
  </si>
  <si>
    <t>13.82</t>
  </si>
  <si>
    <t>0.10</t>
  </si>
  <si>
    <t>Ferrovial</t>
  </si>
  <si>
    <t>705.4K</t>
  </si>
  <si>
    <t>41.56B</t>
  </si>
  <si>
    <t>11.99</t>
  </si>
  <si>
    <t>0.76</t>
  </si>
  <si>
    <t>Aena</t>
  </si>
  <si>
    <t>1.18M</t>
  </si>
  <si>
    <t>40.5B</t>
  </si>
  <si>
    <t>19.67</t>
  </si>
  <si>
    <t>0.90</t>
  </si>
  <si>
    <t>Coca-Cola European</t>
  </si>
  <si>
    <t>3.34K</t>
  </si>
  <si>
    <t>36.15B</t>
  </si>
  <si>
    <t>24.25</t>
  </si>
  <si>
    <t>0.58</t>
  </si>
  <si>
    <t>ArcelorMittal</t>
  </si>
  <si>
    <t>175.48K</t>
  </si>
  <si>
    <t>36.07B</t>
  </si>
  <si>
    <t>61.10B</t>
  </si>
  <si>
    <t>16.65</t>
  </si>
  <si>
    <t>1.68</t>
  </si>
  <si>
    <t>Endesa</t>
  </si>
  <si>
    <t>708.16K</t>
  </si>
  <si>
    <t>32.66B</t>
  </si>
  <si>
    <t>15.16</t>
  </si>
  <si>
    <t>Naturgy Energy</t>
  </si>
  <si>
    <t>25.63B</t>
  </si>
  <si>
    <t>12.89</t>
  </si>
  <si>
    <t>0.45</t>
  </si>
  <si>
    <t>373.25K</t>
  </si>
  <si>
    <t>23.84B</t>
  </si>
  <si>
    <t>27.36</t>
  </si>
  <si>
    <t>0.53</t>
  </si>
  <si>
    <t>Amadeus</t>
  </si>
  <si>
    <t>657.04K</t>
  </si>
  <si>
    <t>23.36B</t>
  </si>
  <si>
    <t>17.65</t>
  </si>
  <si>
    <t>0.70</t>
  </si>
  <si>
    <t>IAG</t>
  </si>
  <si>
    <t>7.09M</t>
  </si>
  <si>
    <t>22.84B</t>
  </si>
  <si>
    <t>33.28B</t>
  </si>
  <si>
    <t>7.80</t>
  </si>
  <si>
    <t>1.40</t>
  </si>
  <si>
    <t>Telefonica</t>
  </si>
  <si>
    <t>12.04M</t>
  </si>
  <si>
    <t>20.55B</t>
  </si>
  <si>
    <t>-19.78</t>
  </si>
  <si>
    <t>0.24</t>
  </si>
  <si>
    <t>Repsol</t>
  </si>
  <si>
    <t>3.89M</t>
  </si>
  <si>
    <t>18.26B</t>
  </si>
  <si>
    <t>17.82</t>
  </si>
  <si>
    <t>0.19</t>
  </si>
  <si>
    <t>Cellnex Telecom</t>
  </si>
  <si>
    <t>1.38M</t>
  </si>
  <si>
    <t>18.21B</t>
  </si>
  <si>
    <t>-124.91</t>
  </si>
  <si>
    <t>1.23</t>
  </si>
  <si>
    <t>Banco de Sabadell</t>
  </si>
  <si>
    <t>12.46M</t>
  </si>
  <si>
    <t>9.34</t>
  </si>
  <si>
    <t>Bankinter</t>
  </si>
  <si>
    <t>1.53M</t>
  </si>
  <si>
    <t>13.34B</t>
  </si>
  <si>
    <t>-0.05</t>
  </si>
  <si>
    <t>Mapfre</t>
  </si>
  <si>
    <t>4.34M</t>
  </si>
  <si>
    <t>12.09B</t>
  </si>
  <si>
    <t>10.59</t>
  </si>
  <si>
    <t>0.27</t>
  </si>
  <si>
    <t>Acciona</t>
  </si>
  <si>
    <t>66.97K</t>
  </si>
  <si>
    <t>9.94B</t>
  </si>
  <si>
    <t>11.93</t>
  </si>
  <si>
    <t>0.87</t>
  </si>
  <si>
    <t>Puig Brands</t>
  </si>
  <si>
    <t>589.73K</t>
  </si>
  <si>
    <t>9.45B</t>
  </si>
  <si>
    <t>12.12</t>
  </si>
  <si>
    <t>0.82</t>
  </si>
  <si>
    <t>Indra A</t>
  </si>
  <si>
    <t>811.69K</t>
  </si>
  <si>
    <t>8.2B</t>
  </si>
  <si>
    <t>21.36</t>
  </si>
  <si>
    <t>Redeia Corporacion</t>
  </si>
  <si>
    <t>8.15B</t>
  </si>
  <si>
    <t>22.64</t>
  </si>
  <si>
    <t>Unicaja Banco</t>
  </si>
  <si>
    <t>4.89M</t>
  </si>
  <si>
    <t>7.26B</t>
  </si>
  <si>
    <t>7.89</t>
  </si>
  <si>
    <t>0.44</t>
  </si>
  <si>
    <t>Merlin Properties SA</t>
  </si>
  <si>
    <t>862.36K</t>
  </si>
  <si>
    <t>7.23B</t>
  </si>
  <si>
    <t>10.23</t>
  </si>
  <si>
    <t>Corporacion Acciona Energias Renovables</t>
  </si>
  <si>
    <t>247.5K</t>
  </si>
  <si>
    <t>6.99B</t>
  </si>
  <si>
    <t>9.33</t>
  </si>
  <si>
    <t>0.55</t>
  </si>
  <si>
    <t>109.69K</t>
  </si>
  <si>
    <t>6.69B</t>
  </si>
  <si>
    <t>19.56</t>
  </si>
  <si>
    <t>1.19</t>
  </si>
  <si>
    <t>Grifols</t>
  </si>
  <si>
    <t>FCC</t>
  </si>
  <si>
    <t>18.55K</t>
  </si>
  <si>
    <t>5.35B</t>
  </si>
  <si>
    <t>27.44</t>
  </si>
  <si>
    <t>1.12</t>
  </si>
  <si>
    <t>Fluidra</t>
  </si>
  <si>
    <t>219.51K</t>
  </si>
  <si>
    <t>4.78B</t>
  </si>
  <si>
    <t>26.94</t>
  </si>
  <si>
    <t>Logista</t>
  </si>
  <si>
    <t>197.57K</t>
  </si>
  <si>
    <t>4.2B</t>
  </si>
  <si>
    <t>14.97</t>
  </si>
  <si>
    <t>0.50</t>
  </si>
  <si>
    <t>GGC</t>
  </si>
  <si>
    <t>26.40</t>
  </si>
  <si>
    <t>-0.04</t>
  </si>
  <si>
    <t>102.31K</t>
  </si>
  <si>
    <t>3.77B</t>
  </si>
  <si>
    <t>31.24</t>
  </si>
  <si>
    <t>0.15</t>
  </si>
  <si>
    <t>Enagas</t>
  </si>
  <si>
    <t>955.04K</t>
  </si>
  <si>
    <t>3.72B</t>
  </si>
  <si>
    <t>-11.42</t>
  </si>
  <si>
    <t>0.35</t>
  </si>
  <si>
    <t>Cie Automotive</t>
  </si>
  <si>
    <t>53.78K</t>
  </si>
  <si>
    <t>3.48B</t>
  </si>
  <si>
    <t>10.51</t>
  </si>
  <si>
    <t>0.81</t>
  </si>
  <si>
    <t>3.27B</t>
  </si>
  <si>
    <t>7.40</t>
  </si>
  <si>
    <t>1.30</t>
  </si>
  <si>
    <t>Sacyr</t>
  </si>
  <si>
    <t>1.89M</t>
  </si>
  <si>
    <t>3.18B</t>
  </si>
  <si>
    <t>Acerinox</t>
  </si>
  <si>
    <t>861.13K</t>
  </si>
  <si>
    <t>3.13B</t>
  </si>
  <si>
    <t>44.81</t>
  </si>
  <si>
    <t>1.04</t>
  </si>
  <si>
    <t>Vidrala</t>
  </si>
  <si>
    <t>22.14K</t>
  </si>
  <si>
    <t>3.1B</t>
  </si>
  <si>
    <t>13.23</t>
  </si>
  <si>
    <t>0.92</t>
  </si>
  <si>
    <t>Ebro Foods</t>
  </si>
  <si>
    <t>31.46K</t>
  </si>
  <si>
    <t>0.16</t>
  </si>
  <si>
    <t>Almirall</t>
  </si>
  <si>
    <t>167.08K</t>
  </si>
  <si>
    <t>2.78B</t>
  </si>
  <si>
    <t>66.34</t>
  </si>
  <si>
    <t>0.17</t>
  </si>
  <si>
    <t>Aperam</t>
  </si>
  <si>
    <t>2.61B</t>
  </si>
  <si>
    <t>-327.19</t>
  </si>
  <si>
    <t>1.59</t>
  </si>
  <si>
    <t>Grenergy Renovables SA</t>
  </si>
  <si>
    <t>43.03K</t>
  </si>
  <si>
    <t>26.26</t>
  </si>
  <si>
    <t>1.73</t>
  </si>
  <si>
    <t>Viscofan</t>
  </si>
  <si>
    <t>77.64K</t>
  </si>
  <si>
    <t>2.58B</t>
  </si>
  <si>
    <t>16.21</t>
  </si>
  <si>
    <t>0.163</t>
  </si>
  <si>
    <t>Cirsa Enterprises</t>
  </si>
  <si>
    <t>126.56K</t>
  </si>
  <si>
    <t>2.39B</t>
  </si>
  <si>
    <t>24.54</t>
  </si>
  <si>
    <t>Tecnicas Reunidas</t>
  </si>
  <si>
    <t>123.88K</t>
  </si>
  <si>
    <t>2.36B</t>
  </si>
  <si>
    <t>17.73</t>
  </si>
  <si>
    <t>1.08</t>
  </si>
  <si>
    <t>DIA</t>
  </si>
  <si>
    <t>36.95K</t>
  </si>
  <si>
    <t>58.81</t>
  </si>
  <si>
    <t>0.84</t>
  </si>
  <si>
    <t>Elecnor</t>
  </si>
  <si>
    <t>118.52K</t>
  </si>
  <si>
    <t>2.24B</t>
  </si>
  <si>
    <t>-24.17</t>
  </si>
  <si>
    <t>0.79</t>
  </si>
  <si>
    <t>921.96K</t>
  </si>
  <si>
    <t>2.17B</t>
  </si>
  <si>
    <t>12.56</t>
  </si>
  <si>
    <t>1.35</t>
  </si>
  <si>
    <t>Neinor Homes</t>
  </si>
  <si>
    <t>120.56K</t>
  </si>
  <si>
    <t>1.99B</t>
  </si>
  <si>
    <t>27.21</t>
  </si>
  <si>
    <t>32.84K</t>
  </si>
  <si>
    <t>1.91B</t>
  </si>
  <si>
    <t>13.48</t>
  </si>
  <si>
    <t>Gestamp Automocion</t>
  </si>
  <si>
    <t>269.15K</t>
  </si>
  <si>
    <t>1.78B</t>
  </si>
  <si>
    <t>11.43</t>
  </si>
  <si>
    <t>0.99</t>
  </si>
  <si>
    <t>Inmocemento</t>
  </si>
  <si>
    <t>19.1K</t>
  </si>
  <si>
    <t>1.77B</t>
  </si>
  <si>
    <t>5.13</t>
  </si>
  <si>
    <t>Melia Hotels</t>
  </si>
  <si>
    <t>219.72K</t>
  </si>
  <si>
    <t>10.05</t>
  </si>
  <si>
    <t>Faes Farma</t>
  </si>
  <si>
    <t>135.76K</t>
  </si>
  <si>
    <t>1.63B</t>
  </si>
  <si>
    <t>15.57</t>
  </si>
  <si>
    <t>Realia</t>
  </si>
  <si>
    <t>29.81K</t>
  </si>
  <si>
    <t>1.59B</t>
  </si>
  <si>
    <t>19.32</t>
  </si>
  <si>
    <t>0.14</t>
  </si>
  <si>
    <t>Metrovacesa</t>
  </si>
  <si>
    <t>208.63K</t>
  </si>
  <si>
    <t>-455.95</t>
  </si>
  <si>
    <t>1.52B</t>
  </si>
  <si>
    <t>BRADESPAR ON</t>
  </si>
  <si>
    <t>240.17K</t>
  </si>
  <si>
    <t>1.5B</t>
  </si>
  <si>
    <t>11.81</t>
  </si>
  <si>
    <t>1.02</t>
  </si>
  <si>
    <t>Arteche Lantegi Elkartea</t>
  </si>
  <si>
    <t>16.42K</t>
  </si>
  <si>
    <t>1.4B</t>
  </si>
  <si>
    <t>29.98</t>
  </si>
  <si>
    <t>0.39</t>
  </si>
  <si>
    <t>Pharma Mar</t>
  </si>
  <si>
    <t>35.15K</t>
  </si>
  <si>
    <t>1.33B</t>
  </si>
  <si>
    <t>39.78</t>
  </si>
  <si>
    <t>0.25</t>
  </si>
  <si>
    <t>582.21K</t>
  </si>
  <si>
    <t>1.27B</t>
  </si>
  <si>
    <t>14.63</t>
  </si>
  <si>
    <t>0.29</t>
  </si>
  <si>
    <t>GMP Property</t>
  </si>
  <si>
    <t>6.35</t>
  </si>
  <si>
    <t>-0.01</t>
  </si>
  <si>
    <t>Atresmedia</t>
  </si>
  <si>
    <t>367.54K</t>
  </si>
  <si>
    <t>10.20</t>
  </si>
  <si>
    <t>Aedas Homes</t>
  </si>
  <si>
    <t>48.77K</t>
  </si>
  <si>
    <t>8.18</t>
  </si>
  <si>
    <t>0.83</t>
  </si>
  <si>
    <t>1.02B</t>
  </si>
  <si>
    <t>8.93</t>
  </si>
  <si>
    <t>0.08</t>
  </si>
  <si>
    <t>11.26</t>
  </si>
  <si>
    <t>Prosegur Cash</t>
  </si>
  <si>
    <t>1.04M</t>
  </si>
  <si>
    <t>944.93M</t>
  </si>
  <si>
    <t>10.69</t>
  </si>
  <si>
    <t>0.54</t>
  </si>
  <si>
    <t>Clinica Baviera</t>
  </si>
  <si>
    <t>826.22M</t>
  </si>
  <si>
    <t>20.41</t>
  </si>
  <si>
    <t>0.74</t>
  </si>
  <si>
    <t>Renta 4 Banco</t>
  </si>
  <si>
    <t>3.07K</t>
  </si>
  <si>
    <t>19.69</t>
  </si>
  <si>
    <t>Helios RE</t>
  </si>
  <si>
    <t>11.22</t>
  </si>
  <si>
    <t>0.72</t>
  </si>
  <si>
    <t>Amrest</t>
  </si>
  <si>
    <t>29.93K</t>
  </si>
  <si>
    <t>690.31M</t>
  </si>
  <si>
    <t>30.85</t>
  </si>
  <si>
    <t>Audax Renovables</t>
  </si>
  <si>
    <t>356.61K</t>
  </si>
  <si>
    <t>595.73M</t>
  </si>
  <si>
    <t>16.36</t>
  </si>
  <si>
    <t>1.47</t>
  </si>
  <si>
    <t>Zambal Spain Socimi SA</t>
  </si>
  <si>
    <t>22.75</t>
  </si>
  <si>
    <t>Empresarial San Jose</t>
  </si>
  <si>
    <t>57.34K</t>
  </si>
  <si>
    <t>555.32M</t>
  </si>
  <si>
    <t>14.83</t>
  </si>
  <si>
    <t>414.02K</t>
  </si>
  <si>
    <t>554.18M</t>
  </si>
  <si>
    <t>-18.00</t>
  </si>
  <si>
    <t>0.20</t>
  </si>
  <si>
    <t>7.43K</t>
  </si>
  <si>
    <t>533.48M</t>
  </si>
  <si>
    <t>11.54</t>
  </si>
  <si>
    <t>0.26</t>
  </si>
  <si>
    <t>Global Dominion</t>
  </si>
  <si>
    <t>202.29K</t>
  </si>
  <si>
    <t>517.39M</t>
  </si>
  <si>
    <t>18.25</t>
  </si>
  <si>
    <t>Atom Hoteles</t>
  </si>
  <si>
    <t>506.9M</t>
  </si>
  <si>
    <t>5.16</t>
  </si>
  <si>
    <t>OHL</t>
  </si>
  <si>
    <t>6.03M</t>
  </si>
  <si>
    <t>-11.66</t>
  </si>
  <si>
    <t>1.17</t>
  </si>
  <si>
    <t>Altia Consultores S.A.</t>
  </si>
  <si>
    <t>31.56</t>
  </si>
  <si>
    <t>75.19K</t>
  </si>
  <si>
    <t>463.51M</t>
  </si>
  <si>
    <t>-20.24</t>
  </si>
  <si>
    <t>Tubacex</t>
  </si>
  <si>
    <t>296.91K</t>
  </si>
  <si>
    <t>421.87M</t>
  </si>
  <si>
    <t>13.05</t>
  </si>
  <si>
    <t>1.2M</t>
  </si>
  <si>
    <t>411.36M</t>
  </si>
  <si>
    <t>83.72</t>
  </si>
  <si>
    <t>0.75</t>
  </si>
  <si>
    <t>28.36</t>
  </si>
  <si>
    <t>Amper</t>
  </si>
  <si>
    <t>11.92M</t>
  </si>
  <si>
    <t>407.43M</t>
  </si>
  <si>
    <t>27.18</t>
  </si>
  <si>
    <t>Talgo</t>
  </si>
  <si>
    <t>198.56K</t>
  </si>
  <si>
    <t>389.8M</t>
  </si>
  <si>
    <t>-1.95</t>
  </si>
  <si>
    <t>Fidere Patrimonio SOCIMI SA</t>
  </si>
  <si>
    <t>-44.75</t>
  </si>
  <si>
    <t>-0.06</t>
  </si>
  <si>
    <t>eDreams Odigeo SA</t>
  </si>
  <si>
    <t>712.75K</t>
  </si>
  <si>
    <t>369.97M</t>
  </si>
  <si>
    <t>5.44</t>
  </si>
  <si>
    <t>1.37</t>
  </si>
  <si>
    <t>Alantra Partners</t>
  </si>
  <si>
    <t>23.73K</t>
  </si>
  <si>
    <t>340.92M</t>
  </si>
  <si>
    <t>26.87</t>
  </si>
  <si>
    <t>0.48</t>
  </si>
  <si>
    <t>Hotei Properties</t>
  </si>
  <si>
    <t>10.09K</t>
  </si>
  <si>
    <t>335.84M</t>
  </si>
  <si>
    <t>5.80</t>
  </si>
  <si>
    <t>-0.16</t>
  </si>
  <si>
    <t>Izertis</t>
  </si>
  <si>
    <t>13.38K</t>
  </si>
  <si>
    <t>332.21M</t>
  </si>
  <si>
    <t>53.67</t>
  </si>
  <si>
    <t>-0.08</t>
  </si>
  <si>
    <t>Ercros</t>
  </si>
  <si>
    <t>101.33K</t>
  </si>
  <si>
    <t>-6.87</t>
  </si>
  <si>
    <t>Natac Natural Ingredients</t>
  </si>
  <si>
    <t>40.82K</t>
  </si>
  <si>
    <t>302.13M</t>
  </si>
  <si>
    <t>1000.00</t>
  </si>
  <si>
    <t>-0.41</t>
  </si>
  <si>
    <t>Inmobiliaria del Sur</t>
  </si>
  <si>
    <t>3.47K</t>
  </si>
  <si>
    <t>293.39M</t>
  </si>
  <si>
    <t>9.91</t>
  </si>
  <si>
    <t>0.28</t>
  </si>
  <si>
    <t>Grupo Ecoener</t>
  </si>
  <si>
    <t>11.09K</t>
  </si>
  <si>
    <t>284.64M</t>
  </si>
  <si>
    <t>26.06</t>
  </si>
  <si>
    <t>0.68</t>
  </si>
  <si>
    <t>Silicius Real Estate SOCIMI</t>
  </si>
  <si>
    <t>-40.63</t>
  </si>
  <si>
    <t>Soltec Power</t>
  </si>
  <si>
    <t>2.57M</t>
  </si>
  <si>
    <t>267.09M</t>
  </si>
  <si>
    <t>1.86</t>
  </si>
  <si>
    <t>Secuoya Grupo de Comunicacion S.A.</t>
  </si>
  <si>
    <t>30.53</t>
  </si>
  <si>
    <t>0.11</t>
  </si>
  <si>
    <t>Oryzon Genomics</t>
  </si>
  <si>
    <t>557.69K</t>
  </si>
  <si>
    <t>250.75M</t>
  </si>
  <si>
    <t>8.63M</t>
  </si>
  <si>
    <t>-73.84</t>
  </si>
  <si>
    <t>0.41</t>
  </si>
  <si>
    <t>Arima Real Estate</t>
  </si>
  <si>
    <t>247.79M</t>
  </si>
  <si>
    <t>-15.29</t>
  </si>
  <si>
    <t>0.09</t>
  </si>
  <si>
    <t>Vitruvio Real Estate</t>
  </si>
  <si>
    <t>34.41</t>
  </si>
  <si>
    <t>0.01</t>
  </si>
  <si>
    <t>IRG10 SOCIMI</t>
  </si>
  <si>
    <t>22.23</t>
  </si>
  <si>
    <t>0.06</t>
  </si>
  <si>
    <t>Squirrel Media</t>
  </si>
  <si>
    <t>41.3K</t>
  </si>
  <si>
    <t>231.19M</t>
  </si>
  <si>
    <t>0.59</t>
  </si>
  <si>
    <t>Iberpapel Gestion</t>
  </si>
  <si>
    <t>5.78K</t>
  </si>
  <si>
    <t>228.93M</t>
  </si>
  <si>
    <t>Laboratorio Reig Jofre</t>
  </si>
  <si>
    <t>29.41K</t>
  </si>
  <si>
    <t>224.64M</t>
  </si>
  <si>
    <t>52.68</t>
  </si>
  <si>
    <t>1.05</t>
  </si>
  <si>
    <t>Atrys Health</t>
  </si>
  <si>
    <t>82.69K</t>
  </si>
  <si>
    <t>221.55M</t>
  </si>
  <si>
    <t>-9.19</t>
  </si>
  <si>
    <t>0.64</t>
  </si>
  <si>
    <t>Prim</t>
  </si>
  <si>
    <t>4.1K</t>
  </si>
  <si>
    <t>216.1M</t>
  </si>
  <si>
    <t>14.94</t>
  </si>
  <si>
    <t>0.52</t>
  </si>
  <si>
    <t>1.93</t>
  </si>
  <si>
    <t>-0.10</t>
  </si>
  <si>
    <t>Azkoyen</t>
  </si>
  <si>
    <t>4.57K</t>
  </si>
  <si>
    <t>211.14M</t>
  </si>
  <si>
    <t>10.98</t>
  </si>
  <si>
    <t>0.49</t>
  </si>
  <si>
    <t>21.79</t>
  </si>
  <si>
    <t>0.42</t>
  </si>
  <si>
    <t>Ores Socimi</t>
  </si>
  <si>
    <t>6.47K</t>
  </si>
  <si>
    <t>187.65M</t>
  </si>
  <si>
    <t>32.89</t>
  </si>
  <si>
    <t>Viviendas en Alquiler</t>
  </si>
  <si>
    <t>8.40</t>
  </si>
  <si>
    <t>0.02</t>
  </si>
  <si>
    <t>Bytetravel</t>
  </si>
  <si>
    <t>161.91M</t>
  </si>
  <si>
    <t>47.91</t>
  </si>
  <si>
    <t>-0.29</t>
  </si>
  <si>
    <t>21.78</t>
  </si>
  <si>
    <t>-0.02</t>
  </si>
  <si>
    <t>Airtificial Intelligence</t>
  </si>
  <si>
    <t>1.63M</t>
  </si>
  <si>
    <t>152.47M</t>
  </si>
  <si>
    <t>-28.82</t>
  </si>
  <si>
    <t>1.61</t>
  </si>
  <si>
    <t>1.29M</t>
  </si>
  <si>
    <t>151.84M</t>
  </si>
  <si>
    <t>-45.08</t>
  </si>
  <si>
    <t>Naturhouse Health SA</t>
  </si>
  <si>
    <t>65.52K</t>
  </si>
  <si>
    <t>145.08M</t>
  </si>
  <si>
    <t>15.00</t>
  </si>
  <si>
    <t>General Alquiler Maquinaria</t>
  </si>
  <si>
    <t>19.91K</t>
  </si>
  <si>
    <t>143.66M</t>
  </si>
  <si>
    <t>28.15</t>
  </si>
  <si>
    <t>0.67</t>
  </si>
  <si>
    <t>Adriano Care SOCIMI</t>
  </si>
  <si>
    <t>11.24</t>
  </si>
  <si>
    <t>Isc Fresh Water</t>
  </si>
  <si>
    <t>10.86</t>
  </si>
  <si>
    <t>Torimbia</t>
  </si>
  <si>
    <t>Deoleo</t>
  </si>
  <si>
    <t>819.99K</t>
  </si>
  <si>
    <t>120M</t>
  </si>
  <si>
    <t>-3.23</t>
  </si>
  <si>
    <t>0.73</t>
  </si>
  <si>
    <t>-57.54</t>
  </si>
  <si>
    <t>Nicolas Correa</t>
  </si>
  <si>
    <t>4.55K</t>
  </si>
  <si>
    <t>117.67M</t>
  </si>
  <si>
    <t>9.02</t>
  </si>
  <si>
    <t>Tander Inversiones SOCIMI</t>
  </si>
  <si>
    <t>62.55</t>
  </si>
  <si>
    <t>Aeternal Mentis</t>
  </si>
  <si>
    <t>-58.82</t>
  </si>
  <si>
    <t>7.13K</t>
  </si>
  <si>
    <t>112.31M</t>
  </si>
  <si>
    <t>-10.18</t>
  </si>
  <si>
    <t>-0.38</t>
  </si>
  <si>
    <t>Clerhp Estructuras</t>
  </si>
  <si>
    <t>35.49K</t>
  </si>
  <si>
    <t>111.47M</t>
  </si>
  <si>
    <t>-243.58</t>
  </si>
  <si>
    <t>0.78</t>
  </si>
  <si>
    <t>107.09M</t>
  </si>
  <si>
    <t>Gop Properties</t>
  </si>
  <si>
    <t>12.39</t>
  </si>
  <si>
    <t>Hispanotels Inversiones SOCIMI</t>
  </si>
  <si>
    <t>10.54</t>
  </si>
  <si>
    <t>-0.13</t>
  </si>
  <si>
    <t>ADVERO Properties Socimi</t>
  </si>
  <si>
    <t>97.8M</t>
  </si>
  <si>
    <t>IBI Lion</t>
  </si>
  <si>
    <t>Santa Ana Global Enterprises</t>
  </si>
  <si>
    <t>-66.29</t>
  </si>
  <si>
    <t>-0.35</t>
  </si>
  <si>
    <t>Axon Partners</t>
  </si>
  <si>
    <t>17.17</t>
  </si>
  <si>
    <t>-0.24</t>
  </si>
  <si>
    <t>Vytrus Biotech</t>
  </si>
  <si>
    <t>15.45K</t>
  </si>
  <si>
    <t>82.77M</t>
  </si>
  <si>
    <t>45.69</t>
  </si>
  <si>
    <t>0.03</t>
  </si>
  <si>
    <t>79.11M</t>
  </si>
  <si>
    <t>14.17</t>
  </si>
  <si>
    <t>Making Science</t>
  </si>
  <si>
    <t>2.67K</t>
  </si>
  <si>
    <t>77.72M</t>
  </si>
  <si>
    <t>-19.81</t>
  </si>
  <si>
    <t>1.18</t>
  </si>
  <si>
    <t>Libertas 7</t>
  </si>
  <si>
    <t>6.65K</t>
  </si>
  <si>
    <t>77.63M</t>
  </si>
  <si>
    <t>20.66</t>
  </si>
  <si>
    <t>Vocento</t>
  </si>
  <si>
    <t>77.1M</t>
  </si>
  <si>
    <t>-0.79</t>
  </si>
  <si>
    <t>0.80</t>
  </si>
  <si>
    <t>Inversa Prime</t>
  </si>
  <si>
    <t>12.21</t>
  </si>
  <si>
    <t>Umbrella Solar Investment</t>
  </si>
  <si>
    <t>2.3K</t>
  </si>
  <si>
    <t>-14.19</t>
  </si>
  <si>
    <t>0.22</t>
  </si>
  <si>
    <t>Energy Solar Tech</t>
  </si>
  <si>
    <t>11.86K</t>
  </si>
  <si>
    <t>70.05M</t>
  </si>
  <si>
    <t>161.59</t>
  </si>
  <si>
    <t>1.62</t>
  </si>
  <si>
    <t>Alquiber Quality</t>
  </si>
  <si>
    <t>15.24</t>
  </si>
  <si>
    <t>-0.20</t>
  </si>
  <si>
    <t>Seresco</t>
  </si>
  <si>
    <t>2.93K</t>
  </si>
  <si>
    <t>Optimum Re Spain</t>
  </si>
  <si>
    <t>-12.66</t>
  </si>
  <si>
    <t>Energia Innovacion y Desarrollo Fotovoltaico</t>
  </si>
  <si>
    <t>88.35K</t>
  </si>
  <si>
    <t>64.07M</t>
  </si>
  <si>
    <t>-1.32</t>
  </si>
  <si>
    <t>0.36</t>
  </si>
  <si>
    <t>Facephi Biometria SA</t>
  </si>
  <si>
    <t>17.33K</t>
  </si>
  <si>
    <t>63.16M</t>
  </si>
  <si>
    <t>-8.06</t>
  </si>
  <si>
    <t>1.33</t>
  </si>
  <si>
    <t>Arrienda Rental</t>
  </si>
  <si>
    <t>26.18</t>
  </si>
  <si>
    <t>Lingotes</t>
  </si>
  <si>
    <t>5.55K</t>
  </si>
  <si>
    <t>58M</t>
  </si>
  <si>
    <t>76.12</t>
  </si>
  <si>
    <t>Montebalito</t>
  </si>
  <si>
    <t>4.08K</t>
  </si>
  <si>
    <t>56.96M</t>
  </si>
  <si>
    <t>36.25</t>
  </si>
  <si>
    <t>Pangaea Oncology</t>
  </si>
  <si>
    <t>1.56K</t>
  </si>
  <si>
    <t>56.69M</t>
  </si>
  <si>
    <t>-9.96</t>
  </si>
  <si>
    <t>Inbest GPF Multi Asset Class Prime</t>
  </si>
  <si>
    <t>Adolfo Dominguez</t>
  </si>
  <si>
    <t>3.02K</t>
  </si>
  <si>
    <t>54.44M</t>
  </si>
  <si>
    <t>33.77</t>
  </si>
  <si>
    <t>Inbest Prime I Inmuebles SOCIMI</t>
  </si>
  <si>
    <t>-1928.93</t>
  </si>
  <si>
    <t>0.07</t>
  </si>
  <si>
    <t>Grupo Ezentis SA</t>
  </si>
  <si>
    <t>49.86M</t>
  </si>
  <si>
    <t>-12.26</t>
  </si>
  <si>
    <t>Parlem Telecom Companyia de Telecomunicacions</t>
  </si>
  <si>
    <t>6.59K</t>
  </si>
  <si>
    <t>-28.51</t>
  </si>
  <si>
    <t>Gigas Hosting SA</t>
  </si>
  <si>
    <t>14.3K</t>
  </si>
  <si>
    <t>48.79M</t>
  </si>
  <si>
    <t>-108.99</t>
  </si>
  <si>
    <t>0.46</t>
  </si>
  <si>
    <t>Agile Content SA</t>
  </si>
  <si>
    <t>34.48K</t>
  </si>
  <si>
    <t>48M</t>
  </si>
  <si>
    <t>26.00</t>
  </si>
  <si>
    <t>Inbest Prime IV Inmuebles SOCIMI</t>
  </si>
  <si>
    <t>-2114.54</t>
  </si>
  <si>
    <t>1M</t>
  </si>
  <si>
    <t>45.9M</t>
  </si>
  <si>
    <t>-1.14</t>
  </si>
  <si>
    <t>Enerside Energy</t>
  </si>
  <si>
    <t>22.82K</t>
  </si>
  <si>
    <t>43.61M</t>
  </si>
  <si>
    <t>-3.11</t>
  </si>
  <si>
    <t>AP 67 SOCIMI</t>
  </si>
  <si>
    <t>32.32</t>
  </si>
  <si>
    <t>Soluciones Cuatroochenta</t>
  </si>
  <si>
    <t>2.07K</t>
  </si>
  <si>
    <t>Duro Felguera</t>
  </si>
  <si>
    <t>389.13K</t>
  </si>
  <si>
    <t>38.95M</t>
  </si>
  <si>
    <t>-0.54</t>
  </si>
  <si>
    <t>Home Capital Rentals SOCIMI</t>
  </si>
  <si>
    <t>NBI Bearings Europe</t>
  </si>
  <si>
    <t>6.34K</t>
  </si>
  <si>
    <t>37.19M</t>
  </si>
  <si>
    <t>-58.94</t>
  </si>
  <si>
    <t>0.31</t>
  </si>
  <si>
    <t>Quonia SOCIMI</t>
  </si>
  <si>
    <t>5.43K</t>
  </si>
  <si>
    <t>Barcino Property</t>
  </si>
  <si>
    <t>9.76</t>
  </si>
  <si>
    <t>Desarrollos Especiales de Sistemas de Anclajes</t>
  </si>
  <si>
    <t>11.27</t>
  </si>
  <si>
    <t>Endurance Motive</t>
  </si>
  <si>
    <t>21.26K</t>
  </si>
  <si>
    <t>33.21M</t>
  </si>
  <si>
    <t>Innovative Solutions Ecosystem</t>
  </si>
  <si>
    <t>-40.87</t>
  </si>
  <si>
    <t>0.05</t>
  </si>
  <si>
    <t>Labiana Health</t>
  </si>
  <si>
    <t>30.36M</t>
  </si>
  <si>
    <t>36.97</t>
  </si>
  <si>
    <t>-0.40</t>
  </si>
  <si>
    <t>Numulae Gestion de Servicios</t>
  </si>
  <si>
    <t>-90.45</t>
  </si>
  <si>
    <t>-0.09</t>
  </si>
  <si>
    <t>Holaluz Clidom</t>
  </si>
  <si>
    <t>16.94K</t>
  </si>
  <si>
    <t>-0.60</t>
  </si>
  <si>
    <t>-0.07</t>
  </si>
  <si>
    <t>Optare Solutions</t>
  </si>
  <si>
    <t>31.67K</t>
  </si>
  <si>
    <t>25.15M</t>
  </si>
  <si>
    <t>7.61</t>
  </si>
  <si>
    <t>0.95</t>
  </si>
  <si>
    <t>Nyesa Valores</t>
  </si>
  <si>
    <t>48.77M</t>
  </si>
  <si>
    <t>24.39M</t>
  </si>
  <si>
    <t>-0.82</t>
  </si>
  <si>
    <t>7.18</t>
  </si>
  <si>
    <t>Matritense RE</t>
  </si>
  <si>
    <t>Grandvoyage Travel SL</t>
  </si>
  <si>
    <t>1.67K</t>
  </si>
  <si>
    <t>19.97M</t>
  </si>
  <si>
    <t>Lleidanetworks Serveis Telematics</t>
  </si>
  <si>
    <t>23.67K</t>
  </si>
  <si>
    <t>19.34M</t>
  </si>
  <si>
    <t>13.10</t>
  </si>
  <si>
    <t>0.98</t>
  </si>
  <si>
    <t>Catenon S.A.</t>
  </si>
  <si>
    <t>11.92K</t>
  </si>
  <si>
    <t>18.67</t>
  </si>
  <si>
    <t>0.89</t>
  </si>
  <si>
    <t>Nzi Technical Protection SL</t>
  </si>
  <si>
    <t>Iflex Flexible Packaging</t>
  </si>
  <si>
    <t>2.11K</t>
  </si>
  <si>
    <t>17.9M</t>
  </si>
  <si>
    <t>Redegal SL</t>
  </si>
  <si>
    <t>Biotechnology Assets</t>
  </si>
  <si>
    <t>426.49K</t>
  </si>
  <si>
    <t>14.48M</t>
  </si>
  <si>
    <t>-5.36</t>
  </si>
  <si>
    <t>2.24</t>
  </si>
  <si>
    <t>Domo Activos</t>
  </si>
  <si>
    <t>Substrate Artificial Inteligence</t>
  </si>
  <si>
    <t>9.89K</t>
  </si>
  <si>
    <t>12.39M</t>
  </si>
  <si>
    <t>1.39</t>
  </si>
  <si>
    <t>1.96M</t>
  </si>
  <si>
    <t>Asturiana de Laminados</t>
  </si>
  <si>
    <t>286.22K</t>
  </si>
  <si>
    <t>11.9M</t>
  </si>
  <si>
    <t>-1.50</t>
  </si>
  <si>
    <t>Bodegas Riojanas</t>
  </si>
  <si>
    <t>7.53K</t>
  </si>
  <si>
    <t>11.23M</t>
  </si>
  <si>
    <t>-5.25</t>
  </si>
  <si>
    <t>Greenoak Spain Holdings Socimi II</t>
  </si>
  <si>
    <t>Elaia Investment Spain Socimi</t>
  </si>
  <si>
    <t>CommCenter</t>
  </si>
  <si>
    <t>7.67</t>
  </si>
  <si>
    <t>Better Consultants</t>
  </si>
  <si>
    <t>Plasticos Compuestos</t>
  </si>
  <si>
    <t>3.83K</t>
  </si>
  <si>
    <t>9.36M</t>
  </si>
  <si>
    <t>-189.68</t>
  </si>
  <si>
    <t>0.23</t>
  </si>
  <si>
    <t>Robot</t>
  </si>
  <si>
    <t>8.33</t>
  </si>
  <si>
    <t>Revenga Ingenieros</t>
  </si>
  <si>
    <t>5.52K</t>
  </si>
  <si>
    <t>Vanadi Coffee</t>
  </si>
  <si>
    <t>2.03M</t>
  </si>
  <si>
    <t>7.95M</t>
  </si>
  <si>
    <t>Pescanova</t>
  </si>
  <si>
    <t>71.43K</t>
  </si>
  <si>
    <t>7.93M</t>
  </si>
  <si>
    <t>-12.16</t>
  </si>
  <si>
    <t>0.40</t>
  </si>
  <si>
    <t>Hannun</t>
  </si>
  <si>
    <t>35.91K</t>
  </si>
  <si>
    <t>-2.39</t>
  </si>
  <si>
    <t>Trajano Iberia</t>
  </si>
  <si>
    <t>1.28K</t>
  </si>
  <si>
    <t>1.13</t>
  </si>
  <si>
    <t>Profithol SA</t>
  </si>
  <si>
    <t>15.38K</t>
  </si>
  <si>
    <t>0.34</t>
  </si>
  <si>
    <t>Intercity Sad</t>
  </si>
  <si>
    <t>4.02M</t>
  </si>
  <si>
    <t>Euroespes S.A.</t>
  </si>
  <si>
    <t>-1.83</t>
  </si>
  <si>
    <t>-0.23</t>
  </si>
  <si>
    <t>Innovative Simply Solar</t>
  </si>
  <si>
    <t>Nice GR / FCF Growth/ Low MOAT??</t>
  </si>
  <si>
    <t>Negative FCF/ Tight margin</t>
  </si>
  <si>
    <t>Top Line GR and FCF / MOAT??</t>
  </si>
  <si>
    <t>Bom FCF/ Low Margin</t>
  </si>
  <si>
    <t>Good recent GR / Low multiples</t>
  </si>
  <si>
    <t xml:space="preserve">Good financials </t>
  </si>
  <si>
    <t>Nice GR / Good Financials</t>
  </si>
  <si>
    <t>Nice GR/ Quite expensive</t>
  </si>
  <si>
    <t>EV/V</t>
  </si>
  <si>
    <t>Sector</t>
  </si>
  <si>
    <t>Date</t>
  </si>
  <si>
    <t>Rate</t>
  </si>
  <si>
    <t>Comments</t>
  </si>
  <si>
    <t>ACS Actividades de Const. Y Servicios S.A.</t>
  </si>
  <si>
    <t xml:space="preserve"> </t>
  </si>
  <si>
    <t>Good recent GR / Low multiples/ Concerns over Guidance</t>
  </si>
  <si>
    <t>Top Line GR and FCF / MOAT??/ Fairly Valued</t>
  </si>
  <si>
    <t>Bom FCF/ Low Margin/ Sector Terminality</t>
  </si>
  <si>
    <t>Boa growth/ Farily Valued</t>
  </si>
  <si>
    <t>Growing FCF/ Expensive</t>
  </si>
  <si>
    <t>Nice GR / FCF Growth/ Low MOAT</t>
  </si>
  <si>
    <t>Nice GR/ Quite expensive/ Small Cap</t>
  </si>
  <si>
    <t>Nice GR / Good Financials/ Diversified</t>
  </si>
  <si>
    <t>Name,"Average Vol. (3m)","Market Cap","Revenue","P/E Ratio","Beta"</t>
  </si>
  <si>
    <t>Inditex,"1.84M","176.61B","39.38B","29.23","0.97"</t>
  </si>
  <si>
    <t>Santander,"21.57M","156.86B","108.11B","12.71","0.96"</t>
  </si>
  <si>
    <t>Airbus Group,"3.85K","149.02B","72.15B","29.55","0.94"</t>
  </si>
  <si>
    <t>Iberdrola,"6.46M","126.64B","45.49B","24.73","0.65"</t>
  </si>
  <si>
    <t>BBVA,"7.96M","124.65B","59.86B","12.66","1.01"</t>
  </si>
  <si>
    <t>PETROBRAS ON,"47.38K","81.08B","0.00","",""</t>
  </si>
  <si>
    <t>PETROBRAS PN,"47.75K","81.08B","0.00","",""</t>
  </si>
  <si>
    <t>Caixabank,"6.01M","80.07B","0.00","13.82","0.10"</t>
  </si>
  <si>
    <t>VALE ON,"7.33K","61.38B","0.00","12.59",""</t>
  </si>
  <si>
    <t>Ferrovial,"705.4K","41.56B","9.35B","11.99","0.76"</t>
  </si>
  <si>
    <t>Aena,"1.18M","40.5B","6.17B","19.67","0.90"</t>
  </si>
  <si>
    <t>Coca-Cola European,"3.34K","36.15B","20.88B","24.25","0.58"</t>
  </si>
  <si>
    <t>ArcelorMittal,"175.48K","36.07B","61.10B","16.65","1.68"</t>
  </si>
  <si>
    <t>BRADESCO PN EJ N1 ,"3.17K","35.37B","0.00","10.28",""</t>
  </si>
  <si>
    <t>Endesa,"708.16K","32.66B","21.12B","15.16","0.65"</t>
  </si>
  <si>
    <t>Grupo Financiero Banorte,"286","26.96B","0.00","9.23",""</t>
  </si>
  <si>
    <t>Centrais Eletricas Brasileiras,"204","26.1B","0.00","",""</t>
  </si>
  <si>
    <t>Naturgy Energy,"1.32M","25.63B","19.93B","12.89","0.45"</t>
  </si>
  <si>
    <t>ACS,"373.25K","23.84B","48.69B","27.36","0.53"</t>
  </si>
  <si>
    <t>Amadeus,"657.04K","23.36B","6.44B","17.65","0.70"</t>
  </si>
  <si>
    <t>IAG,"7.09M","22.84B","33.28B","7.80","1.40"</t>
  </si>
  <si>
    <t>Telefonica,"12.04M","20.55B","41.62B","-19.78","0.24"</t>
  </si>
  <si>
    <t>Repsol,"3.89M","18.26B","48.91B","17.82","0.19"</t>
  </si>
  <si>
    <t>Cellnex Telecom,"1.38M","18.21B","4.10B","-124.91","1.23"</t>
  </si>
  <si>
    <t>Banco de Sabadell,"12.46M","16.94B","0.00","9.34","0.65"</t>
  </si>
  <si>
    <t>Bankinter,"1.53M","13.34B","3.89B","","-0.05"</t>
  </si>
  <si>
    <t>Mapfre,"4.34M","12.09B","30.38B","10.59","0.27"</t>
  </si>
  <si>
    <t>Acciona,"66.97K","9.94B","21.69B","11.93","0.87"</t>
  </si>
  <si>
    <t>Puig Brands,"589.73K","9.45B","4.92B","12.12","0.82"</t>
  </si>
  <si>
    <t>Indra A,"811.69K","8.2B","5.18B","21.36","0.65"</t>
  </si>
  <si>
    <t>Redeia Corporacion,"1.28M","8.15B","1.69B","22.64","0.45"</t>
  </si>
  <si>
    <t>Unicaja Banco,"4.89M","7.26B","2.42B","7.89","0.44"</t>
  </si>
  <si>
    <t>Merlin Properties SA,"862.36K","7.23B","536.47M","10.23","0.97"</t>
  </si>
  <si>
    <t>Corporacion Acciona Energias Renovables,"247.5K","6.99B","4.53B","9.33","0.55"</t>
  </si>
  <si>
    <t>GERDAU PN N1,"2.37K","6.98B","0.00","",""</t>
  </si>
  <si>
    <t>Grifols Pref,"109.69K","6.69B","7.52B","19.56","1.19"</t>
  </si>
  <si>
    <t>Grifols,"1.36M","6.69B","7.52B","19.56","1.19"</t>
  </si>
  <si>
    <t>Energy of Minas Gerais Prf,"6.96K","6B","0.00","",""</t>
  </si>
  <si>
    <t>FCC,"18.55K","5.35B","9.57B","27.44","1.12"</t>
  </si>
  <si>
    <t>Sigma Foods,"726","4.82B","0.00","21.32",""</t>
  </si>
  <si>
    <t>Fluidra,"219.51K","4.78B","2.25B","26.94","1.01"</t>
  </si>
  <si>
    <t>Logista,"197.57K","4.2B","13.54B","14.97","0.50"</t>
  </si>
  <si>
    <t>GGC,"115","4.19B","226.37M","26.40","-0.04"</t>
  </si>
  <si>
    <t>Grupo Elektra,"101","3.82B","0.00","-15.52",""</t>
  </si>
  <si>
    <t>Laborat.Rovi,"102.31K","3.77B","724.20M","31.24","0.15"</t>
  </si>
  <si>
    <t>Enagas,"955.04K","3.72B","949.35M","-11.42","0.35"</t>
  </si>
  <si>
    <t>Cie Automotive,"53.78K","3.48B","3.92B","10.51","0.81"</t>
  </si>
  <si>
    <t>Banco BBVA Argentina,"3.71K","3.33B","0.00","31.38",""</t>
  </si>
  <si>
    <t>Inmobiliaria Colonial,"1.38M","3.27B","519.00M","7.40","1.30"</t>
  </si>
  <si>
    <t>Sacyr,"1.89M","3.18B","4.73B","24.25","0.76"</t>
  </si>
  <si>
    <t>Acerinox,"861.13K","3.13B","5.80B","44.81","1.04"</t>
  </si>
  <si>
    <t>Vidrala,"22.14K","3.1B","1.54B","13.23","0.92"</t>
  </si>
  <si>
    <t>Ebro Foods,"31.46K","2.88B","3.07B","","0.16"</t>
  </si>
  <si>
    <t>MFE MEDIAFOREUROPE A,"10.37K","2.79B","2.88B","13.60","1.10"</t>
  </si>
  <si>
    <t>Almirall,"167.08K","2.78B","1.09B","66.34","0.17"</t>
  </si>
  <si>
    <t>Aperam,"1.69K","2.61B","6.19B","-327.19","1.59"</t>
  </si>
  <si>
    <t>Grenergy Renovables SA,"43.03K","2.59B","1.05B","26.26","1.73"</t>
  </si>
  <si>
    <t>Viscofan,"77.64K","2.58B","1.24B","16.21","0.163"</t>
  </si>
  <si>
    <t>Cirsa Enterprises,"126.56K","2.39B","2.30B","24.54",""</t>
  </si>
  <si>
    <t>Tecnicas Reunidas,"123.88K","2.36B","5.83B","17.73","1.08"</t>
  </si>
  <si>
    <t>DIA,"36.95K","2.25B","5.86B","58.81","0.84"</t>
  </si>
  <si>
    <t>Elecnor,"118.52K","2.24B","4.10B","-24.17","0.79"</t>
  </si>
  <si>
    <t>Solaria,"921.96K","2.17B","311.99M","12.56","1.35"</t>
  </si>
  <si>
    <t>Neinor Homes,"120.56K","1.99B","462.55M","27.21","0.24"</t>
  </si>
  <si>
    <t>HBX International,"333.23K","1.92B","720.00M","-25.13",""</t>
  </si>
  <si>
    <t>Construcciones y Auxiliar,"32.84K","1.91B","4.47B","13.48","0.90"</t>
  </si>
  <si>
    <t>Gestamp Automocion,"269.15K","1.78B","11.67B","11.43","0.99"</t>
  </si>
  <si>
    <t>Inmocemento,"19.1K","1.77B","953.35M","5.13",""</t>
  </si>
  <si>
    <t>Melia Hotels,"219.72K","1.7B","2.08B","10.05","0.97"</t>
  </si>
  <si>
    <t>Faes Farma,"135.76K","1.63B","571.12M","15.57","0.19"</t>
  </si>
  <si>
    <t>Realia,"29.81K","1.59B","134.96M","19.32","0.14"</t>
  </si>
  <si>
    <t>Metrovacesa,"208.63K","1.57B","555.25M","-455.95","0.84"</t>
  </si>
  <si>
    <t>BRADESPAR PN,"1.55K","1.52B","0.00","",""</t>
  </si>
  <si>
    <t>BRADESPAR ON,"1.43K","1.52B","0.00","",""</t>
  </si>
  <si>
    <t>Prosegur,"240.17K","1.5B","5.00B","11.81","1.02"</t>
  </si>
  <si>
    <t>Arteche Lantegi Elkartea,"16.42K","1.4B","485.43M","29.98","0.39"</t>
  </si>
  <si>
    <t>Pharma Mar,"35.15K","1.33B","179.28M","39.78","0.25"</t>
  </si>
  <si>
    <t>USIMINAS PNA,"8.39K","1.31B","0.00","",""</t>
  </si>
  <si>
    <t>USIMINAS ON,"2.04K","1.31B","0.00","",""</t>
  </si>
  <si>
    <t>Linea Directa Aseguradora,"582.21K","1.27B","1.16B","14.63","0.29"</t>
  </si>
  <si>
    <t>GMP Property,"5","1.23B","125.78M","6.35","-0.01"</t>
  </si>
  <si>
    <t>BRASKEM PNA,"2.61K","1.17B","0.00","",""</t>
  </si>
  <si>
    <t>Atresmedia,"367.54K","1.17B","902.39M","10.20","0.76"</t>
  </si>
  <si>
    <t>Volcan Cmp Min,"66.8K","1.16B","0.00","",""</t>
  </si>
  <si>
    <t>Aedas Homes,"48.77K","1.04B","1.20B","8.18","0.83"</t>
  </si>
  <si>
    <t>Castellana Properties,"541","1.02B","153.18M","8.93","0.08"</t>
  </si>
  <si>
    <t>Vivenio Residencial,"1K","995.57M","69.45M","11.26",""</t>
  </si>
  <si>
    <t>Prosegur Cash,"1.04M","944.93M","2.06B","10.69","0.54"</t>
  </si>
  <si>
    <t>Clinica Baviera,"3.29K","826.22M","296.76M","20.41","0.74"</t>
  </si>
  <si>
    <t>Cox Abg,"9.99K","803.07M","981.46M","57.42",""</t>
  </si>
  <si>
    <t>Renta 4 Banco,"3.07K","777.24M","257.60M","19.69","0.17"</t>
  </si>
  <si>
    <t>Helios RE,"64.21K","694.65M","97.03M","11.22","0.72"</t>
  </si>
  <si>
    <t>Amrest,"29.93K","690.31M","2.59B","30.85","0.53"</t>
  </si>
  <si>
    <t>Audax Renovables,"356.61K","595.73M","1.97B","16.36","1.47"</t>
  </si>
  <si>
    <t>Zambal Spain Socimi SA,"630","587.39M","62.92M","22.75","0.08"</t>
  </si>
  <si>
    <t>EBRO EV,"5.25K","581.39M","43.96M","-16.81","0.37"</t>
  </si>
  <si>
    <t>Empresarial San Jose,"57.34K","555.32M","1.56B","14.83","0.83"</t>
  </si>
  <si>
    <t>ENCE,"414.02K","554.18M","783.52M","-18.00","0.20"</t>
  </si>
  <si>
    <t>Miquel Cost.,"7.43K","533.48M","315.11M","11.54","0.26"</t>
  </si>
  <si>
    <t>Global Dominion,"202.29K","517.39M","1.21B","18.25","0.74"</t>
  </si>
  <si>
    <t>Atom Hoteles,"855","506.9M","63.62M","5.16","0.15"</t>
  </si>
  <si>
    <t>OHL,"6.03M","494.91M","3.57B","-11.66","1.17"</t>
  </si>
  <si>
    <t>Altia Consultores S.A.,"3.29K","487.25M","255.78M","31.56","0.14"</t>
  </si>
  <si>
    <t>Promotora Informaciones,"75.19K","463.51M","888.46M","-20.24","0.74"</t>
  </si>
  <si>
    <t>Tubacex,"296.91K","421.87M","733.85M","13.05","1.01"</t>
  </si>
  <si>
    <t>Nueva Expresion,"1.2M","411.36M","30.64M","83.72","0.75"</t>
  </si>
  <si>
    <t>Testa Residencial,"18","410.74M","109.70M","28.36","-0.01"</t>
  </si>
  <si>
    <t>Amper,"11.92M","407.43M","384.49M","27.18","0.72"</t>
  </si>
  <si>
    <t>Talgo,"198.56K","389.8M","596.60M","-1.95","1.35"</t>
  </si>
  <si>
    <t>Fidere Patrimonio SOCIMI SA,"149","381.32M","52.95M","-44.75","-0.06"</t>
  </si>
  <si>
    <t>eDreams Odigeo SA,"712.75K","369.97M","687.11M","5.44","1.37"</t>
  </si>
  <si>
    <t>Alantra Partners,"23.73K","340.92M","207.77M","26.87","0.48"</t>
  </si>
  <si>
    <t>Hotei Properties,"10.09K","335.84M","29.83M","5.80","-0.16"</t>
  </si>
  <si>
    <t>Izertis,"13.38K","332.21M","147.25M","53.67","-0.08"</t>
  </si>
  <si>
    <t>Saint Croix Holding Immobilier,"427","320.56M","39.88M","14.93",""</t>
  </si>
  <si>
    <t>Ercros,"101.33K","313.17M","645.40M","-6.87","0.39"</t>
  </si>
  <si>
    <t>Natac Natural Ingredients,"40.82K","302.13M","35.71M","1,000.00","-0.41"</t>
  </si>
  <si>
    <t>Inmobiliaria del Sur,"3.47K","293.39M","216.09M","9.91","0.28"</t>
  </si>
  <si>
    <t>Grupo Ecoener,"11.09K","284.64M","82.76M","26.06","0.68"</t>
  </si>
  <si>
    <t>Silicius Real Estate SOCIMI,"100","280.66M","32.74M","-40.63","-0.04"</t>
  </si>
  <si>
    <t>Soltec Power,"2.57M","267.09M","214.53M","","1.86"</t>
  </si>
  <si>
    <t>Secuoya Grupo de Comunicacion S.A.,"92","255.05M","123.55M","30.53","0.11"</t>
  </si>
  <si>
    <t>Oryzon Genomics,"557.69K","250.75M","8.63M","-73.84","0.41"</t>
  </si>
  <si>
    <t>Arima Real Estate,"454","247.79M","12.19M","-15.29","0.09"</t>
  </si>
  <si>
    <t>Vitruvio Real Estate,"7.46K","245.6M","9.85M","34.41","0.01"</t>
  </si>
  <si>
    <t>IRG10 SOCIMI,"286","237.75M","23.71M","22.23","0.09"</t>
  </si>
  <si>
    <t>Cox Energy America,"2.22K","236.26M","8.99B","38.56","0.06"</t>
  </si>
  <si>
    <t>Squirrel Media,"41.3K","231.19M","184.53M","","0.59"</t>
  </si>
  <si>
    <t>Iberpapel Gestion,"5.78K","228.93M","222.96M","17.73","0.44"</t>
  </si>
  <si>
    <t>Laboratorio Reig Jofre,"29.41K","224.64M","330.34M","52.68","1.05"</t>
  </si>
  <si>
    <t>Atrys Health,"82.69K","221.55M","226.24M","-9.19","0.64"</t>
  </si>
  <si>
    <t>All Iron Re,"1.05K","220.69M","7.59M","15.99","0.21"</t>
  </si>
  <si>
    <t>Aplicaciones y Tratamientos de Sistemas,"1.25K","218.47M","185.73M","30.56","-0.56"</t>
  </si>
  <si>
    <t>Prim,"4.1K","216.1M","240.68M","14.94","0.52"</t>
  </si>
  <si>
    <t>JSS RE,"17.24K","212.45M","19.69M","1.93","-0.10"</t>
  </si>
  <si>
    <t>Azkoyen,"4.57K","211.14M","201.12M","10.98","0.49"</t>
  </si>
  <si>
    <t>Trivium RE,"123","202.64M","39.74M","21.79",""</t>
  </si>
  <si>
    <t>Indexa Capital,"836","190.36M","6.74M","205.66","0.42"</t>
  </si>
  <si>
    <t>Ores Socimi,"6.47K","187.65M","24.01M","32.89","0.09"</t>
  </si>
  <si>
    <t>Viviendas en Alquiler,"609","180.64M","46.39M","8.40","0.02"</t>
  </si>
  <si>
    <t>Bytetravel,"743","161.91M","10.84M","47.91","-0.29"</t>
  </si>
  <si>
    <t>La Finca Global Assets Socimi,"827","159.49M","51.96M","22.63","-0.21"</t>
  </si>
  <si>
    <t>Inversiones Doalca,"189","156.64M","11.64M","21.78","-0.02"</t>
  </si>
  <si>
    <t>Airtificial Intelligence,"1.63M","152.47M","112.38M","-28.82","1.61"</t>
  </si>
  <si>
    <t>Berkeley Energy,"1.29M","151.84M","0.00","-45.08","1.37"</t>
  </si>
  <si>
    <t>Naturhouse Health SA,"65.52K","145.08M","47.81M","15.00","0.27"</t>
  </si>
  <si>
    <t>General Alquiler Maquinaria,"19.91K","143.66M","312.81M","28.15","0.67"</t>
  </si>
  <si>
    <t>Adriano Care SOCIMI,"603","124.48M","17.41M","11.24","-0.06"</t>
  </si>
  <si>
    <t>Isc Fresh Water,"263","124.45M","26.75M","10.86","-0.04"</t>
  </si>
  <si>
    <t>Torimbia,"185","121.83M","0.00","",""</t>
  </si>
  <si>
    <t>Deoleo,"819.99K","120M","924.35M","-3.23","0.73"</t>
  </si>
  <si>
    <t>Tempore Properties,"2.25K","117.88M","3.11M","-57.54","0.02"</t>
  </si>
  <si>
    <t>Nicolas Correa,"4.55K","117.67M","119.39M","9.02","0.48"</t>
  </si>
  <si>
    <t>Tander Inversiones SOCIMI,"428","113.43M","7.89M","62.55","-0.02"</t>
  </si>
  <si>
    <t>Aeternal Mentis,"10","112.52M","2.24K","-58.82","-0.10"</t>
  </si>
  <si>
    <t>Grupo Greening 2022,"7.13K","112.31M","0.00","-10.18","-0.38"</t>
  </si>
  <si>
    <t>Clerhp Estructuras,"35.49K","111.47M","15.61M","-243.58","0.78"</t>
  </si>
  <si>
    <t>AM Locales Property,"600","107.42M","8.52M","297.65","-0.03"</t>
  </si>
  <si>
    <t>Singular People SL,"8.56K","107.09M","115.66M","","0.16"</t>
  </si>
  <si>
    <t>Entre Cua Socimi,"592","102.48M","7.53M","54.22","0.09"</t>
  </si>
  <si>
    <t>Gop Properties,"652","100.73M","12.64M","12.39","-0.08"</t>
  </si>
  <si>
    <t>Hispanotels Inversiones SOCIMI,"285","100.51M","8.82M","10.54","-0.13"</t>
  </si>
  <si>
    <t>Serrano 61 Desarrollo,"54","98.66M","4.91M","-52.11","0.01"</t>
  </si>
  <si>
    <t>Urbas Grupo,"19.56M","98.11M","171.09M","-0.70","-0.64"</t>
  </si>
  <si>
    <t>Meridia RE III,"67","98.07M","26.32M","-9.40","0.33"</t>
  </si>
  <si>
    <t>ADVERO Properties Socimi,"261","97.8M","3.65M","","0.06"</t>
  </si>
  <si>
    <t>Veracruz Socimi,"400","88.74M","12.20M","21.71","-0.01"</t>
  </si>
  <si>
    <t>IBI Lion,"750","86.48M","0.00","",""</t>
  </si>
  <si>
    <t>Santa Ana Global Enterprises,"94","84.77M","0.00","-66.29","-0.35"</t>
  </si>
  <si>
    <t>Axon Partners,"417","83.33M","14.76M","17.17","-0.24"</t>
  </si>
  <si>
    <t>Vytrus Biotech,"15.45K","82.77M","8.09M","45.69","0.03"</t>
  </si>
  <si>
    <t>Llorente Cuenca Madrid SA,"1.25K","79.11M","95.87M","14.17","0.42"</t>
  </si>
  <si>
    <t>Making Science,"2.67K","77.72M","314.94M","-19.81","1.18"</t>
  </si>
  <si>
    <t>Libertas 7,"6.65K","77.63M","12.75M","20.66","0.49"</t>
  </si>
  <si>
    <t>Vocento,"52.53K","77.1M","340.56M","-0.79","0.80"</t>
  </si>
  <si>
    <t>TV Azteca Cpo,"1","72.95M","0.00","",""</t>
  </si>
  <si>
    <t>Inversa Prime,"6.25K","72.75M","3.45M","12.21","-0.13"</t>
  </si>
  <si>
    <t>Umbrella Solar Investment,"2.3K","71.81M","17.33M","-14.19","0.22"</t>
  </si>
  <si>
    <t>Energy Solar Tech,"11.86K","70.05M","0.00","161.59","1.62"</t>
  </si>
  <si>
    <t>Alquiber Quality,"399","68.11M","153.25M","15.24","-0.20"</t>
  </si>
  <si>
    <t>MilePro Logistica Ultima Milla,"205","66.22M","0.00","",""</t>
  </si>
  <si>
    <t>Seresco,"2.93K","66M","0.00","",""</t>
  </si>
  <si>
    <t>Optimum Re Spain,"1","64.63M","197.11K","-12.66",""</t>
  </si>
  <si>
    <t>Energia Innovacion y Desarrollo Fotovoltaico,"88.35K","64.07M","97.78M","-1.32","0.36"</t>
  </si>
  <si>
    <t>Facephi Biometria SA,"17.33K","63.16M","34.38M","-8.06","1.33"</t>
  </si>
  <si>
    <t>Arrienda Rental,"150","58.02M","4.48M","26.18","-0.02"</t>
  </si>
  <si>
    <t>Lingotes,"5.55K","58M","86.70M","76.12","0.92"</t>
  </si>
  <si>
    <t>Montebalito,"4.08K","56.96M","12.90M","36.25","0.27"</t>
  </si>
  <si>
    <t>Pangaea Oncology,"1.56K","56.69M","14.35M","-9.96","0.08"</t>
  </si>
  <si>
    <t>Inbest GPF Multi Asset Class Prime,"3.5M","55.66M","0.00","",""</t>
  </si>
  <si>
    <t>Adolfo Dominguez,"3.02K","54.44M","139.82M","33.77","0.29"</t>
  </si>
  <si>
    <t>Inbest Prime I Inmuebles SOCIMI,"5.64K","51.69M","19.97K","-1,928.93","0.07"</t>
  </si>
  <si>
    <t>Techo Hogar,"55.09K","51.61M","0.00","",""</t>
  </si>
  <si>
    <t>Grupo Ezentis SA,"1.93M","49.86M","20.83M","-12.26","1.93"</t>
  </si>
  <si>
    <t>Parlem Telecom Companyia de Telecomunicacions,"6.59K","49.29M","50.59M","-28.51","0.41"</t>
  </si>
  <si>
    <t>Gigas Hosting SA,"14.3K","48.79M","79.43M","-108.99","0.46"</t>
  </si>
  <si>
    <t>Agile Content SA,"34.48K","48M","84.56M","26.00","0.75"</t>
  </si>
  <si>
    <t>Inbest Prime IV Inmuebles SOCIMI,"500","47.03M","68.65K","-2,114.54","0.01"</t>
  </si>
  <si>
    <t>Tubos Reunid,"1M","45.9M","357.09M","-1.14","1.05"</t>
  </si>
  <si>
    <t>Enerside Energy,"22.82K","43.61M","2.68M","-3.11","0.46"</t>
  </si>
  <si>
    <t>AP 67 SOCIMI,"827","41.7M","4.55M","32.32","-0.02"</t>
  </si>
  <si>
    <t>Soluciones Cuatroochenta,"2.07K","40.44M","0.00","",""</t>
  </si>
  <si>
    <t>Ktesios RE,"439","39.65M","0.00","",""</t>
  </si>
  <si>
    <t>Duro Felguera,"389.13K","38.95M","254.08M","-0.54","1.04"</t>
  </si>
  <si>
    <t>Home Capital Rentals SOCIMI,"630","37.22M","0.00","",""</t>
  </si>
  <si>
    <t>NBI Bearings Europe,"6.34K","37.19M","50.63M","-58.94","0.31"</t>
  </si>
  <si>
    <t>Jaba I Inversiones,"5.85K","36.59M","2.12M","54.57","0.01"</t>
  </si>
  <si>
    <t>Quonia SOCIMI,"5.43K","34.73M","3.83M","","0.09"</t>
  </si>
  <si>
    <t>Barcino Property,"41.15K","33.88M","2.20M","9.76","0.07"</t>
  </si>
  <si>
    <t>Desarrollos Especiales de Sistemas de Anclajes,"492","33.47M","48.02M","11.27","0.10"</t>
  </si>
  <si>
    <t>Endurance Motive,"21.26K","33.21M","0.00","",""</t>
  </si>
  <si>
    <t>Innovative Solutions Ecosystem,"301","32.54M","13.00K","-40.87","0.15"</t>
  </si>
  <si>
    <t>Prevision Sanitaria,"705","31.35M","2.38M","33.62","0.05"</t>
  </si>
  <si>
    <t>Inhome Prime Properties,"204","30.53M","0.00","",""</t>
  </si>
  <si>
    <t>Labiana Health,"1.92K","30.36M","71.67M","36.97","-0.40"</t>
  </si>
  <si>
    <t>Numulae Gestion de Servicios,"10.06K","29.45M","6.24M","-90.45","-0.09"</t>
  </si>
  <si>
    <t>Grino Ecologic S.A.,"1.44K","29.14M","68.68M","10.39","-0.02"</t>
  </si>
  <si>
    <t>Holaluz Clidom,"16.94K","28.52M","197.96M","-0.60","-0.07"</t>
  </si>
  <si>
    <t>Optare Solutions,"418","26.6M","0.00","",""</t>
  </si>
  <si>
    <t>Inmobiliaria Park Rose,"3.29K","26.36M","1.93M","44.19","0.01"</t>
  </si>
  <si>
    <t>Renta Corp,"31.67K","25.15M","30.17M","7.61","0.95"</t>
  </si>
  <si>
    <t>Inbest Prime III Inmuebles,"5.03K","24.59M","51.10K","-683.23","0.04"</t>
  </si>
  <si>
    <t>Inbest Prime II Inmuebles,"5.05K","24.55M","2.35K","-575.79","0.03"</t>
  </si>
  <si>
    <t>Nyesa Valores,"48.77M","24.39M","6.81M","-0.82","0.97"</t>
  </si>
  <si>
    <t>Mistral Iberia RE,"1.49K","22.87M","3.66M","7.18","0.07"</t>
  </si>
  <si>
    <t>VBARE Iberian Properties,"20","22.09M","3.04M","38.13","-0.31"</t>
  </si>
  <si>
    <t>Matritense RE,"200","20.48M","0.00","",""</t>
  </si>
  <si>
    <t>Grandvoyage Travel SL,"1.67K","19.97M","0.00","",""</t>
  </si>
  <si>
    <t>Lleidanetworks Serveis Telematics,"23.67K","19.34M","20.66M","13.10","0.98"</t>
  </si>
  <si>
    <t>Catenon S.A.,"11.92K","18.99M","13.06M","18.67","0.89"</t>
  </si>
  <si>
    <t>Nzi Technical Protection SL,"2.19K","18.18M","0.00","",""</t>
  </si>
  <si>
    <t>Iflex Flexible Packaging,"2.11K","17.9M","0.00","",""</t>
  </si>
  <si>
    <t>Redegal SL,"640","15.68M","0.00","",""</t>
  </si>
  <si>
    <t>Tree Tech,"4.85K","14.97M","0.00","",""</t>
  </si>
  <si>
    <t>Inbest Prime VII Inmuebles,"5.04K","14.85M","0.00","",""</t>
  </si>
  <si>
    <t>Biotechnology Assets,"426.49K","14.48M","3.05M","-5.36","2.24"</t>
  </si>
  <si>
    <t>Domo Activos,"7.46K","13.79M","25.00K","","0.03"</t>
  </si>
  <si>
    <t>Substrate Artificial Inteligence,"9.89K","12.39M","19.60M","1.39","0.45"</t>
  </si>
  <si>
    <t>Substrate Artificial Inteligence,"1.96M","12.39M","19.60M","1.39","0.45"</t>
  </si>
  <si>
    <t>Asturiana de Laminados,"286.22K","11.9M","89.57M","-1.50","0.76"</t>
  </si>
  <si>
    <t>Media Investment Optimization SL,"17.77K","11.58M","58.65M","-3.22","0.08"</t>
  </si>
  <si>
    <t>Bodegas Riojanas,"7.53K","11.23M","15.49M","-5.25",""</t>
  </si>
  <si>
    <t>Greenoak Spain Holdings Socimi II,"49","10.95M","0.00","",""</t>
  </si>
  <si>
    <t>Elaia Investment Spain Socimi,"1.35K","10.05M","4.36M","","0.05"</t>
  </si>
  <si>
    <t>CommCenter,"463","9.55M","60.55M","7.67","-0.35"</t>
  </si>
  <si>
    <t>Better Consultants,"110","9.4M","0.00","",""</t>
  </si>
  <si>
    <t>Plasticos Compuestos,"3.83K","9.36M","47.82M","-189.68","0.23"</t>
  </si>
  <si>
    <t>Nextpoint Capital,"995","9.34M","0.00","",""</t>
  </si>
  <si>
    <t>Robot,"1.14K","8.58M","8.14M","8.33","0.02"</t>
  </si>
  <si>
    <t>Revenga Ingenieros,"5.52K","8.29M","0.00","",""</t>
  </si>
  <si>
    <t>Vanadi Coffee,"2.03M","7.95M","0.00","",""</t>
  </si>
  <si>
    <t>Pescanova,"71.43K","7.93M","313.00K","-12.16","0.40"</t>
  </si>
  <si>
    <t>Hannun,"35.91K","6.97M","7.26M","-2.39","-0.09"</t>
  </si>
  <si>
    <t>Alquiler Seguro Asset Market,"0","5.03M","0.00","",""</t>
  </si>
  <si>
    <t>Trajano Iberia,"1.28K","4.93M","19.12M","1.13","0.40"</t>
  </si>
  <si>
    <t>Profithol SA,"15.38K","4.83M","14.12M","0.34","0.75"</t>
  </si>
  <si>
    <t>Intercity Sad,"1.93M","4.02M","0.00","",""</t>
  </si>
  <si>
    <t>Euroespes S.A.,"188","3.91M","3.09M","-1.83","-0.23"</t>
  </si>
  <si>
    <t>Innovative Simply Solar,"593","0","0.00","",""</t>
  </si>
  <si>
    <t>Ver</t>
  </si>
  <si>
    <t xml:space="preserve">X </t>
  </si>
  <si>
    <t>goog</t>
  </si>
  <si>
    <t xml:space="preserve">brk </t>
  </si>
  <si>
    <t>spy</t>
  </si>
  <si>
    <t>abvx</t>
  </si>
  <si>
    <t>evo</t>
  </si>
  <si>
    <t>tln</t>
  </si>
  <si>
    <t>srpt</t>
  </si>
  <si>
    <t>INT</t>
  </si>
  <si>
    <t>msft</t>
  </si>
  <si>
    <t>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</si>
</sst>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 #,##0.00_);_([$€-2]\ * \(#,##0.00\);_([$€-2]\ * &quot;-&quot;??_);_(@_)"/>
  </numFmts>
  <fonts count="5" x14ac:knownFonts="1">
    <font>
      <sz val="11"/>
      <color theme="1"/>
      <name val="Arial"/>
      <family val="2"/>
    </font>
    <font>
      <b/>
      <sz val="11"/>
      <color theme="1"/>
      <name val="Arial"/>
      <family val="2"/>
    </font>
    <font>
      <sz val="11"/>
      <color rgb="FF000000"/>
      <name val="Calibri"/>
      <family val="2"/>
    </font>
    <font>
      <b/>
      <sz val="11"/>
      <color rgb="FF000000"/>
      <name val="Calibri"/>
      <family val="2"/>
    </font>
    <font>
      <b/>
      <sz val="11"/>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4">
    <xf numFmtId="0" fontId="0" fillId="0" borderId="0" xfId="0"/>
    <xf numFmtId="0" fontId="1" fillId="0" borderId="0" xfId="0" applyFont="1"/>
    <xf numFmtId="0" fontId="3" fillId="0" borderId="0" xfId="1" applyFont="1"/>
    <xf numFmtId="0" fontId="1" fillId="0" borderId="0" xfId="0" applyFont="1" applyAlignment="1">
      <alignment horizontal="center"/>
    </xf>
    <xf numFmtId="0" fontId="0" fillId="0" borderId="0" xfId="0" applyAlignment="1">
      <alignment horizontal="center"/>
    </xf>
    <xf numFmtId="164" fontId="1" fillId="0" borderId="0" xfId="0" applyNumberFormat="1" applyFont="1" applyAlignment="1">
      <alignment horizontal="center"/>
    </xf>
    <xf numFmtId="9" fontId="1" fillId="0" borderId="0" xfId="0" applyNumberFormat="1" applyFon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14" fontId="0" fillId="0" borderId="0" xfId="0" applyNumberFormat="1"/>
    <xf numFmtId="14" fontId="1" fillId="0" borderId="0" xfId="0" applyNumberFormat="1" applyFont="1" applyAlignment="1">
      <alignment horizontal="center"/>
    </xf>
    <xf numFmtId="14" fontId="0" fillId="0" borderId="0" xfId="0" applyNumberFormat="1" applyAlignment="1">
      <alignment horizontal="center"/>
    </xf>
    <xf numFmtId="0" fontId="4" fillId="0" borderId="0" xfId="1" applyFont="1" applyAlignment="1">
      <alignment horizontal="center"/>
    </xf>
    <xf numFmtId="14" fontId="1" fillId="0" borderId="0" xfId="0" applyNumberFormat="1" applyFont="1"/>
  </cellXfs>
  <cellStyles count="2">
    <cellStyle name="Normal" xfId="0" builtinId="0"/>
    <cellStyle name="Normal 2" xfId="1" xr:uid="{F2AE735E-B3A4-435E-9E55-4B402A60B1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5" Type="http://schemas.openxmlformats.org/officeDocument/2006/relationships/calcChain" Target="calcChain.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06">
  <rv s="0">
    <v>https://www.bing.com/financeapi/forcetrigger?t=amfy2w&amp;q=BMEX%3aITX&amp;form=skydnc</v>
    <v>Learn more on Bing</v>
  </rv>
  <rv s="1">
    <v>pt-BR</v>
    <v>amfy2w</v>
    <v>268435456</v>
    <v>1</v>
    <v>Da plataforma Refinitiv</v>
    <v>0</v>
    <v>1</v>
    <v>Inditex (BMEX:ITX)</v>
    <v>3</v>
    <v>4</v>
    <v>Finance</v>
    <v>5</v>
    <v>58.28</v>
    <v>40.799999999999997</v>
    <v>BMEX</v>
    <v>3116652000</v>
    <v>-6.2329999999999998E-3</v>
    <v>-0.36</v>
    <v>58.26</v>
    <v>1985</v>
    <v>56.72</v>
    <v>1.1338999999999999</v>
    <v>Bolsas y Mercados Espanoles</v>
    <v>175903800000</v>
    <v>Industria de Diseno Textil SA, known as Inditex SA, is a Spain-based company primarily engaged in the textile industry. The Company’s activities include the design, confection, manufacturing, distribution and retail of men, women and children apparel, footwear and fashion accessories, as well as home furnishings and household textile products. The Company’s business is divided into three segments: Zara, offering fashion, with a wide range of products for apparel and home; Bershka, which targets young consumer segment with fashion items and Others which retails apparel. The Company operates worldwide through eight brands: Zara, Pull&amp;Bear, Massimo Dutti, Bershka, Stradivarius, Oysho, Zara Home and Uterque. It offers its products in approximately 215 markets through its online platform and through its physical stores in 95 countries. Company is controlled by Pontegadea Inversiones SL.</v>
    <v>BMEX</v>
    <v>56.44</v>
    <v>163047</v>
    <v>46237.666666666664</v>
    <v>0</v>
    <v>1390820</v>
    <v>EUR</v>
    <v>Inditex</v>
    <v>Inditex</v>
    <v>28.619599999999998</v>
    <v>56.88</v>
    <v>57.76</v>
    <v>57.4</v>
    <v>Edificio Inditex, Avda. Diputacion, s/n, ARTEIXO, LA CORUNA, 15143 ES</v>
    <v>Specialty Retailers</v>
    <v>ITX</v>
    <v>Ações</v>
    <v>Inditex (BMEX:ITX)</v>
    <v>1.32</v>
    <v>2.3387999999999999E-2</v>
    <v>1348741</v>
  </rv>
  <rv s="2">
    <v>1</v>
  </rv>
  <rv s="0">
    <v>https://www.bing.com/financeapi/forcetrigger?t=amg2tc&amp;q=BMEX%3aSAN&amp;form=skydnc</v>
    <v>Learn more on Bing</v>
  </rv>
  <rv s="1">
    <v>pt-BR</v>
    <v>amg2tc</v>
    <v>268435456</v>
    <v>1</v>
    <v>Da plataforma Refinitiv</v>
    <v>0</v>
    <v>1</v>
    <v>Banco Santander SA (BMEX:SAN)</v>
    <v>3</v>
    <v>4</v>
    <v>Finance</v>
    <v>5</v>
    <v>12.593999999999999</v>
    <v>7.2590000000000003</v>
    <v>BMEX</v>
    <v>14689320000</v>
    <v>-6.8440000000000003E-3</v>
    <v>-8.5999999999999993E-2</v>
    <v>12.566000000000001</v>
    <v>1875</v>
    <v>12.382</v>
    <v>1.4939</v>
    <v>Bolsas y Mercados Espanoles</v>
    <v>180943000000</v>
    <v>BANCO SANTANDER, S.A. é um banco comercial e de retalho. Os segmentos dos bancos incluem a Europa continental, o Reino Unido, a América Latina e os Estados Unidos. O segmento da Europa Continental abrange todas as empresas da Europa Continental. O segmento do Reino Unido inclui os negócios desenvolvidos por várias unidades e agências no país. O segmento da América Latina engloba todas as suas atividades financeiras realizadas através dos seus bancos e subsidiárias na região. O segmento dos Estados Unidos inclui a Intermediate Holding Company (IHC) e suas subsidiárias Santander Bank, Banco Santander Porto Rico, Santander Consumer USA, Banco Santander International, Santander Investment Securities e Santander Branch em Nova York. O modelo comercial da empresa satisfaz as necessidades de todos os tipos de clientes: indivíduos com vários níveis de rendimento.</v>
    <v>BMEX</v>
    <v>12.318</v>
    <v>185279</v>
    <v>46237.666666666664</v>
    <v>3</v>
    <v>22263470</v>
    <v>EUR</v>
    <v>Banco Santander SA</v>
    <v>Banco Santander SA</v>
    <v>11.305400000000001</v>
    <v>12.4</v>
    <v>12.566000000000001</v>
    <v>12.48</v>
    <v>CGS Av. Cantabria s/n, BOADILLA DEL MONTE, MADRID, 28660 ES</v>
    <v>Banking Services</v>
    <v>SAN</v>
    <v>Ações</v>
    <v>Banco Santander SA (BMEX:SAN)</v>
    <v>0.248</v>
    <v>2.0133000000000002E-2</v>
    <v>22267906</v>
  </rv>
  <rv s="2">
    <v>4</v>
  </rv>
  <rv s="0">
    <v>http://en.wikipedia.org/wiki/Public_domain</v>
    <v>Public domain</v>
  </rv>
  <rv s="0">
    <v>http://en.wikipedia.org/wiki/Airbus</v>
    <v>Wikipedia</v>
  </rv>
  <rv s="3">
    <v>6</v>
    <v>7</v>
  </rv>
  <rv s="4">
    <v>12</v>
    <v>https://www.bing.com/th?id=AMMS_abaa60abfe41f3cc31a73bc766832b19&amp;qlt=95</v>
    <v>8</v>
    <v>0</v>
    <v>https://www.bing.com/images/search?form=xlimg&amp;q=airbus</v>
    <v>Image of Airbus NL</v>
  </rv>
  <rv s="0">
    <v>https://www.bing.com/financeapi/forcetrigger?t=amfqvh&amp;q=BMEX%3aAIR&amp;form=skydnc</v>
    <v>Learn more on Bing</v>
  </rv>
  <rv s="5">
    <v>pt-BR</v>
    <v>amfqvh</v>
    <v>268435456</v>
    <v>1</v>
    <v>Da plataforma Refinitiv</v>
    <v>6</v>
    <v>7</v>
    <v>Airbus NL (BMEX:AIR)</v>
    <v>9</v>
    <v>10</v>
    <v>Finance</v>
    <v>11</v>
    <v>221.15</v>
    <v>157.62</v>
    <v>BMEX</v>
    <v>792283700</v>
    <v>209.65</v>
    <v>1998</v>
    <v>206.5</v>
    <v>1.2206999999999999</v>
    <v>Bolsas y Mercados Espanoles</v>
    <v>160199800000</v>
    <v>Airbus SE is a Netherlands-based Company that is active in the aerospace and defense industry. The Company operates through three segments: Airbus, Airbus Helicopters and Airbus Defense and Space. The Airbus segment focuses on the development, manufacturing, marketing and sale of commercial jet aircraft and aircraft components, as well as on aircraft conversion and related services. The Airbus Helicopters segment specializes in the development, manufacturing, marketing and sale of civil and military helicopters, as well as on the provision of helicopter related services. The Airbus Defense and Space segment produces military combat aircraft and training aircraft, provides defense electronics and global security market solutions, and manufacturers and markets missiles.</v>
    <v>BMEX</v>
    <v>202.75</v>
    <v>168754</v>
    <v>46237.666666666664</v>
    <v>9</v>
    <v>10</v>
    <v>1242120</v>
    <v>EUR</v>
    <v>Airbus NL</v>
    <v>Airbus NL</v>
    <v>26.921700000000001</v>
    <v>207.45</v>
    <v>206.55</v>
    <v>Mendelweg 30, LEIDEN, ZUID-HOLLAND, 2333CS NL</v>
    <v>Aerospace &amp; Defense</v>
    <v>AIR</v>
    <v>Ações</v>
    <v>Airbus NL (BMEX:AIR)</v>
    <v>3.8</v>
    <v>1.8742000000000002E-2</v>
    <v>6871</v>
  </rv>
  <rv s="2">
    <v>11</v>
  </rv>
  <rv s="0">
    <v>https://www.bing.com/financeapi/forcetrigger?t=amfx6h&amp;q=BMEX%3aIBE&amp;form=skydnc</v>
    <v>Learn more on Bing</v>
  </rv>
  <rv s="6">
    <v>pt-BR</v>
    <v>amfx6h</v>
    <v>268435456</v>
    <v>1</v>
    <v>Da plataforma Refinitiv</v>
    <v>13</v>
    <v>14</v>
    <v>Iberdrola (BMEX:IBE)</v>
    <v>3</v>
    <v>15</v>
    <v>Finance</v>
    <v>11</v>
    <v>21.646999999999998</v>
    <v>14.766999999999999</v>
    <v>BMEX</v>
    <v>6673142000</v>
    <v>20.67</v>
    <v>20.48</v>
    <v>0.67949999999999999</v>
    <v>Bolsas y Mercados Espanoles</v>
    <v>137800400000</v>
    <v>IBERDROLA, S.A. is engaged in carrying out electricity and gas activities in Spain and abroad. The Company's segments include Network business, Deregulated business, Renewable business and Other businesses. The Company's Network business segment includes all the energy transmission and distribution activities, and any other regulated activity originated in Spain, the United Kingdom, the United States and Brazil. Its Deregulated business segment includes electricity generation and sales businesses, as well as gas trading and storage businesses carried on by the Company in Spain, Portugal, the United Kingdom and North America. Its Renewable business segment includes activities related to renewable energies in Spain, the United Kingdom, the United States and the rest of the world. Its Other businesses segment includes the engineering and construction businesses and the non-power businesses. The Company offers its customers power and natural gas, both in the wholesale and retail markets.</v>
    <v>BMEX</v>
    <v>20.65</v>
    <v>45339</v>
    <v>46237.666666666664</v>
    <v>13</v>
    <v>6511650</v>
    <v>EUR</v>
    <v>Iberdrola</v>
    <v>Iberdrola</v>
    <v>23.9726</v>
    <v>20.56</v>
    <v>20.65</v>
    <v>Plaza Euskadi numero 5, BILBAO, VIZCAYA ES</v>
    <v>Electrical Utilities &amp; IPPs</v>
    <v>IBE</v>
    <v>Ações</v>
    <v>Iberdrola (BMEX:IBE)</v>
    <v>0</v>
    <v>0</v>
    <v>6657194</v>
  </rv>
  <rv s="2">
    <v>14</v>
  </rv>
  <rv s="0">
    <v>https://www.bing.com/financeapi/forcetrigger?t=amfsr7&amp;q=BMEX%3aCABK&amp;form=skydnc</v>
    <v>Learn more on Bing</v>
  </rv>
  <rv s="6">
    <v>pt-BR</v>
    <v>amfsr7</v>
    <v>268435456</v>
    <v>1</v>
    <v>Da plataforma Refinitiv</v>
    <v>13</v>
    <v>14</v>
    <v>CaixaBank (BMEX:CABK)</v>
    <v>3</v>
    <v>15</v>
    <v>Finance</v>
    <v>11</v>
    <v>13.47</v>
    <v>8.1679999999999993</v>
    <v>BMEX</v>
    <v>6975930000</v>
    <v>12.7</v>
    <v>12.455</v>
    <v>0.61550000000000005</v>
    <v>Bolsas y Mercados Espanoles</v>
    <v>87652560000</v>
    <v>Caixabank SA is a Spain-based bank. Its activities are divided into two business segments: Banking and insurance, as well as Investments. The Banking and insurance division provides financial services for individual customers, including retail, private and personal banking, business customers, such as commercial and corporate banking, cash management and markets solutions, as well as offers insurance products. The Investments division includes investments in the international banking investee portfolio, as well as stakes in other companies, such as Repsol SA and Telefonica SA. The Bank operates through domestic and foreign branches, as well as representative offices in Europe, the Americas, Africa and Asia.</v>
    <v>BMEX</v>
    <v>12.565</v>
    <v>47365</v>
    <v>46237.666666666664</v>
    <v>16</v>
    <v>8259000</v>
    <v>EUR</v>
    <v>CaixaBank</v>
    <v>CaixaBank</v>
    <v>14.303699999999999</v>
    <v>12.664999999999999</v>
    <v>12.53</v>
    <v>calle Pintor Sorolla, 2-4, VALENCIA, VALENCIA, 46002 ES</v>
    <v>Banking Services</v>
    <v>CABK</v>
    <v>Ações</v>
    <v>CaixaBank (BMEX:CABK)</v>
    <v>-3.5000000000000003E-2</v>
    <v>-2.7860000000000003E-3</v>
    <v>5089582</v>
  </rv>
  <rv s="2">
    <v>17</v>
  </rv>
  <rv s="7">
    <v>pt-BR</v>
    <v>ca2b5r</v>
    <v>268435456</v>
    <v>1</v>
    <v>Da plataforma Refinitiv</v>
    <v>16</v>
    <v>17</v>
    <v>Ferrovial (XAMS:FER)</v>
    <v>18</v>
    <v>15</v>
    <v>Finance</v>
    <v>11</v>
    <v>63.05</v>
    <v>42.82</v>
    <v>XAMS</v>
    <v>729555400</v>
    <v>57.38</v>
    <v>56.58</v>
    <v>0.76480000000000004</v>
    <v>Euronext Amsterdam</v>
    <v>41394970000</v>
    <v>Ferrovial NV, previously Ferrovial SE, is a Netherlands-based company. The Company operates across four business segments: Construction, Toll Roads, Airports as well as Energy Infrastructure and Mobility. Construction segment consists of design and execution of all manner of public and private works, including most notably the construction of public infrastructure. Toll roads segment includes development, financing and operation of toll roads. Airports segment consists of development, financing and operation of airports. Energy Infrastructures and Mobility segment focuses on development, financing and operation of power transmission lines and renewable energy generation plants, mobility, waste management plants and services to the mining industry in Chile.</v>
    <v>XAMS</v>
    <v>56.7</v>
    <v>22359</v>
    <v>46237.666666666664</v>
    <v>696240</v>
    <v>EUR</v>
    <v>Ferrovial</v>
    <v>Ferrovial</v>
    <v>67.029200000000003</v>
    <v>57.16</v>
    <v>57.26</v>
    <v>Gustav Mahlerplein 61-63, Symphony Towers, 14Th Floor, AMSTERDAM, NOORD-HOLLAND, 1082MS NL</v>
    <v>Construction &amp; Engineering</v>
    <v>FER</v>
    <v>Ações</v>
    <v>Ferrovial (XAMS:FER)</v>
    <v>0.56000000000000005</v>
    <v>9.8770000000000004E-3</v>
    <v>7035</v>
  </rv>
  <rv s="2">
    <v>19</v>
  </rv>
  <rv s="0">
    <v>https://www.bing.com/financeapi/forcetrigger?t=amfqpr&amp;q=BMEX%3aAENA&amp;form=skydnc</v>
    <v>Learn more on Bing</v>
  </rv>
  <rv s="8">
    <v>pt-BR</v>
    <v>amfqpr</v>
    <v>268435456</v>
    <v>1</v>
    <v>Da plataforma Refinitiv</v>
    <v>19</v>
    <v>20</v>
    <v>Aena SME (BMEX:AENA)</v>
    <v>3</v>
    <v>21</v>
    <v>Finance</v>
    <v>11</v>
    <v>28.86</v>
    <v>21.96</v>
    <v>BMEX</v>
    <v>1500000000</v>
    <v>27.1</v>
    <v>2011</v>
    <v>26.78</v>
    <v>0.9405</v>
    <v>Bolsas y Mercados Espanoles</v>
    <v>40020000000</v>
    <v>Aena SME SA, formerly Aena SA, is a Spain-based company primarily engaged in the airports operation. Its activities are divided into four segments: Airports, which comprises Aeronautical subdivision, responsible for the management of airports, jetways, security, handling, cargo and fuel services, among others, as well as Commercial subdivision, including duty-free and specialty stores, restaurant services, car rental, as well as banking services and advertising; Services outside the terminal, which manages real estate assets, such as parking lots, warehouses and lands; International, which comprises operations of Company’s subsidiary, Aena Desarrollo Internacional SA, that invests in other airport owners principally in Mexico, Colombia and the United Kingdom; and Others, encompassing corporate activities. It manages tourism, hub and regional airports, as well as heliports and general aviation areas. Furthermore, its destination range comprises Europe, the Americas, Asia and Africa.</v>
    <v>BMEX</v>
    <v>26.68</v>
    <v>11884</v>
    <v>46237.666666666664</v>
    <v>21</v>
    <v>1287880</v>
    <v>EUR</v>
    <v>Aena SME</v>
    <v>Aena SME</v>
    <v>17.9206</v>
    <v>27</v>
    <v>26.82</v>
    <v>C/ Peonias, 12, MADRID, MADRID, 28042 ES</v>
    <v>Transport Infrastructure</v>
    <v>AENA</v>
    <v>Ações</v>
    <v>Aena SME (BMEX:AENA)</v>
    <v>0.14000000000000001</v>
    <v>5.2470000000000008E-3</v>
    <v>1144343</v>
  </rv>
  <rv s="2">
    <v>22</v>
  </rv>
  <rv s="0">
    <v>https://www.bing.com/financeapi/forcetrigger?t=amft6h&amp;q=BMEX%3aCCEP&amp;form=skydnc</v>
    <v>Learn more on Bing</v>
  </rv>
  <rv s="8">
    <v>pt-BR</v>
    <v>amft6h</v>
    <v>268435456</v>
    <v>1</v>
    <v>Da plataforma Refinitiv</v>
    <v>19</v>
    <v>20</v>
    <v>Coca-Cola UK (BMEX:CCEP)</v>
    <v>3</v>
    <v>22</v>
    <v>Finance</v>
    <v>11</v>
    <v>100</v>
    <v>72.599999999999994</v>
    <v>BMEX</v>
    <v>443217700</v>
    <v>96.2</v>
    <v>2015</v>
    <v>94.2</v>
    <v>0.47739999999999999</v>
    <v>Bolsas y Mercados Espanoles</v>
    <v>48514600000</v>
    <v>Coca-Cola Europacific Partners plc is a United Kingdom-based consumer goods company. The Company is engaged in making, selling and distributing an extensive range of primarily non-alcoholic ready-to-drink (RTD) beverages. The Company's product categories include Coca-Cola trademark; flavors and mixers; waters, sports, RTD tea and coffee, and other including energy. Its brands include Coca-Cola Original Taste, Coca-Cola Zero Sugar, Diet Coke, Sprite, Fanta, Monster Energy, Costa Coffee and Fuze Tea. The Company's operations include Europe and Australia, Pacific and Southeast Asia (APS). Its Europe operations include FBN (France, Monaco, Belgium, Luxembourg, the Netherlands, Norway, Sweden and Iceland), Germany, Great Britain, and Iberia (Spain, Portugal and Andorra). The Company's APS operations include Australia/Pacific (Australia, New Zealand, the Pacific Islands and Papua New Guinea), and Southeast Asia (Indonesia and the Philippines). It operates in approximately 31 markets.</v>
    <v>BMEX</v>
    <v>95.8</v>
    <v>39000</v>
    <v>46237.666666666664</v>
    <v>24</v>
    <v>2160060</v>
    <v>EUR</v>
    <v>Coca-Cola UK</v>
    <v>Coca-Cola UK</v>
    <v>22.132999999999999</v>
    <v>96.2</v>
    <v>94.3</v>
    <v>Pemberton House, Bakers Road, NaN, UXBRIDGE, HILLINGDON, UB8 1EZ GB</v>
    <v>Beverages</v>
    <v>CCEP</v>
    <v>Ações</v>
    <v>Coca-Cola UK (BMEX:CCEP)</v>
    <v>-1.5</v>
    <v>-1.5658000000000002E-2</v>
    <v>709</v>
  </rv>
  <rv s="2">
    <v>25</v>
  </rv>
  <rv s="0">
    <v>https://www.bing.com/financeapi/forcetrigger?t=amfzar&amp;q=BMEX%3aMTS&amp;form=skydnc</v>
    <v>Learn more on Bing</v>
  </rv>
  <rv s="8">
    <v>pt-BR</v>
    <v>amfzar</v>
    <v>268435456</v>
    <v>1</v>
    <v>Da plataforma Refinitiv</v>
    <v>19</v>
    <v>20</v>
    <v>ArcelorMittal SA (BMEX:MTS)</v>
    <v>3</v>
    <v>21</v>
    <v>Finance</v>
    <v>11</v>
    <v>62.9</v>
    <v>26.35</v>
    <v>BMEX</v>
    <v>775000000</v>
    <v>62.9</v>
    <v>2001</v>
    <v>60.54</v>
    <v>1.6049</v>
    <v>Bolsas y Mercados Espanoles</v>
    <v>47073500000</v>
    <v>A ArcelorMittal SA é uma holding luxemburguesa. A Companhia, através de suas subsidiárias, possui e opera instalações de aço, fabricação de minério de ferro e mineração de carvão na Europa, América do Norte e do Sul, Ásia e África. A Companhia está organizada em cinco segmentos operacionais: NAFTA; Brasil; Europa; África e Comunidade de Estados Independentes (ACIS) e Mineração. Os segmentos NAFTA, Brasil, Europa e ACIS produzem produtos planos, longos e tubulares, incluindo lajes, bobinas laminadas a quente, bobinas laminadas a frio, produtos de aço revestido, entre outros. O segmento de Mineração fornece operações siderúrgicas e compreende todas as minas de propriedade da Empresa nas Américas, Europa, África e países da Comunidade de Estados Independentes (CEI).</v>
    <v>BMEX</v>
    <v>60.64</v>
    <v>125554</v>
    <v>46237.666666666664</v>
    <v>27</v>
    <v>1746000</v>
    <v>EUR</v>
    <v>ArcelorMittal SA</v>
    <v>ArcelorMittal SA</v>
    <v>29.507300000000001</v>
    <v>61.42</v>
    <v>61.8</v>
    <v>24-26 Boulevard d'Avranches, LUXEMBOURG, 1160 LU</v>
    <v>Metals &amp; Mining</v>
    <v>MTS</v>
    <v>Ações</v>
    <v>ArcelorMittal SA (BMEX:MTS)</v>
    <v>1.1599999999999999</v>
    <v>1.9129E-2</v>
    <v>286438</v>
  </rv>
  <rv s="2">
    <v>28</v>
  </rv>
  <rv s="0">
    <v>https://www.bing.com/financeapi/forcetrigger?t=amfuyc&amp;q=BMEX%3aELE&amp;form=skydnc</v>
    <v>Learn more on Bing</v>
  </rv>
  <rv s="8">
    <v>pt-BR</v>
    <v>amfuyc</v>
    <v>268435456</v>
    <v>1</v>
    <v>Da plataforma Refinitiv</v>
    <v>19</v>
    <v>20</v>
    <v>Endesa (BMEX:ELE)</v>
    <v>3</v>
    <v>21</v>
    <v>Finance</v>
    <v>11</v>
    <v>42.67</v>
    <v>25.17</v>
    <v>BMEX</v>
    <v>1041745000</v>
    <v>42.49</v>
    <v>1944</v>
    <v>41.97</v>
    <v>0.60670000000000002</v>
    <v>Bolsas y Mercados Espanoles</v>
    <v>44128300000</v>
    <v>Endesa SA is a Spain-based holding company engaged in the business of electricity and gas generation, distribution, and sale, as well as related services. Its segments include Generation, along with Supply; Distribution, and Structure, including the balances and transactions of holding companies and financing companies. It is engaged in electricity business in its industrial and commercial areas. It is also engaged in the exploitation of primary energy resources; the provision of industrial services, particularly in the areas of telecommunications, water and gas, and investing in other companies. It generates, distributes and sells electricity mainly in Spain and Portugal. It also supplies electricity and gas to other European markets, in particular Germany, France, Belgium and the Netherlands, from its platform in Spain and Portugal. It is engaged in supplying value added services and products to customers. It distributes electricity to the consumption points.</v>
    <v>BMEX</v>
    <v>42.36</v>
    <v>8927</v>
    <v>46237.666666666664</v>
    <v>30</v>
    <v>748980</v>
    <v>EUR</v>
    <v>Endesa</v>
    <v>Endesa</v>
    <v>16.6279</v>
    <v>42.22</v>
    <v>42.19</v>
    <v>Ribera del Loira, 60, MADRID, MADRID, 28042 ES</v>
    <v>Electrical Utilities &amp; IPPs</v>
    <v>ELE</v>
    <v>Ações</v>
    <v>Endesa (BMEX:ELE)</v>
    <v>-0.17</v>
    <v>-4.0130000000000001E-3</v>
    <v>1016629</v>
  </rv>
  <rv s="2">
    <v>31</v>
  </rv>
  <rv s="0">
    <v>https://www.bing.com/financeapi/forcetrigger?t=bnkb5r&amp;q=BMEX%3aNTGY&amp;form=skydnc</v>
    <v>Learn more on Bing</v>
  </rv>
  <rv s="8">
    <v>pt-BR</v>
    <v>bnkb5r</v>
    <v>268435456</v>
    <v>1</v>
    <v>Da plataforma Refinitiv</v>
    <v>19</v>
    <v>20</v>
    <v>Naturgy (BMEX:NTGY)</v>
    <v>3</v>
    <v>21</v>
    <v>Finance</v>
    <v>11</v>
    <v>30.04</v>
    <v>24.3</v>
    <v>BMEX</v>
    <v>969613800</v>
    <v>29</v>
    <v>1843</v>
    <v>28.56</v>
    <v>0.36880000000000002</v>
    <v>Bolsas y Mercados Espanoles</v>
    <v>28080020000</v>
    <v>Naturgy Energy Group SA, formerly Gas Natural SDG SA, is a Spain-based company active in the energy sector. The Company's activities are divided into four business segments: Gas &amp; Electricity, which includes generation and renewables businesses, gas supply, marketing and logistics of liquefied natural gas (LNG) worldwide, as well as gas and electricity commercialization in Europe; Infrastructure Spain &amp; EMPL - Medgaz, which comprises gas and electricity network businesses in Spain and the Maghreb gas pipelines; Infrastructure Latin America South Zone that implies gas and electricity networks businesses in Chile, Argentina, Brazil and Peru, and Infrastructure Latin America North Zone, which includes gas and electricity network businesses in Mexico and Panama.</v>
    <v>BMEX</v>
    <v>28.96</v>
    <v>6786</v>
    <v>46237.666666666664</v>
    <v>33</v>
    <v>1634680</v>
    <v>EUR</v>
    <v>Naturgy</v>
    <v>Naturgy</v>
    <v>12.600300000000001</v>
    <v>28.98</v>
    <v>28.74</v>
    <v>Avenida de America, 38, MADRID, MADRID, 28028 ES</v>
    <v>Natural Gas Utilities</v>
    <v>NTGY</v>
    <v>Ações</v>
    <v>Naturgy (BMEX:NTGY)</v>
    <v>-0.22</v>
    <v>-7.5970000000000005E-3</v>
    <v>1181498</v>
  </rv>
  <rv s="2">
    <v>34</v>
  </rv>
  <rv s="0">
    <v>https://www.bing.com/financeapi/forcetrigger?t=amfq8m&amp;q=BMEX%3aACS&amp;form=skydnc</v>
    <v>Learn more on Bing</v>
  </rv>
  <rv s="8">
    <v>pt-BR</v>
    <v>amfq8m</v>
    <v>268435456</v>
    <v>1</v>
    <v>Da plataforma Refinitiv</v>
    <v>19</v>
    <v>20</v>
    <v>ACS ES (BMEX:ACS)</v>
    <v>3</v>
    <v>21</v>
    <v>Finance</v>
    <v>11</v>
    <v>139.18299999999999</v>
    <v>57.944000000000003</v>
    <v>BMEX</v>
    <v>277097900</v>
    <v>112.9</v>
    <v>1942</v>
    <v>108.4</v>
    <v>0.65500000000000003</v>
    <v>Bolsas y Mercados Espanoles</v>
    <v>30563900000</v>
    <v>ACS Actividades de Construccion y Servicios SA is a Spain-based company primarily engaged in the construction and engineering industry. The Company focuses on the development, building, and operation of infrastructure projects across multiple regions and sectors. Its business is structured into five segments: Turner, which provides services for diverse projects, including high-tech facilities such as data centers and electric vehicle battery plants; CIMIC, which involves construction, services, and public-private partnership (PPP) activities; Engineering and Construction, which includes civil construction works, residence and non-residential building, concession activity, mining and real estate; Infrastructure, which focuses on developing and operating transport concessions; and Other, which comprises real estate assets, renewable energy and water assets, activities relating to comprehensive maintenance services for buildings, public places, among other activities.</v>
    <v>BMEX</v>
    <v>110.3</v>
    <v>152300</v>
    <v>46237.666666666664</v>
    <v>36</v>
    <v>523950</v>
    <v>EUR</v>
    <v>ACS ES</v>
    <v>ACS ES</v>
    <v>28.205100000000002</v>
    <v>111.7</v>
    <v>110.2</v>
    <v>Avda. de Pio XII, 102, MADRID, MADRID, 28036 ES</v>
    <v>Construction &amp; Engineering</v>
    <v>ACS</v>
    <v>Ações</v>
    <v>ACS ES (BMEX:ACS)</v>
    <v>-0.1</v>
    <v>-9.0660000000000003E-4</v>
    <v>709233</v>
  </rv>
  <rv s="2">
    <v>37</v>
  </rv>
  <rv s="0">
    <v>https://www.bing.com/financeapi/forcetrigger?t=amfrdm&amp;q=BMEX%3aAMS&amp;form=skydnc</v>
    <v>Learn more on Bing</v>
  </rv>
  <rv s="8">
    <v>pt-BR</v>
    <v>amfrdm</v>
    <v>268435456</v>
    <v>1</v>
    <v>Da plataforma Refinitiv</v>
    <v>19</v>
    <v>20</v>
    <v>Amadeus IT Group (BMEX:AMS)</v>
    <v>3</v>
    <v>21</v>
    <v>Finance</v>
    <v>11</v>
    <v>73.28</v>
    <v>46.21</v>
    <v>BMEX</v>
    <v>431571300</v>
    <v>55.96</v>
    <v>2005</v>
    <v>54.32</v>
    <v>0.85909999999999997</v>
    <v>Bolsas y Mercados Espanoles</v>
    <v>23020010000</v>
    <v>Amadeus IT Group SA, formerly Amadeus IT Holding SA, is a Spain-based company engaged in the provision of information technology (IT) services primarily for the tourism and travel industries. The Company’s activities are divided into two business segments: Distribution and IT Solutions. The Distribution division offers Global Distribution System (GDS), a worldwide computerized reservation system (CRS) used as a single point of access for booking airline seats, hotel rooms and other travel-related services by travel agencies and travel management companies. The IT Solutions division provides a range of technology solutions that automate core processes for travel providers. Its customers include full service carriers and low-cost airlines, hotel managers, rail operators, cruise and ferry operators, travel insurers and car rental companies, among others. The Company operates through numerous subsidiaries in Europe, the Americas, Asia, Africa and Australia.</v>
    <v>BMEX</v>
    <v>53.34</v>
    <v>20424</v>
    <v>46237.666666666664</v>
    <v>39</v>
    <v>761430</v>
    <v>EUR</v>
    <v>Amadeus IT Group</v>
    <v>Amadeus IT Group</v>
    <v>17.538599999999999</v>
    <v>54.34</v>
    <v>55.32</v>
    <v>Salvador de Madariaga 1, MADRID, MADRID, 28027 ES</v>
    <v>Software &amp; IT Services</v>
    <v>AMS</v>
    <v>Ações</v>
    <v>Amadeus IT Group (BMEX:AMS)</v>
    <v>1.98</v>
    <v>3.712E-2</v>
    <v>886342</v>
  </rv>
  <rv s="2">
    <v>40</v>
  </rv>
  <rv s="0">
    <v>https://www.bing.com/financeapi/forcetrigger?t=amfx3m&amp;q=BMEX%3aIAG&amp;form=skydnc</v>
    <v>Learn more on Bing</v>
  </rv>
  <rv s="1">
    <v>pt-BR</v>
    <v>amfx3m</v>
    <v>268435456</v>
    <v>1</v>
    <v>Da plataforma Refinitiv</v>
    <v>0</v>
    <v>1</v>
    <v>IAG (BMEX:IAG)</v>
    <v>3</v>
    <v>23</v>
    <v>Finance</v>
    <v>5</v>
    <v>5.718</v>
    <v>3.82</v>
    <v>BMEX</v>
    <v>4403834000</v>
    <v>0.23420200000000002</v>
    <v>1.1859999999999999</v>
    <v>5.21</v>
    <v>2009</v>
    <v>5.048</v>
    <v>2.0697999999999999</v>
    <v>Bolsas y Mercados Espanoles</v>
    <v>18997630000</v>
    <v>International Consolidated Airlines Group, S.A. is a United Kingdom-based airline company that holds interests of airline and ancillary operations. The Company’s segments include British Airways, Iberia, Vueling, Aer Lingus, and IAG Loyalty. It operates various aircraft fleet services, including the Airbus A319ceo; Airbus A320ceo; Airbus A320neo; Airbus A321ceo; Airbus A321 LR; Airbus A321 XLR; Airbus A330-200; Boeing 737-8200; Boeing 777-200; Boeing 737-10; Boeing 777-300; Embraer E190, and others. The Company, through its subsidiaries, is engaged in providing airline operations, life insurance, air freight operations, cargo transport services and others. Its subsidiaries include AERL Holding Limited, British Airways Plc, IAG Cargo Limited, IAG GBS Limited, IAG Connect Limited, British Airways Avionic Engineering Limited and others. IAG Connect Limited provides an inflight eCommerce platform service. British Airways Avionic Engineering Limited provides aircraft maintenance services.</v>
    <v>BMEX</v>
    <v>5.0540000000000003</v>
    <v>75786</v>
    <v>46237.666666666664</v>
    <v>42</v>
    <v>13261740</v>
    <v>EUR</v>
    <v>IAG</v>
    <v>IAG</v>
    <v>7.5380000000000003</v>
    <v>5.1740000000000004</v>
    <v>5.0640000000000001</v>
    <v>6.25</v>
    <v>Waterside (HAA2), PO Box 365, HARMONDSWORTH, UB7 0GB GB</v>
    <v>Passenger Transportation Services</v>
    <v>IAG</v>
    <v>Ações</v>
    <v>IAG (BMEX:IAG)</v>
    <v>0.01</v>
    <v>1.9789999999999999E-3</v>
    <v>6635809</v>
  </rv>
  <rv s="2">
    <v>43</v>
  </rv>
  <rv s="0">
    <v>https://www.bing.com/financeapi/forcetrigger?t=amg3k2&amp;q=BMEX%3aTEF&amp;form=skydnc</v>
    <v>Learn more on Bing</v>
  </rv>
  <rv s="9">
    <v>pt-BR</v>
    <v>amg3k2</v>
    <v>268435456</v>
    <v>1</v>
    <v>Da plataforma Refinitiv</v>
    <v>24</v>
    <v>25</v>
    <v>Telefonica SA (BMEX:TEF)</v>
    <v>3</v>
    <v>26</v>
    <v>Finance</v>
    <v>11</v>
    <v>4.8929999999999998</v>
    <v>3.2360000000000002</v>
    <v>BMEX</v>
    <v>5670162000</v>
    <v>3.6880000000000002</v>
    <v>1924</v>
    <v>3.5710000000000002</v>
    <v>0.43359999999999999</v>
    <v>Bolsas y Mercados Espanoles</v>
    <v>20321860000</v>
    <v>A Telefonica SA é um grupo de telecomunicações integrado e diversificado, com sede em Espanha, que opera na Europa e na América Latina. A Companhia tem como principal objetivo prestar todos os tipos de serviços de telecomunicações públicos e privados, bem como serviços auxiliares ou complementares relacionados com telecomunicações em Espanha e no exterior. Como empresa-mãe de um grupo de empresas que oferece comunicações fixas e móveis, a Telefonica SA é uma empresa totalmente independente cujas ações são negociadas no mercado contínuo das bolsas de valores espanholas e nas bolsas de valores de Nova York e Lima. Através de suas subsidiárias globais, a Empresa atende clientes (empresas de todos os portes, indivíduos e redes) implementando soluções de telecomunicações, segurança cibernética, contratos móveis, banda larga e sem fio, IA e inovações tecnológicas blockchain, entre outros.</v>
    <v>BMEX</v>
    <v>3.5840000000000001</v>
    <v>74427</v>
    <v>46237.666666666664</v>
    <v>45</v>
    <v>11101160</v>
    <v>EUR</v>
    <v>Telefonica SA</v>
    <v>Telefonica SA</v>
    <v>3.59</v>
    <v>3.6640000000000001</v>
    <v>Gran Via 28, MADRID, MADRID, 28013 ES</v>
    <v>Telecommunications Services</v>
    <v>TEF</v>
    <v>Ações</v>
    <v>Telefonica SA (BMEX:TEF)</v>
    <v>0.08</v>
    <v>2.2321000000000001E-2</v>
    <v>10781233</v>
  </rv>
  <rv s="2">
    <v>46</v>
  </rv>
  <rv s="0">
    <v>https://www.bing.com/financeapi/forcetrigger?t=amg2c7&amp;q=BMEX%3aREP&amp;form=skydnc</v>
    <v>Learn more on Bing</v>
  </rv>
  <rv s="6">
    <v>pt-BR</v>
    <v>amg2c7</v>
    <v>268435456</v>
    <v>1</v>
    <v>Da plataforma Refinitiv</v>
    <v>13</v>
    <v>14</v>
    <v>Repsol (BMEX:REP)</v>
    <v>3</v>
    <v>15</v>
    <v>Finance</v>
    <v>11</v>
    <v>26.76</v>
    <v>12.79</v>
    <v>BMEX</v>
    <v>1105374000</v>
    <v>26.13</v>
    <v>25.66</v>
    <v>0.34560000000000002</v>
    <v>Bolsas y Mercados Espanoles</v>
    <v>29159780000</v>
    <v>Repsol SA is a Spain-based multinational energy and petrochemical company. The Company operates through four main segments: Exploration and Production (Upstream), which are activities for the exploration and production of crude oil and natural gas reserves, as well as the development of low-carbon geological solutions, especially carbon dioxide storage; Industrial, which are activities involving oil refining, petrochemicals, and the trading, transport and wholesaling of crude oil, natural gas and fuels, including activities relating to new products such as hydrogen, sustainable biofuels and synthetic fuels; Customer, which are businesses involving mobility (gas stations) and the sale of fuel, electricity and gas, and lubricants and other specialties; and Low-Carbon Generation (LCG), which involves the generation of electricity from renewable sources and combined cycle gas turbines (CCGTs).</v>
    <v>BMEX</v>
    <v>26.38</v>
    <v>25268</v>
    <v>46237.666666666664</v>
    <v>48</v>
    <v>3097200</v>
    <v>EUR</v>
    <v>Repsol</v>
    <v>Repsol</v>
    <v>8.4441000000000006</v>
    <v>25.88</v>
    <v>26.04</v>
    <v>Mendez Alvaro, 44, MADRID, MADRID, 28045 ES</v>
    <v>Oil &amp; Gas</v>
    <v>REP</v>
    <v>Ações</v>
    <v>Repsol (BMEX:REP)</v>
    <v>-0.34</v>
    <v>-1.2888999999999999E-2</v>
    <v>2880239</v>
  </rv>
  <rv s="2">
    <v>49</v>
  </rv>
  <rv s="0">
    <v>https://www.bing.com/financeapi/forcetrigger?t=amfthw&amp;q=BMEX%3aCLNX&amp;form=skydnc</v>
    <v>Learn more on Bing</v>
  </rv>
  <rv s="9">
    <v>pt-BR</v>
    <v>amfthw</v>
    <v>268435456</v>
    <v>1</v>
    <v>Da plataforma Refinitiv</v>
    <v>24</v>
    <v>25</v>
    <v>Cellnex Telecom (BMEX:CLNX)</v>
    <v>3</v>
    <v>26</v>
    <v>Finance</v>
    <v>11</v>
    <v>32.71</v>
    <v>23.92</v>
    <v>BMEX</v>
    <v>682410900</v>
    <v>26.81</v>
    <v>2008</v>
    <v>26.26</v>
    <v>1.1186</v>
    <v>Bolsas y Mercados Espanoles</v>
    <v>18336380000</v>
    <v xml:space="preserve">Cellnex Telecom SA is a Spain-based company. The Company engaged in the wireless telecommunications (telecom) business. Its activities are divided into three segments: Broadcasting infrastructure, Telecom site rental, as well as Network services and other. Its broadcasting infrastructure division comprises distribution and transmission of television (TV) and frequency modulation (FM) radio signals, operation and maintenance (O&amp;M) of radio broadcasting network, as well as over-the-top (OTT) radio services, among others. The Company's telecom site rental division provides access to wireless infrastructure, primarily through infrastructure hosting and telecom equipment co-location, mainly for mobile network operators and other wireless and broadband telecom network operators. Its network services and other division offers connectivity services for a variety of telecom operators and radio communication, among others. </v>
    <v>BMEX</v>
    <v>26.87</v>
    <v>2474</v>
    <v>46237.666666666664</v>
    <v>51</v>
    <v>1784350</v>
    <v>EUR</v>
    <v>Cellnex Telecom</v>
    <v>Cellnex Telecom</v>
    <v>26.78</v>
    <v>26.6</v>
    <v>Calle Juan Esplandiu, 11-13, MADRID, MADRID, 28007 ES</v>
    <v>Telecommunications Services</v>
    <v>CLNX</v>
    <v>Ações</v>
    <v>Cellnex Telecom (BMEX:CLNX)</v>
    <v>-0.27</v>
    <v>-1.0048E-2</v>
    <v>1383813</v>
  </rv>
  <rv s="2">
    <v>52</v>
  </rv>
  <rv s="0">
    <v>https://www.bing.com/financeapi/forcetrigger?t=amg2qh&amp;q=BMEX%3aSAB&amp;form=skydnc</v>
    <v>Learn more on Bing</v>
  </rv>
  <rv s="6">
    <v>pt-BR</v>
    <v>amg2qh</v>
    <v>268435456</v>
    <v>1</v>
    <v>Da plataforma Refinitiv</v>
    <v>13</v>
    <v>14</v>
    <v>Banco de (BMEX:SAB)</v>
    <v>3</v>
    <v>15</v>
    <v>Finance</v>
    <v>11</v>
    <v>3.52</v>
    <v>2.7879999999999998</v>
    <v>BMEX</v>
    <v>4888211000</v>
    <v>3.3769999999999998</v>
    <v>3.3380000000000001</v>
    <v>1.2850999999999999</v>
    <v>Bolsas y Mercados Espanoles</v>
    <v>16253300000</v>
    <v>Banco de Sabadell SA is a Spain-based financial institution (the Bank) primarily engaged in the banking sector. The Bank's activities are divided into four segments: Banking in Spain, Asset transformation, Banking in the United Kingdom (UK) and Banking in America. The Banking in Spain division includes commercial banking products, such as mortgage loans, deposit accounts, insurance policies and mutual funds; corporate banking products, such as customized financing and treasury, as well as markets and private banking investment. The Asset transformation division focuses on real estate operations and management. The Banking in UK division includes TSB Banking Group PLC that offers current and savings accounts, personal loans, credit cards and mortgages. The Banking in America division provides retail and commercial banking services, as well as solutions for corporate customers, such as project finance operations. The Bank operates through numerous subsidiaries.</v>
    <v>BMEX</v>
    <v>3.3250000000000002</v>
    <v>12974</v>
    <v>46237.666666666664</v>
    <v>54</v>
    <v>20761740</v>
    <v>EUR</v>
    <v>Banco de</v>
    <v>Banco de</v>
    <v>10.4681</v>
    <v>3.3530000000000002</v>
    <v>3.3769999999999998</v>
    <v>Placa de Sant Roc, 20, SABADELL, Catalonia, 08201 ES</v>
    <v>Banking Services</v>
    <v>SAB</v>
    <v>Ações</v>
    <v>Banco de (BMEX:SAB)</v>
    <v>5.1999999999999998E-2</v>
    <v>1.5639E-2</v>
    <v>13455356</v>
  </rv>
  <rv s="2">
    <v>55</v>
  </rv>
  <rv s="0">
    <v>https://www.bing.com/financeapi/forcetrigger?t=amfsim&amp;q=BMEX%3aBKT&amp;form=skydnc</v>
    <v>Learn more on Bing</v>
  </rv>
  <rv s="8">
    <v>pt-BR</v>
    <v>amfsim</v>
    <v>268435456</v>
    <v>1</v>
    <v>Da plataforma Refinitiv</v>
    <v>19</v>
    <v>20</v>
    <v>Bankinter (BMEX:BKT)</v>
    <v>3</v>
    <v>21</v>
    <v>Finance</v>
    <v>11</v>
    <v>16.305</v>
    <v>12.28</v>
    <v>BMEX</v>
    <v>898866100</v>
    <v>16.07</v>
    <v>1965</v>
    <v>15.785</v>
    <v>0.61919999999999997</v>
    <v>Bolsas y Mercados Espanoles</v>
    <v>14318940000</v>
    <v>Bankinter SA is a Spain-based financial institution (the Bank) primarily engaged in the banking sector. The Bank's activities are divided into four business segments: Commercial banking, which offers current accounts, fixed-term deposits, investment management and advisory, as well as mortgage loans, among others, to individual customers; Corporate banking, which provides financial services to small and medium-sized companies, corporations and government bodies; Consumer finance, which focuses on personal loans and credit card services through Bankinter Consumer Finance EFC, and Other, which includes online savings accounts, among others. The Company operates through numerous subsidiaries, such as Bankinter Gestion de Activos SGIIC, Hispamarket SA, Bankinter Capital Riesgo SGECR SA and Bankinter Sociedad de Financiacion SAU.</v>
    <v>BMEX</v>
    <v>15.93</v>
    <v>6657</v>
    <v>46237.666666666664</v>
    <v>57</v>
    <v>1505000</v>
    <v>EUR</v>
    <v>Bankinter</v>
    <v>Bankinter</v>
    <v>12.8851</v>
    <v>16.07</v>
    <v>15.895</v>
    <v>Paseo de la Castellana, 29, MADRID, MADRID, 28046 ES</v>
    <v>Banking Services</v>
    <v>BKT</v>
    <v>Ações</v>
    <v>Bankinter (BMEX:BKT)</v>
    <v>-3.5000000000000003E-2</v>
    <v>-2.1970000000000002E-3</v>
    <v>1405634</v>
  </rv>
  <rv s="2">
    <v>58</v>
  </rv>
  <rv s="0">
    <v>https://www.bing.com/financeapi/forcetrigger?t=amfymw&amp;q=BMEX%3aMAP&amp;form=skydnc</v>
    <v>Learn more on Bing</v>
  </rv>
  <rv s="6">
    <v>pt-BR</v>
    <v>amfymw</v>
    <v>268435456</v>
    <v>1</v>
    <v>Da plataforma Refinitiv</v>
    <v>13</v>
    <v>14</v>
    <v>Mapfre (BMEX:MAP)</v>
    <v>3</v>
    <v>15</v>
    <v>Finance</v>
    <v>11</v>
    <v>4.6159999999999997</v>
    <v>3.51</v>
    <v>BMEX</v>
    <v>3079553000</v>
    <v>4.4580000000000002</v>
    <v>4.4219999999999997</v>
    <v>0.52500000000000002</v>
    <v>Bolsas y Mercados Espanoles</v>
    <v>13654740000</v>
    <v>Mapfre SA is a Spain-based company engaged in the insurance sector. The Company's activities are divided into four business units: Insurance, Assistance, Reinsurance and Global Risks. The Insurance line offers insurance policies, including life, accident, health, property and casualty and automotive insurance, among others. The Assistance line focuses on developing assistance services for insurance products, including road and travel assistance. The Reinsurance line is responsible for reinsurance activities. The Global Risks line offers integrated insurance services, such as risk prevention and protection, audit and control, for business customers. In addition, the Company is active in the management of pension funds, retirement plans and investment funds, as well as the provision of healthcare services in Spain. The Company operates in Europe, Africa, Asia and the Americas. It is a parent of the Mapfre Group.</v>
    <v>BMEX</v>
    <v>4.4340000000000002</v>
    <v>30743</v>
    <v>46237.666666666664</v>
    <v>60</v>
    <v>2546780</v>
    <v>EUR</v>
    <v>Mapfre</v>
    <v>Mapfre</v>
    <v>11.3611</v>
    <v>4.4260000000000002</v>
    <v>4.4240000000000004</v>
    <v>Carretera de Pozuelo, n 52, MAJADAHONDA, MADRID, 28222 ES</v>
    <v>Insurance</v>
    <v>MAP</v>
    <v>Ações</v>
    <v>Mapfre (BMEX:MAP)</v>
    <v>-0.01</v>
    <v>-2.2550000000000001E-3</v>
    <v>2219021</v>
  </rv>
  <rv s="2">
    <v>61</v>
  </rv>
  <rv s="0">
    <v>https://www.bing.com/financeapi/forcetrigger?t=amfrgh&amp;q=BMEX%3aANA&amp;form=skydnc</v>
    <v>Learn more on Bing</v>
  </rv>
  <rv s="8">
    <v>pt-BR</v>
    <v>amfrgh</v>
    <v>268435456</v>
    <v>1</v>
    <v>Da plataforma Refinitiv</v>
    <v>19</v>
    <v>20</v>
    <v>Acciona (BMEX:ANA)</v>
    <v>3</v>
    <v>21</v>
    <v>Finance</v>
    <v>11</v>
    <v>285</v>
    <v>163.69999999999999</v>
    <v>BMEX</v>
    <v>54856650</v>
    <v>240.8</v>
    <v>1916</v>
    <v>227.4</v>
    <v>0.95879999999999999</v>
    <v>Bolsas y Mercados Espanoles</v>
    <v>13088800000</v>
    <v>Acciona SA is a Spain-based holding company active in the construction and engineering industry. It is engaged in renewable energy, water services and infrastructure sectors.The Company operates through six business areas; Infrastructure involves the construction, engineering and transportation, as well as hospital concessions; Real Estate is active in the development of real estate properties and parking lot operations; Energy involves the generation, distribution and sale of energy; Transportation and Logistics Services provides integrated transport services for passengers and cargo; Environmental and Urban Services is engaged in activities related to services in the urban scope and environment protection, such as the execution of all types of activities in the water supply; Other Activities is engaged in the provision of services related to funds management and financial intermediation, as well as wine production, among others.</v>
    <v>BMEX</v>
    <v>238.6</v>
    <v>69658</v>
    <v>46237.666666666664</v>
    <v>63</v>
    <v>54470</v>
    <v>EUR</v>
    <v>Acciona</v>
    <v>Acciona</v>
    <v>36.0167</v>
    <v>240.8</v>
    <v>231.2</v>
    <v>Avenida de la Gran Via de Hortaleza, 3,, ALCOBENDAS, MADRID, 28033 ES</v>
    <v>Construction &amp; Engineering</v>
    <v>ANA</v>
    <v>Ações</v>
    <v>Acciona (BMEX:ANA)</v>
    <v>-7.4</v>
    <v>-3.1014E-2</v>
    <v>80436</v>
  </rv>
  <rv s="2">
    <v>64</v>
  </rv>
  <rv s="10">
    <v>pt-BR</v>
    <v>cd3e52</v>
    <v>268435456</v>
    <v>1</v>
    <v>Da plataforma Refinitiv</v>
    <v>27</v>
    <v>28</v>
    <v>Puig Brands (BMEX:PUIG)</v>
    <v>18</v>
    <v>29</v>
    <v>Finance</v>
    <v>11</v>
    <v>18.89</v>
    <v>13.11</v>
    <v>BMEX</v>
    <v>174819700</v>
    <v>16.809999999999999</v>
    <v>2016</v>
    <v>16.329999999999998</v>
    <v>Bolsas y Mercados Espanoles</v>
    <v>2917740000</v>
    <v>Puig Brands SA, located in Barcelona, Spain, is a holding company whose corporate purpose consists of the manufacturing and sale of all kinds of perfumery and home goods. The Company was founded in March 2016.</v>
    <v>BMEX</v>
    <v>16.690000000000001</v>
    <v>13016</v>
    <v>46237.666666666664</v>
    <v>486520</v>
    <v>EUR</v>
    <v>Puig Brands</v>
    <v>Puig Brands</v>
    <v>15.9008</v>
    <v>16.78</v>
    <v>16.47</v>
    <v>Placa Europa, 46-48, L'Hospitalet de Llobregat, BARCELONA, BARCELONA, 08902 ES</v>
    <v>Specialty Retailers</v>
    <v>PUIG</v>
    <v>Ações</v>
    <v>Puig Brands (BMEX:PUIG)</v>
    <v>-0.22</v>
    <v>-1.3182000000000001E-2</v>
    <v>667861</v>
  </rv>
  <rv s="2">
    <v>66</v>
  </rv>
  <rv s="0">
    <v>https://www.bing.com/financeapi/forcetrigger?t=amfxhw&amp;q=BMEX%3aIDR&amp;form=skydnc</v>
    <v>Learn more on Bing</v>
  </rv>
  <rv s="8">
    <v>pt-BR</v>
    <v>amfxhw</v>
    <v>268435456</v>
    <v>1</v>
    <v>Da plataforma Refinitiv</v>
    <v>19</v>
    <v>20</v>
    <v>Indra Sistemas (BMEX:IDR)</v>
    <v>3</v>
    <v>21</v>
    <v>Finance</v>
    <v>11</v>
    <v>66.150000000000006</v>
    <v>32.380000000000003</v>
    <v>BMEX</v>
    <v>176654400</v>
    <v>59.08</v>
    <v>1979</v>
    <v>57.06</v>
    <v>0.92679999999999996</v>
    <v>Bolsas y Mercados Espanoles</v>
    <v>10033970000</v>
    <v>Indra Sistemas SA is a Spain-based company engaged in the field of information technology (IT). The Company is a business holding company that promotes technological progress, which includes Indra, one of the main global defense, air traffic and space companies. It is a digital transformation and information technologies in Spain and Latin America. The Company's portfolio ranges from consultancy, project development, and systems and applications integration to outsourcing of IT systems and business processes, structured into two primary segments: solutions and services (including outsourcing and application maintenance), and business processes where technology is a strategic and differentiating element.</v>
    <v>BMEX</v>
    <v>56.8</v>
    <v>58383</v>
    <v>46237.666666666664</v>
    <v>68</v>
    <v>1356420</v>
    <v>EUR</v>
    <v>Indra Sistemas</v>
    <v>Indra Sistemas</v>
    <v>23.319099999999999</v>
    <v>57.78</v>
    <v>58.58</v>
    <v>Avenida de Bruselas, 35, ALCOBENDAS, MADRID, 28108 ES</v>
    <v>Software &amp; IT Services</v>
    <v>IDR</v>
    <v>Ações</v>
    <v>Indra Sistemas (BMEX:IDR)</v>
    <v>1.78</v>
    <v>3.1337999999999998E-2</v>
    <v>1137156</v>
  </rv>
  <rv s="2">
    <v>69</v>
  </rv>
  <rv s="0">
    <v>https://www.bing.com/financeapi/forcetrigger?t=amg26h&amp;q=BMEX%3aRED&amp;form=skydnc</v>
    <v>Learn more on Bing</v>
  </rv>
  <rv s="6">
    <v>pt-BR</v>
    <v>amg26h</v>
    <v>268435456</v>
    <v>1</v>
    <v>Da plataforma Refinitiv</v>
    <v>13</v>
    <v>14</v>
    <v>Redeia Corp (BMEX:RED)</v>
    <v>3</v>
    <v>15</v>
    <v>Finance</v>
    <v>11</v>
    <v>17.68</v>
    <v>14.15</v>
    <v>BMEX</v>
    <v>541080000</v>
    <v>15.52</v>
    <v>15.25</v>
    <v>0.40300000000000002</v>
    <v>Bolsas y Mercados Espanoles</v>
    <v>8289346000</v>
    <v>Redeia Corporacion SA is a Spain-based company principally engaged in energy sector. The Company, through Red Electrica de Espana SAU, focuses on the management and operation of high-voltage electricity transmission grids, as well as is responsible for its development, maintenance, and improvement of the network’s installations. Its activities also include the coordination among generation, transmission, and distribution process of electric energy. The Company also manage telecommunications networks in Spain and Latin America through fleet of satellites and fiber optic assets. The Company is a parent of Redeia Group and operates through its subsidiaries and affiliates in several countries, such as Spain, the Netherlands, France, Peru, Chile, and Brazil.</v>
    <v>BMEX</v>
    <v>15.32</v>
    <v>2114</v>
    <v>46237.666666666664</v>
    <v>71</v>
    <v>950940</v>
    <v>EUR</v>
    <v>Redeia Corp</v>
    <v>Redeia Corp</v>
    <v>16.681100000000001</v>
    <v>15.36</v>
    <v>15.44</v>
    <v>Paseo Conde de los Gaitanes, 177, La Moraleja, ALCOBENDAS, MADRID, 28109 ES</v>
    <v>Electrical Utilities &amp; IPPs</v>
    <v>RED</v>
    <v>Ações</v>
    <v>Redeia Corp (BMEX:RED)</v>
    <v>0.12</v>
    <v>7.8329999999999997E-3</v>
    <v>743387</v>
  </rv>
  <rv s="2">
    <v>72</v>
  </rv>
  <rv s="0">
    <v>https://www.bing.com/financeapi/forcetrigger?t=amg4dm&amp;q=BMEX%3aUNI&amp;form=skydnc</v>
    <v>Learn more on Bing</v>
  </rv>
  <rv s="8">
    <v>pt-BR</v>
    <v>amg4dm</v>
    <v>268435456</v>
    <v>1</v>
    <v>Da plataforma Refinitiv</v>
    <v>19</v>
    <v>20</v>
    <v>Unicaja Banco (BMEX:UNI)</v>
    <v>3</v>
    <v>21</v>
    <v>Finance</v>
    <v>11</v>
    <v>3.4020000000000001</v>
    <v>2.218</v>
    <v>BMEX</v>
    <v>2571435000</v>
    <v>3.3740000000000001</v>
    <v>2011</v>
    <v>3.3140000000000001</v>
    <v>0.94110000000000005</v>
    <v>Bolsas y Mercados Espanoles</v>
    <v>8552591000</v>
    <v>Unicaja Banco S.A. is a Spain-based financial institution engaged primarily in retail and commercial banking activities. The bank offers a broad range of products and services, including current and savings accounts, debit and credit cards, mortgages, consumer loans, corporate financing, pension plans, investment funds, payment services, international trade finance, insurance products, treasury operations, and digital banking solutions. Its operations focus on serving individuals, SMEs, corporations, and institutional clients across Spain, where it maintains a branch network and a regional presence, especially in Andalusia, Castilla y Leon, Asturias, Cantabria, Castilla-La Mancha, and Extremadura.</v>
    <v>BMEX</v>
    <v>3.3260000000000001</v>
    <v>7379</v>
    <v>46237.666666666664</v>
    <v>74</v>
    <v>3838070</v>
    <v>EUR</v>
    <v>Unicaja Banco</v>
    <v>Unicaja Banco</v>
    <v>13.383599999999999</v>
    <v>3.3580000000000001</v>
    <v>3.3740000000000001</v>
    <v>Avda. de Andalucia numeros 10-12, MALAGA, MALAGA ES</v>
    <v>Banking Services</v>
    <v>UNI</v>
    <v>Ações</v>
    <v>Unicaja Banco (BMEX:UNI)</v>
    <v>4.8000000000000001E-2</v>
    <v>1.4432E-2</v>
    <v>4278247</v>
  </rv>
  <rv s="2">
    <v>75</v>
  </rv>
  <rv s="0">
    <v>https://www.bing.com/financeapi/forcetrigger?t=amfz52&amp;q=BMEX%3aMRL&amp;form=skydnc</v>
    <v>Learn more on Bing</v>
  </rv>
  <rv s="8">
    <v>pt-BR</v>
    <v>amfz52</v>
    <v>268435456</v>
    <v>1</v>
    <v>Da plataforma Refinitiv</v>
    <v>19</v>
    <v>20</v>
    <v>Merlin Properties SOCIMI SA (BMEX:MRL)</v>
    <v>3</v>
    <v>21</v>
    <v>Finance</v>
    <v>11</v>
    <v>15.92</v>
    <v>11.81</v>
    <v>BMEX</v>
    <v>620000000</v>
    <v>15.08</v>
    <v>2014</v>
    <v>14.74</v>
    <v>0.92290000000000005</v>
    <v>Bolsas y Mercados Espanoles</v>
    <v>9337200000</v>
    <v>A MERLIN Properties SOCIMI SA é uma empresa com sede em Espanha que se dedica à exploração de um fundo de investimento imobiliário (REIT). A Empresa centra-se na aquisição, gestão e arrendamento de imóveis comerciais localizados na Península Ibérica, principalmente em Espanha. As actividades da Empresa estão divididas nos seguintes segmentos: Edifícios de escritórios, operando uma carteira de espaços de escritórios; Retalho de lojas de rua, dedicadas ao arrendamento de lojas de retalho; Centros comerciais, dedicados à gestão de lojas de departamento; Logística, operação de armazéns logísticos e centros de distribuição, e Outros. As outras actividades da Empresa incluem a prestação de serviços de gestão de imóveis a terceiros.</v>
    <v>BMEX</v>
    <v>15.06</v>
    <v>296</v>
    <v>46237.666666666664</v>
    <v>77</v>
    <v>846530</v>
    <v>EUR</v>
    <v>Merlin Properties SOCIMI SA</v>
    <v>Merlin Properties SOCIMI SA</v>
    <v>9.6197999999999997</v>
    <v>14.92</v>
    <v>14.75</v>
    <v>Paseo de la Castellana 257, planta 3, MADRID, MADRID, 28046 ES</v>
    <v>Residential &amp; Commercial REIT</v>
    <v>MRL</v>
    <v>Ações</v>
    <v>Merlin Properties SOCIMI SA (BMEX:MRL)</v>
    <v>-0.31</v>
    <v>-2.0583999999999998E-2</v>
    <v>778789</v>
  </rv>
  <rv s="2">
    <v>78</v>
  </rv>
  <rv s="0">
    <v>https://www.bing.com/financeapi/forcetrigger?t=c2m26h&amp;q=BMEX%3aANE&amp;form=skydnc</v>
    <v>Learn more on Bing</v>
  </rv>
  <rv s="8">
    <v>pt-BR</v>
    <v>c2m26h</v>
    <v>268435456</v>
    <v>1</v>
    <v>Da plataforma Refinitiv</v>
    <v>19</v>
    <v>20</v>
    <v>Corp Acciona Ene (BMEX:ANE)</v>
    <v>3</v>
    <v>21</v>
    <v>Finance</v>
    <v>11</v>
    <v>25.24</v>
    <v>19.12</v>
    <v>BMEX</v>
    <v>324761800</v>
    <v>21.88</v>
    <v>2008</v>
    <v>20.94</v>
    <v>0.68930000000000002</v>
    <v>Bolsas y Mercados Espanoles</v>
    <v>7047332000</v>
    <v>Corporacion Acciona Energias Renovables SA, formerly known as Corporacion Acciona Energias Renovables SLU, is a Spain-based company. The Company is engaged in the electricity business which encompasses different industrial and commercial activities ranging from the construction of wind farms to the generation, distribution and sales of different sources of energy. The Company is also engaged in the provision of industrial services and those having to do with preparing for or supplementing the Company's main activities, particularly those related to the supervision, operation, maintenance, repair and construction of installations. It is active in importing, exporting, manufacturing, transforming, marketing and distributing vegetable oil methyl esters as well as their components and derivatives.</v>
    <v>BMEX</v>
    <v>21.7</v>
    <v>2933</v>
    <v>46237.666666666664</v>
    <v>80</v>
    <v>266270</v>
    <v>EUR</v>
    <v>Corp Acciona Ene</v>
    <v>Corp Acciona Ene</v>
    <v>38.045999999999999</v>
    <v>21.88</v>
    <v>21.34</v>
    <v>Avenida de la Gran Via de Hortaleza 1, MADRID, 28033 ES</v>
    <v>Electrical Utilities &amp; IPPs</v>
    <v>ANE</v>
    <v>Ações</v>
    <v>Corp Acciona Ene (BMEX:ANE)</v>
    <v>-0.36</v>
    <v>-1.6590000000000001E-2</v>
    <v>296912</v>
  </rv>
  <rv s="2">
    <v>81</v>
  </rv>
  <rv s="0">
    <v>https://www.bing.com/financeapi/forcetrigger?t=boma1h&amp;q=BMEX%3aGRF.P&amp;form=skydnc</v>
    <v>Learn more on Bing</v>
  </rv>
  <rv s="9">
    <v>pt-BR</v>
    <v>boma1h</v>
    <v>268435456</v>
    <v>1</v>
    <v>Da plataforma Refinitiv</v>
    <v>24</v>
    <v>25</v>
    <v>Grifols (BMEX:GRF.P)</v>
    <v>3</v>
    <v>26</v>
    <v>Finance</v>
    <v>11</v>
    <v>9.5449999999999999</v>
    <v>6.14</v>
    <v>BMEX</v>
    <v>687554900</v>
    <v>6.87</v>
    <v>1987</v>
    <v>6.74</v>
    <v>1.6477999999999999</v>
    <v>Bolsas y Mercados Espanoles</v>
    <v>6005348000</v>
    <v>Grifols SA is a Spain-based global specialty pharmaceutical company developing, manufacturing and distributing a broad range of biological medicines based on plasma derived proteins. The Company organizes its business into five divisions: Bioscience, Diagnostic, Hospital, Bio Supplies and Others. Bioscience includes manufacturing activities of plasma derivatives for therapeutic use and the sale and distribution of end products. Its diagnostic focuses on researching, developing, manufacturing and marketing in vitro diagnostics products, such as analytical instruments, reagents and software, among others, for laboratories. Hospital offers technology and services for hospitals, clinics and specialized centers for the manufacture of medicines, as well as physiological saline solution, enteral nutritional fluids and medical devices for interventional therapy. Its bio Supplies provides, mostly, biological products for non-therapeutic use.</v>
    <v>BMEX</v>
    <v>6.73</v>
    <v>25258</v>
    <v>46237.666666666664</v>
    <v>83</v>
    <v>2717790</v>
    <v>EUR</v>
    <v>Grifols</v>
    <v>Grifols</v>
    <v>6.82</v>
    <v>6.82</v>
    <v>Parque Empresarial Can Sant Joan, Avinguda de la Generalitat, 152-158, SANT CUGAT DEL VALLES, BARCELONA, 08174 ES</v>
    <v>Pharmaceuticals</v>
    <v>GRF.P</v>
    <v>Ações</v>
    <v>Grifols (BMEX:GRF.P)</v>
    <v>0.09</v>
    <v>1.3372999999999999E-2</v>
    <v>94188</v>
  </rv>
  <rv s="2">
    <v>84</v>
  </rv>
  <rv s="0">
    <v>https://www.bing.com/financeapi/forcetrigger?t=amfwim&amp;q=BMEX%3aGRF&amp;form=skydnc</v>
    <v>Learn more on Bing</v>
  </rv>
  <rv s="8">
    <v>pt-BR</v>
    <v>amfwim</v>
    <v>268435456</v>
    <v>1</v>
    <v>Da plataforma Refinitiv</v>
    <v>19</v>
    <v>20</v>
    <v>Grifols (BMEX:GRF)</v>
    <v>3</v>
    <v>21</v>
    <v>Finance</v>
    <v>11</v>
    <v>13.275</v>
    <v>8.4320000000000004</v>
    <v>BMEX</v>
    <v>687554900</v>
    <v>10.130000000000001</v>
    <v>1987</v>
    <v>9.9179999999999993</v>
    <v>1.6477999999999999</v>
    <v>Bolsas y Mercados Espanoles</v>
    <v>6005348000</v>
    <v>Grifols SA is a Spain-based global specialty pharmaceutical company developing, manufacturing and distributing a broad range of biological medicines based on plasma derived proteins. The Company organizes its business into five divisions: Bioscience, Diagnostic, Hospital, Bio Supplies and Others. Bioscience includes manufacturing activities of plasma derivatives for therapeutic use and the sale and distribution of end products. Its diagnostic focuses on researching, developing, manufacturing and marketing in vitro diagnostics products, such as analytical instruments, reagents and software, among others, for laboratories. Hospital offers technology and services for hospitals, clinics and specialized centers for the manufacture of medicines, as well as physiological saline solution, enteral nutritional fluids and medical devices for interventional therapy. Its bio Supplies provides, mostly, biological products for non-therapeutic use.</v>
    <v>BMEX</v>
    <v>9.9640000000000004</v>
    <v>25258</v>
    <v>46237.666666666664</v>
    <v>86</v>
    <v>2717790</v>
    <v>EUR</v>
    <v>Grifols</v>
    <v>Grifols</v>
    <v>15.127800000000001</v>
    <v>10.095000000000001</v>
    <v>10.06</v>
    <v>Parque Empresarial Can Sant Joan, Avinguda de la Generalitat, 152-158, SANT CUGAT DEL VALLES, BARCELONA, 08174 ES</v>
    <v>Pharmaceuticals</v>
    <v>GRF</v>
    <v>Ações</v>
    <v>Grifols (BMEX:GRF)</v>
    <v>9.6000000000000002E-2</v>
    <v>9.6349999999999995E-3</v>
    <v>1875147</v>
  </rv>
  <rv s="2">
    <v>87</v>
  </rv>
  <rv s="0">
    <v>https://www.bing.com/financeapi/forcetrigger?t=amfvp2&amp;q=BMEX%3aFCC&amp;form=skydnc</v>
    <v>Learn more on Bing</v>
  </rv>
  <rv s="6">
    <v>pt-BR</v>
    <v>amfvp2</v>
    <v>268435456</v>
    <v>1</v>
    <v>Da plataforma Refinitiv</v>
    <v>13</v>
    <v>14</v>
    <v>FCC (BMEX:FCC)</v>
    <v>3</v>
    <v>15</v>
    <v>Finance</v>
    <v>11</v>
    <v>13.36</v>
    <v>10.1</v>
    <v>BMEX</v>
    <v>472994000</v>
    <v>11.8</v>
    <v>11.2</v>
    <v>0.90369999999999995</v>
    <v>Bolsas y Mercados Espanoles</v>
    <v>5373212000</v>
    <v>Fomento de Construcciones y Contratas SA (FCC) is a Spain-based company primarily engaged in the provision of environmental services. The Company's activities are divided into four business areas: Environmental services, Construction, Water management and Cement. Its Environmental services division focuses on street cleaning, maintenance of urban parks and gardens, industrial waste management, waste treatment and recycling, among others. Its Construction division offers engineering and construction of civil works, such as roads, railways, airports and hydraulic projects, as well as residential and non-residential buildings. Its Water management division operates an integrated water management cycle, which includes intake, purification, treatment and distribution of the waste water. Its Cement division manufactures cement, concrete, aggregate and mortar. The Company operates through numerous subsidiaries in Europe, the Americas, Africa and the Middle East region.</v>
    <v>BMEX</v>
    <v>11.36</v>
    <v>72910</v>
    <v>46237.666666666664</v>
    <v>89</v>
    <v>19440</v>
    <v>EUR</v>
    <v>FCC</v>
    <v>FCC</v>
    <v>25.2698</v>
    <v>11.4</v>
    <v>11.24</v>
    <v>Balmes, 36, BARCELONA, BARCELONA, 08007 ES</v>
    <v>Professional &amp; Commercial Services</v>
    <v>FCC</v>
    <v>Ações</v>
    <v>FCC (BMEX:FCC)</v>
    <v>-0.12</v>
    <v>-1.0562999999999999E-2</v>
    <v>35220</v>
  </rv>
  <rv s="2">
    <v>90</v>
  </rv>
  <rv s="0">
    <v>https://www.bing.com/financeapi/forcetrigger?t=amfvrw&amp;q=BMEX%3aFDR&amp;form=skydnc</v>
    <v>Learn more on Bing</v>
  </rv>
  <rv s="8">
    <v>pt-BR</v>
    <v>amfvrw</v>
    <v>268435456</v>
    <v>1</v>
    <v>Da plataforma Refinitiv</v>
    <v>19</v>
    <v>20</v>
    <v>Fluidr (BMEX:FDR)</v>
    <v>3</v>
    <v>21</v>
    <v>Finance</v>
    <v>11</v>
    <v>26.22</v>
    <v>17.72</v>
    <v>BMEX</v>
    <v>192129100</v>
    <v>19.82</v>
    <v>2002</v>
    <v>19.5</v>
    <v>0.84309999999999996</v>
    <v>Bolsas y Mercados Espanoles</v>
    <v>3704249000</v>
    <v>Fluidra SA is a Spain-based company active in the pool and wellness equipment business. The Company provides products, services and Internet of Things solutions business-related. It owns a portfolio of brands, including Jandy, AstralPool, Polaris, Cepex, Zodiac, CTX Professional and Gre, among others. The Company operates in over 45 countries.</v>
    <v>BMEX</v>
    <v>19.28</v>
    <v>6753</v>
    <v>46237.666666666664</v>
    <v>92</v>
    <v>404330</v>
    <v>EUR</v>
    <v>Fluidr</v>
    <v>Fluidr</v>
    <v>22.346499999999999</v>
    <v>19.5</v>
    <v>19.579999999999998</v>
    <v>Av. Alcalde Barnils, 69, SANT CUGAT DEL VALLES, BARCELONA, 08174 ES</v>
    <v>Leisure Products</v>
    <v>FDR</v>
    <v>Ações</v>
    <v>Fluidr (BMEX:FDR)</v>
    <v>0.3</v>
    <v>1.5560000000000001E-2</v>
    <v>379493</v>
  </rv>
  <rv s="2">
    <v>93</v>
  </rv>
  <rv s="0">
    <v>https://www.bing.com/financeapi/forcetrigger?t=amfyec&amp;q=BMEX%3aLOG&amp;form=skydnc</v>
    <v>Learn more on Bing</v>
  </rv>
  <rv s="8">
    <v>pt-BR</v>
    <v>amfyec</v>
    <v>268435456</v>
    <v>1</v>
    <v>Da plataforma Refinitiv</v>
    <v>19</v>
    <v>20</v>
    <v>Logista Integral (BMEX:LOG)</v>
    <v>3</v>
    <v>21</v>
    <v>Finance</v>
    <v>11</v>
    <v>37.76</v>
    <v>27.68</v>
    <v>BMEX</v>
    <v>132750000</v>
    <v>37</v>
    <v>2014</v>
    <v>36.44</v>
    <v>0.35089999999999999</v>
    <v>Bolsas y Mercados Espanoles</v>
    <v>4911750000</v>
    <v>Logista Integral SA, formerly known as Compania de Distribucion Integral Logista Holdings SA, is a Spain-based company principally engaged in the logistics services. The Company focuses on developing an integrated logistics process, which connects manufacturers with points of sale and end customers. It provides services in the transportation of high-value documents, tobacco, tickets, phone cards, lottery games, pharmaceutical products, books and newspapers, among others. The Company offers full truckload (FTL) transport, warehousing, parcel and express courier delivery, as well as management of loyalty campaigns and promotional materials, among others. The Company operates in Europe through numerous group entities, such as Logista, Integra2, Logesta, Logistadis, MidSid, Nacex and Terzia. It is a subsidiary of Altadis SA.</v>
    <v>BMEX</v>
    <v>37</v>
    <v>7701</v>
    <v>46237.666666666664</v>
    <v>95</v>
    <v>185420</v>
    <v>EUR</v>
    <v>Logista Integral</v>
    <v>Logista Integral</v>
    <v>17.463000000000001</v>
    <v>36.9</v>
    <v>36.659999999999997</v>
    <v>C/ Trigo, 39. Poligono Industrial Polvoranca, LEGANES, MADRID, 28914 ES</v>
    <v>Freight &amp; Logistics Services</v>
    <v>LOG</v>
    <v>Ações</v>
    <v>Logista Integral (BMEX:LOG)</v>
    <v>-0.34</v>
    <v>-9.189000000000001E-3</v>
    <v>138602</v>
  </rv>
  <rv s="2">
    <v>96</v>
  </rv>
  <rv s="0">
    <v>https://www.bing.com/financeapi/forcetrigger?t=bn13nm&amp;q=BMEX%3aYGGC&amp;form=skydnc</v>
    <v>Learn more on Bing</v>
  </rv>
  <rv s="11">
    <v>pt-BR</v>
    <v>bn13nm</v>
    <v>268435456</v>
    <v>1</v>
    <v>Da plataforma Refinitiv</v>
    <v>30</v>
    <v>31</v>
    <v>General Gal Come (BMEX:GGC)</v>
    <v>3</v>
    <v>32</v>
    <v>Finance</v>
    <v>11</v>
    <v>BMEX</v>
    <v>26000000</v>
    <v>160</v>
    <v>1996</v>
    <v>158</v>
    <v>6.3299999999999995E-2</v>
    <v>Bolsas y Mercados Espanoles</v>
    <v>4186000000</v>
    <v>General de Galerias Comerciales SOCIMI SA is a Spain-based company engaged in the operation of retail real estate investment trust (REIT). The Company focuses on the acquisition, development, management and leasing of shopping centers.</v>
    <v>BMEX</v>
    <v>161</v>
    <v>153</v>
    <v>46234.583344907405</v>
    <v>98</v>
    <v>EUR</v>
    <v>General Gal Come</v>
    <v>General Gal Come</v>
    <v>24.3596</v>
    <v>160</v>
    <v>158</v>
    <v>Ctra. Ojen S/N. P. C. La Canada, MARBELLA, MALAGA, 29603 ES</v>
    <v>Residential &amp; Commercial REIT</v>
    <v>GGC</v>
    <v>Ações</v>
    <v>General Gal Come (BMEX:GGC)</v>
    <v>-3</v>
    <v>-1.8633999999999998E-2</v>
    <v>51</v>
  </rv>
  <rv s="2">
    <v>99</v>
  </rv>
  <rv s="0">
    <v>https://www.bing.com/financeapi/forcetrigger?t=amg2nm&amp;q=BMEX%3aROVI&amp;form=skydnc</v>
    <v>Learn more on Bing</v>
  </rv>
  <rv s="8">
    <v>pt-BR</v>
    <v>amg2nm</v>
    <v>268435456</v>
    <v>1</v>
    <v>Da plataforma Refinitiv</v>
    <v>19</v>
    <v>20</v>
    <v>Laboratorios (BMEX:ROVI)</v>
    <v>3</v>
    <v>21</v>
    <v>Finance</v>
    <v>11</v>
    <v>86.7</v>
    <v>51.65</v>
    <v>BMEX</v>
    <v>51235760</v>
    <v>59.15</v>
    <v>1946</v>
    <v>58.3</v>
    <v>0.26179999999999998</v>
    <v>Bolsas y Mercados Espanoles</v>
    <v>2999854000</v>
    <v xml:space="preserve">Laboratorios Farmaceuticos ROVI SA (ROVI) is a Spain-based company principally engaged in the pharmaceutical industry. The Company’s main activities include the development and commercialization, nationwide and abroad, of medicines and drugs. Its products are structured into three fields: Diagnostic, which offers contrast mediums for use in magnetic resonance, ultrasound and X-ray diagnostics; Prescription, which distributes medicines under such brands as Hibor, Osseor, Hepadren, Pneumovax-23, Glufan, Corlentor, Exxiv, Calcio y Vitamina D3 Rovi and Absorcol, among others; and Over The Counter (OTC), which comprises the Perspirex, Enerzona, Dentimelo and ColdPack brands. The Company owns such fully consolidated subsidiaries as Gineladius SL, Frosst Iberica SA, Rovi Contract Manufacturing SL and Bertex Pharma GmbH, among others. </v>
    <v>BMEX</v>
    <v>58.55</v>
    <v>2470</v>
    <v>46237.666666666664</v>
    <v>101</v>
    <v>160140</v>
    <v>EUR</v>
    <v>Laboratorios</v>
    <v>Laboratorios</v>
    <v>16.209900000000001</v>
    <v>59</v>
    <v>58.55</v>
    <v>C/ Julian Camarillo, 35, MADRID, MADRID, 28037 ES</v>
    <v>Pharmaceuticals</v>
    <v>ROVI</v>
    <v>Ações</v>
    <v>Laboratorios (BMEX:ROVI)</v>
    <v>0</v>
    <v>0</v>
    <v>84818</v>
  </rv>
  <rv s="2">
    <v>102</v>
  </rv>
  <rv s="0">
    <v>https://www.bing.com/financeapi/forcetrigger?t=amfv7w&amp;q=BMEX%3aENG&amp;form=skydnc</v>
    <v>Learn more on Bing</v>
  </rv>
  <rv s="8">
    <v>pt-BR</v>
    <v>amfv7w</v>
    <v>268435456</v>
    <v>1</v>
    <v>Da plataforma Refinitiv</v>
    <v>19</v>
    <v>20</v>
    <v>Enagas (BMEX:ENG)</v>
    <v>3</v>
    <v>21</v>
    <v>Finance</v>
    <v>11</v>
    <v>17.940000000000001</v>
    <v>13</v>
    <v>BMEX</v>
    <v>261990100</v>
    <v>17.079999999999998</v>
    <v>1972</v>
    <v>16.809999999999999</v>
    <v>0.3397</v>
    <v>Bolsas y Mercados Espanoles</v>
    <v>4432872000</v>
    <v>Enagas SA is a Spain-based company primarily engaged in the gas transportation. The Company's activities are divided into three business segments: Infrastructure, Technical management and Unregulated activities. The Infrastructure division is structured into three areas: Gas transport, which offers gas transmission through pipelines network; Regasification, which transforms liquefied natural gas (LNG) into gas form and stores it in cryogenic tanks, and Storage, which operates underground natural gas storage facilities. The Technical management division focuses on coordinating the access, storage, transportation and distribution process, maintaining gas infrastructure and ensuring the continuity and security of gas supply. The Unregulated activities division includes deregulated operations and transactions. The Company is present in a number of countries, such as Spain, Greece, Albania, Italy, Mexico, Chile and Peru.</v>
    <v>BMEX</v>
    <v>16.920000000000002</v>
    <v>1408</v>
    <v>46237.666666666664</v>
    <v>104</v>
    <v>801900</v>
    <v>EUR</v>
    <v>Enagas</v>
    <v>Enagas</v>
    <v>15.402699999999999</v>
    <v>16.940000000000001</v>
    <v>17.02</v>
    <v>Paseo de los Olmos, 19, MADRID, MADRID, 28005 ES</v>
    <v>Oil &amp; Gas Related Equipment and Services</v>
    <v>ENG</v>
    <v>Ações</v>
    <v>Enagas (BMEX:ENG)</v>
    <v>0.1</v>
    <v>5.9099999999999995E-3</v>
    <v>589780</v>
  </rv>
  <rv s="2">
    <v>105</v>
  </rv>
  <rv s="0">
    <v>https://www.bing.com/financeapi/forcetrigger?t=amftc7&amp;q=BMEX%3aCIE&amp;form=skydnc</v>
    <v>Learn more on Bing</v>
  </rv>
  <rv s="8">
    <v>pt-BR</v>
    <v>amftc7</v>
    <v>268435456</v>
    <v>1</v>
    <v>Da plataforma Refinitiv</v>
    <v>19</v>
    <v>20</v>
    <v>CIE Automotive (BMEX:CIE)</v>
    <v>3</v>
    <v>21</v>
    <v>Finance</v>
    <v>11</v>
    <v>33</v>
    <v>25.05</v>
    <v>BMEX</v>
    <v>119807500</v>
    <v>26.95</v>
    <v>1939</v>
    <v>26.45</v>
    <v>0.85409999999999997</v>
    <v>Bolsas y Mercados Espanoles</v>
    <v>3168908000</v>
    <v>CIE Automotive SA is a Spain-based company engaged, through its subsidiaries, in the production of biofuels, as well as in the supply of components and subassemblies for the automotive industry. The Company is also involved in the Information Technology (IT) sector, with the provision of technological solutions for the healthcare, education, sustainability, transport and communications sectors. The Company is a parent of Grupo CIE Automotive, a group which comprises a number of controlled entities with operations established in Spain, Portugal, France, Lithuania, Morocco, Czech Republic, Romania, Brazil, Argentina, China, Russia, Guatemala and Mexico, among others. The Company has such subsidiaries as Global Dominion Access SA, CIE Inversiones e Inmuebles Sociedad Limitada and CIE Berriz Sociedad Limitada, among others. In February 2014, the Company acquired a 50% stake in RS Automotive NV owned by VEP Fund I Holding Cooperatief WA.</v>
    <v>BMEX</v>
    <v>26.45</v>
    <v>25902</v>
    <v>46237.666666666664</v>
    <v>107</v>
    <v>77710</v>
    <v>EUR</v>
    <v>CIE Automotive</v>
    <v>CIE Automotive</v>
    <v>9.2369000000000003</v>
    <v>26.45</v>
    <v>26.45</v>
    <v>Alameda Mazarredo 69, 8, BILBAO, VIZCAYA, 48009 ES</v>
    <v>Automobiles &amp; Auto Parts</v>
    <v>CIE</v>
    <v>Ações</v>
    <v>CIE Automotive (BMEX:CIE)</v>
    <v>0</v>
    <v>0</v>
    <v>54846</v>
  </rv>
  <rv s="2">
    <v>108</v>
  </rv>
  <rv s="0">
    <v>https://www.bing.com/financeapi/forcetrigger?t=amfttc&amp;q=BMEX%3aCOL&amp;form=skydnc</v>
    <v>Learn more on Bing</v>
  </rv>
  <rv s="8">
    <v>pt-BR</v>
    <v>amfttc</v>
    <v>268435456</v>
    <v>1</v>
    <v>Da plataforma Refinitiv</v>
    <v>19</v>
    <v>20</v>
    <v>Colonial SFL (BMEX:COL)</v>
    <v>3</v>
    <v>21</v>
    <v>Finance</v>
    <v>11</v>
    <v>5.97</v>
    <v>4.8360000000000003</v>
    <v>BMEX</v>
    <v>612844700</v>
    <v>5.6449999999999996</v>
    <v>1946</v>
    <v>5.585</v>
    <v>1.2959000000000001</v>
    <v>Bolsas y Mercados Espanoles</v>
    <v>3401288000</v>
    <v>Colonial SFL SOCIMI SA, formerly Inmobiliaria Colonial SOCIMI SA, is a Spain-based company engaged in the operation of Real Estate Investment Trust (REIT). The Company's activities are divided into two business segments: Rentals (or Traditional business) and Flexible business. The Rentals segment (or Traditional business) includes activities associated with office rentals, while the Flexible business segment includes the activities associated with coworking or flexible office spaces. Additionally, the segment reporting is secondly organized by geographical segments: Barcelona, Madrid, and Paris. In addition to the economic activity relating to the main corporate purpose, the Company may also carry on any other ancillary activities.</v>
    <v>BMEX</v>
    <v>5.55</v>
    <v>227</v>
    <v>46237.666666666664</v>
    <v>110</v>
    <v>1188420</v>
    <v>EUR</v>
    <v>Colonial SFL</v>
    <v>Colonial SFL</v>
    <v>10.579700000000001</v>
    <v>5.62</v>
    <v>5.585</v>
    <v>Paseo de la Castellana, 53, MADRID, MADRID, 28046 ES</v>
    <v>Residential &amp; Commercial REIT</v>
    <v>COL</v>
    <v>Ações</v>
    <v>Colonial SFL (BMEX:COL)</v>
    <v>3.5000000000000003E-2</v>
    <v>6.3060000000000008E-3</v>
    <v>994393</v>
  </rv>
  <rv s="2">
    <v>111</v>
  </rv>
  <rv s="0">
    <v>https://www.bing.com/financeapi/forcetrigger?t=amg2z2&amp;q=BMEX%3aSCYR&amp;form=skydnc</v>
    <v>Learn more on Bing</v>
  </rv>
  <rv s="6">
    <v>pt-BR</v>
    <v>amg2z2</v>
    <v>268435456</v>
    <v>1</v>
    <v>Da plataforma Refinitiv</v>
    <v>13</v>
    <v>14</v>
    <v>Sacyr ES (BMEX:SCYR)</v>
    <v>3</v>
    <v>15</v>
    <v>Finance</v>
    <v>11</v>
    <v>4.952</v>
    <v>3.4140000000000001</v>
    <v>BMEX</v>
    <v>805780200</v>
    <v>4.7560000000000002</v>
    <v>4.6260000000000003</v>
    <v>1.1796</v>
    <v>Bolsas y Mercados Espanoles</v>
    <v>3787167000</v>
    <v>Sacyr SA is a Spain-based company primarily engaged in global infrastructure development. The Company has three business lines with synergies and vertical integration between them: Concessions, which is the engine of growth of the group and is focused on Greenfield projects with low demand risk, as well as it manages a portfolio of toll roads, hospitals, airports, and transport hubs; Engineering and infrastructure, which is focused on infrastructure development, mainly own concessions and, to a lesser extent, on the execution of pure construction projects; and Sacyr Agua, which works on the management of the integral water cycle and develops projects for the design, construction, renovation, maintenance and operation of water treatment plants.</v>
    <v>BMEX</v>
    <v>4.7</v>
    <v>13897</v>
    <v>46237.666666666664</v>
    <v>113</v>
    <v>2056700</v>
    <v>EUR</v>
    <v>Sacyr ES</v>
    <v>Sacyr ES</v>
    <v>27.8843</v>
    <v>4.742</v>
    <v>4.6260000000000003</v>
    <v>Condesa de Venadito 7, MADRID, MADRID, 28027 ES</v>
    <v>Construction &amp; Engineering</v>
    <v>SCYR</v>
    <v>Ações</v>
    <v>Sacyr ES (BMEX:SCYR)</v>
    <v>-7.3999999999999996E-2</v>
    <v>-1.5744999999999999E-2</v>
    <v>2809145</v>
  </rv>
  <rv s="2">
    <v>114</v>
  </rv>
  <rv s="0">
    <v>https://www.bing.com/financeapi/forcetrigger?t=amfqbh&amp;q=BMEX%3aACX&amp;form=skydnc</v>
    <v>Learn more on Bing</v>
  </rv>
  <rv s="8">
    <v>pt-BR</v>
    <v>amfqbh</v>
    <v>268435456</v>
    <v>1</v>
    <v>Da plataforma Refinitiv</v>
    <v>19</v>
    <v>20</v>
    <v>Acerinox (BMEX:ACX)</v>
    <v>3</v>
    <v>21</v>
    <v>Finance</v>
    <v>11</v>
    <v>18.34</v>
    <v>9.93</v>
    <v>BMEX</v>
    <v>249335400</v>
    <v>18.04</v>
    <v>1970</v>
    <v>17.52</v>
    <v>1.2331000000000001</v>
    <v>Bolsas y Mercados Espanoles</v>
    <v>4333449000</v>
    <v>Acerinox SA is a Spain-based company active in the steel sector. It is engaged in the manufacturing, alloy and distribution of flat and long stainless steel products. The Company’s activities are divided into three business segments: Flat stainless steel products, which offers slabs, flats, coils, plates, sheets, circles and flat bars; Long stainless steel products, which provides bars, angles, wires and wire rod, and Other, which includes other stainless steel products. The Company owns factories, warehouses, service centers and representative office in Europe, the Americas, Asia, Oceania and Africa. The Company is a parent of the Acerinox Group, which comprises a number of subsidiaries, such as Acerinox Europa SAU, North American Stainless Inc, Columbus Stainless Pty Ltd, Bahru Stainless SDN BHD, Roldan SA and Inoxfil SA.</v>
    <v>BMEX</v>
    <v>17.38</v>
    <v>9164</v>
    <v>46237.666666666664</v>
    <v>116</v>
    <v>876170</v>
    <v>EUR</v>
    <v>Acerinox</v>
    <v>Acerinox</v>
    <v>80.1661</v>
    <v>17.649999999999999</v>
    <v>18.04</v>
    <v>SANTIAGO DE COMPOSTELA 100, MADRID, 28035 ES</v>
    <v>Metals &amp; Mining</v>
    <v>ACX</v>
    <v>Ações</v>
    <v>Acerinox (BMEX:ACX)</v>
    <v>0.66</v>
    <v>3.7975000000000002E-2</v>
    <v>711733</v>
  </rv>
  <rv s="2">
    <v>117</v>
  </rv>
  <rv s="0">
    <v>https://www.bing.com/financeapi/forcetrigger?t=amg4gh&amp;q=BMEX%3aVID&amp;form=skydnc</v>
    <v>Learn more on Bing</v>
  </rv>
  <rv s="6">
    <v>pt-BR</v>
    <v>amg4gh</v>
    <v>268435456</v>
    <v>1</v>
    <v>Da plataforma Refinitiv</v>
    <v>13</v>
    <v>14</v>
    <v>Vidrala (BMEX:VID)</v>
    <v>3</v>
    <v>15</v>
    <v>Finance</v>
    <v>11</v>
    <v>92.8</v>
    <v>70.400000000000006</v>
    <v>BMEX</v>
    <v>35206260</v>
    <v>89.5</v>
    <v>88.1</v>
    <v>1.0339</v>
    <v>Bolsas y Mercados Espanoles</v>
    <v>3084068000</v>
    <v xml:space="preserve">Vidrala SA is a Spain-based company principally engaged in the glass industry. The Company operates through two segments: Spain and European Union. The Company’s activities include the production, distribution and sale of glass bottles and containers used in the food and beverages industries. The Company conducts its own research and development (R&amp;D) operations. It operates production plants and melting furnaces located in such countries, as Portugal, France, Belgium and Italy. The Company owns such subsidiaries as Crisnova Vidrio SA, Inverbeira Sociedad de Promocion de Empresas SA, Gallo Vidro SA, Castellar Vidrio SA, Corsico Vetro SRL, MD Verre SA, Omega Immobiliere et Financiere SA, Investverre SA and CD Verre SA. </v>
    <v>BMEX</v>
    <v>87.6</v>
    <v>4771</v>
    <v>46237.666666666664</v>
    <v>119</v>
    <v>48730</v>
    <v>EUR</v>
    <v>Vidrala</v>
    <v>Vidrala</v>
    <v>14.027900000000001</v>
    <v>88.3</v>
    <v>88.5</v>
    <v>Barrio Munegazo, 22, LLODIO, ALAVA, 01400 ES</v>
    <v>Containers &amp; Packaging</v>
    <v>VID</v>
    <v>Ações</v>
    <v>Vidrala (BMEX:VID)</v>
    <v>0.9</v>
    <v>1.0274E-2</v>
    <v>24825</v>
  </rv>
  <rv s="2">
    <v>120</v>
  </rv>
  <rv s="0">
    <v>https://www.bing.com/financeapi/forcetrigger?t=amfuh7&amp;q=BMEX%3aEBRO&amp;form=skydnc</v>
    <v>Learn more on Bing</v>
  </rv>
  <rv s="6">
    <v>pt-BR</v>
    <v>amfuh7</v>
    <v>268435456</v>
    <v>1</v>
    <v>Da plataforma Refinitiv</v>
    <v>13</v>
    <v>14</v>
    <v>Ebro Foods (BMEX:EBRO)</v>
    <v>3</v>
    <v>15</v>
    <v>Finance</v>
    <v>11</v>
    <v>19.64</v>
    <v>17</v>
    <v>BMEX</v>
    <v>153865400</v>
    <v>18.48</v>
    <v>18.32</v>
    <v>0.25319999999999998</v>
    <v>Bolsas y Mercados Espanoles</v>
    <v>2815737000</v>
    <v>Ebro Foods SA is a Spain-based company primarily engaged in the food industry. The Company's product portfolio includes rice, pasta, cereals and diet products, legumes, as well as organic food, among others. The Company is also involved in the production of soft drinks, pharmaceutical products, animal feeds and biofuels. It markets its products under a variety of brands, such as SOS, Brillante, La Cigala, La Fallera, Saludaes, American Beauty, San Giorgio, 3 Glocken, Skinner, Geovita and Vegetalia, among others. The Company operates through numerous subsidiaries, such as Herba Ricemills SL, Herba Nutricion SL, Panzani SAS, Dosbio 2010 SL, Riviana Foods Inc, Ebro Foods Alimentacion SA, Azucarera Energias SA, Pastificio Lucio Garofalo SpA and Roland Monterrat SA.</v>
    <v>BMEX</v>
    <v>18.3</v>
    <v>6854</v>
    <v>46237.666666666664</v>
    <v>122</v>
    <v>33980</v>
    <v>EUR</v>
    <v>Ebro Foods</v>
    <v>Ebro Foods</v>
    <v>12.805199999999999</v>
    <v>18.34</v>
    <v>18.46</v>
    <v>Paseo de la Castellana numero 20, 2 planta, MADRID, MADRID, 28046 ES</v>
    <v>Food &amp; Tobacco</v>
    <v>EBRO</v>
    <v>Ações</v>
    <v>Ebro Foods (BMEX:EBRO)</v>
    <v>0.16</v>
    <v>8.742999999999999E-3</v>
    <v>28806</v>
  </rv>
  <rv s="2">
    <v>123</v>
  </rv>
  <rv s="0">
    <v>https://www.bing.com/financeapi/forcetrigger?t=amfr52&amp;q=BMEX%3aALM&amp;form=skydnc</v>
    <v>Learn more on Bing</v>
  </rv>
  <rv s="6">
    <v>pt-BR</v>
    <v>amfr52</v>
    <v>268435456</v>
    <v>1</v>
    <v>Da plataforma Refinitiv</v>
    <v>13</v>
    <v>14</v>
    <v>Almirall (BMEX:ALM)</v>
    <v>3</v>
    <v>15</v>
    <v>Finance</v>
    <v>11</v>
    <v>13.788</v>
    <v>9.9220000000000006</v>
    <v>BMEX</v>
    <v>217777300</v>
    <v>11.14</v>
    <v>10.88</v>
    <v>0.45119999999999999</v>
    <v>Bolsas y Mercados Espanoles</v>
    <v>2417328000</v>
    <v>Almirall SA is a Spain-based company principally engaged in the pharmaceuticals manufacture. The Company focuses on development and marketing of drugs applied in various therapeutic areas, such as nervous system, gastrointestinal, dermatological, respiratory system, antiinfectives, as well as antineoplastic and immunomodulating agents. The Company's activities are divided into four business segments: Own network, which focuses on the commercialization of pharmaceuticals through own brand names; Licenses, which sells product rights to third parties; Research and development (R&amp;D), which is responsible for the creation of drug candidates, as well as Dermatology, which includes sale of dermatological medicines in the United States. The Company operates through numerous subsidiaries in Europe, the Americas, Africa, Asia and Australia.</v>
    <v>BMEX</v>
    <v>11.1</v>
    <v>2096</v>
    <v>46237.666666666664</v>
    <v>125</v>
    <v>155940</v>
    <v>EUR</v>
    <v>Almirall</v>
    <v>Almirall</v>
    <v>40.592599999999997</v>
    <v>11.14</v>
    <v>10.96</v>
    <v>Ronda General Mitre, 151, BARCELONA, BARCELONA, 08022 ES</v>
    <v>Pharmaceuticals</v>
    <v>ALM</v>
    <v>Ações</v>
    <v>Almirall (BMEX:ALM)</v>
    <v>-0.14000000000000001</v>
    <v>-1.2613000000000001E-2</v>
    <v>132790</v>
  </rv>
  <rv s="2">
    <v>126</v>
  </rv>
  <rv s="0">
    <v>https://www.bing.com/financeapi/forcetrigger?t=amfrjc&amp;q=BMEX%3aAPAM&amp;form=skydnc</v>
    <v>Learn more on Bing</v>
  </rv>
  <rv s="8">
    <v>pt-BR</v>
    <v>amfrjc</v>
    <v>268435456</v>
    <v>1</v>
    <v>Da plataforma Refinitiv</v>
    <v>19</v>
    <v>20</v>
    <v>Aperam (BMEX:APAM)</v>
    <v>3</v>
    <v>21</v>
    <v>Finance</v>
    <v>11</v>
    <v>53.65</v>
    <v>25</v>
    <v>BMEX</v>
    <v>73184570</v>
    <v>46.96</v>
    <v>2010</v>
    <v>45.6</v>
    <v>1.825</v>
    <v>Bolsas y Mercados Espanoles</v>
    <v>3326970000</v>
    <v xml:space="preserve">Aperam SA is a steel producer based in France. The Company is focused on producing of stainless and specialty steels, specialty products, including grain oriented (GO) and non-grain oriented (NGO) electrical steels and specialty alloys. Its three operating segments include: Stainless &amp; Electrical Steel, Services &amp; Solutions, and Alloys &amp; Specialties. The Company, via subsidiaries, operates through service centres and distribution networks with customer-tailored products. Its production facilities are in Brazil, Belgium and France. The Company sells its products in over 40 countries, and to customers operating in a range of industries, including aerospace, automotive, catering, construction, household appliances, electrical engineering, industrial processes, medical, and oil &amp; gas. </v>
    <v>BMEX</v>
    <v>45.52</v>
    <v>13300</v>
    <v>46237.666666666664</v>
    <v>128</v>
    <v>145900</v>
    <v>EUR</v>
    <v>Aperam</v>
    <v>Aperam</v>
    <v>26.445499999999999</v>
    <v>46.4</v>
    <v>46.56</v>
    <v>24-26 Boulevard d'Avranches, LUXEMBOURG, 1160 LU</v>
    <v>Metals &amp; Mining</v>
    <v>APAM</v>
    <v>Ações</v>
    <v>Aperam (BMEX:APAM)</v>
    <v>1.04</v>
    <v>2.2846999999999999E-2</v>
    <v>3994</v>
  </rv>
  <rv s="2">
    <v>129</v>
  </rv>
  <rv s="0">
    <v>https://www.bing.com/financeapi/forcetrigger?t=btaxcw&amp;q=BMEX%3aGRE&amp;form=skydnc</v>
    <v>Learn more on Bing</v>
  </rv>
  <rv s="8">
    <v>pt-BR</v>
    <v>btaxcw</v>
    <v>268435456</v>
    <v>1</v>
    <v>Da plataforma Refinitiv</v>
    <v>19</v>
    <v>20</v>
    <v>Grenergy (BMEX:GRE)</v>
    <v>3</v>
    <v>21</v>
    <v>Finance</v>
    <v>11</v>
    <v>136.6</v>
    <v>60.3</v>
    <v>BMEX</v>
    <v>28579730</v>
    <v>92.3</v>
    <v>2007</v>
    <v>88</v>
    <v>1.3084</v>
    <v>Bolsas y Mercados Espanoles</v>
    <v>2635051000</v>
    <v>Grenergy Renovables SA is a Spain-based company. The Company is engaged in the marketing of energy recovery facilities. The Company develops projects and an Independent Power Producer (IPP) that generates renewable energy mainly through solar photovoltaic plants. The Company aims of producing clean and sustainable energy to support the shift towards zero emissions and protect the environment for future generations. Its core business is the development, construction, operation, maintenance and sale of power generating solar photovoltaic and wind energy plants.</v>
    <v>BMEX</v>
    <v>92.2</v>
    <v>625</v>
    <v>46237.666666666664</v>
    <v>131</v>
    <v>72500</v>
    <v>EUR</v>
    <v>Grenergy</v>
    <v>Grenergy</v>
    <v>44.991</v>
    <v>92.1</v>
    <v>89.2</v>
    <v>Rafael Boti, 26, MADRID, MADRID, 28023 ES</v>
    <v>Electrical Utilities &amp; IPPs</v>
    <v>GRE</v>
    <v>Ações</v>
    <v>Grenergy (BMEX:GRE)</v>
    <v>-3</v>
    <v>-3.2537999999999997E-2</v>
    <v>76465</v>
  </rv>
  <rv s="2">
    <v>132</v>
  </rv>
  <rv s="0">
    <v>https://www.bing.com/financeapi/forcetrigger?t=amg4jc&amp;q=BMEX%3aVIS&amp;form=skydnc</v>
    <v>Learn more on Bing</v>
  </rv>
  <rv s="8">
    <v>pt-BR</v>
    <v>amg4jc</v>
    <v>268435456</v>
    <v>1</v>
    <v>Da plataforma Refinitiv</v>
    <v>19</v>
    <v>20</v>
    <v>Viscofan (BMEX:VIS)</v>
    <v>3</v>
    <v>21</v>
    <v>Finance</v>
    <v>11</v>
    <v>60.411999999999999</v>
    <v>45.997</v>
    <v>BMEX</v>
    <v>46000000</v>
    <v>57.6</v>
    <v>1975</v>
    <v>57.2</v>
    <v>0.2419</v>
    <v>Bolsas y Mercados Espanoles</v>
    <v>2640400000</v>
    <v>Viscofan SA is a Spain-based company engaged in the packaging industry, mainly for meat products. The Company focuses on the manufacture and distribution of artificial castings, as well as plastic films that are used for separation of sliced food. Its products range includes cellulose, collagen, fibrous and plastic castings. In addition, it designs and produces packing machinery, as well as provides related spare parts. The Company also sells electric power, which is produced by cogeneration systems. The Company operates manufacturing plants and sales offices in Spain, Serbia, Czech Republic, Germany, Brazil, Mexico, Uruguay, China and the United States, among others. It controls a number of subsidiaries, such as Nanopack, Technology and Packaging SL, Naturin Viscofan GmbH and Viscofan Centroamerica Comercial SA.</v>
    <v>BMEX</v>
    <v>57.4</v>
    <v>5981</v>
    <v>46237.666666666664</v>
    <v>134</v>
    <v>106740</v>
    <v>EUR</v>
    <v>Viscofan</v>
    <v>Viscofan</v>
    <v>16.4056</v>
    <v>57.3</v>
    <v>57.3</v>
    <v>Poligono Industrial Berroa, C/Berroa 15-4 planta, Tajonar, ARANGUREN, NAVARRA, 31192 ES</v>
    <v>Containers &amp; Packaging</v>
    <v>VIS</v>
    <v>Ações</v>
    <v>Viscofan (BMEX:VIS)</v>
    <v>-0.1</v>
    <v>-1.7419999999999998E-3</v>
    <v>61278</v>
  </rv>
  <rv s="2">
    <v>135</v>
  </rv>
  <rv s="10">
    <v>pt-BR</v>
    <v>chde9c</v>
    <v>268435456</v>
    <v>1</v>
    <v>Da plataforma Refinitiv</v>
    <v>27</v>
    <v>28</v>
    <v>Cirsa Enterprise (BMEX:CIRSA)</v>
    <v>18</v>
    <v>29</v>
    <v>Finance</v>
    <v>11</v>
    <v>16.619</v>
    <v>12.12</v>
    <v>BMEX</v>
    <v>167992700</v>
    <v>13.52</v>
    <v>2017</v>
    <v>13.22</v>
    <v>Bolsas y Mercados Espanoles</v>
    <v>2230943000</v>
    <v xml:space="preserve">Cirsa Enterprises SAU is a Spain-based company primarily engaged in the leisure and entertainment sector. The Company focuses on gaming industry. Amongst others, the Company’s range of products consist of casinos, bingo halls, slot machines, and online betting. </v>
    <v>BMEX</v>
    <v>13.28</v>
    <v>15766</v>
    <v>46237.666666666664</v>
    <v>133640</v>
    <v>EUR</v>
    <v>Cirsa Enterprise</v>
    <v>Cirsa Enterprise</v>
    <v>19.5518</v>
    <v>13.44</v>
    <v>13.26</v>
    <v>Carretera de Castellar, 298, TERRASSA, BARCELONA, 08226 ES</v>
    <v>Hotels &amp; Entertainment Services</v>
    <v>CIRSA</v>
    <v>Ações</v>
    <v>Cirsa Enterprise (BMEX:CIRSA)</v>
    <v>-0.02</v>
    <v>-1.5060000000000002E-3</v>
    <v>152259</v>
  </rv>
  <rv s="2">
    <v>137</v>
  </rv>
  <rv s="0">
    <v>https://www.bing.com/financeapi/forcetrigger?t=amg427&amp;q=BMEX%3aTRE&amp;form=skydnc</v>
    <v>Learn more on Bing</v>
  </rv>
  <rv s="8">
    <v>pt-BR</v>
    <v>amg427</v>
    <v>268435456</v>
    <v>1</v>
    <v>Da plataforma Refinitiv</v>
    <v>19</v>
    <v>20</v>
    <v>Tecnicas Reunida (BMEX:TRE)</v>
    <v>3</v>
    <v>21</v>
    <v>Finance</v>
    <v>11</v>
    <v>38.659999999999997</v>
    <v>20.64</v>
    <v>BMEX</v>
    <v>80301270</v>
    <v>28.84</v>
    <v>1960</v>
    <v>27.6</v>
    <v>1.4873000000000001</v>
    <v>Bolsas y Mercados Espanoles</v>
    <v>2270920000</v>
    <v xml:space="preserve">Tecnicas Reunidas SA is a Spain-based company engaged in the engineering and construction of industrial facilities. Its activities are structured in three business areas: Oil &amp; Gas, Power and Infrastructure and industries. The Company's Oil &amp; Gas area provides engineering services for the construction of refinery units, as well as petrochemical and natural gas plants, and oil and gas pipelines. Its Power segment includes the design and construction of fossil fuel power, nuclear, hydroelectric, biomass and solar installations. Its Infrastructure and Industries area specializes in the construction and engineering of airports, water treatment plants, controlled landfills and waste incineration facilities, among others. The Company also offers technical and management services in the fields of engineering and construction of industrial plants. </v>
    <v>BMEX</v>
    <v>28.28</v>
    <v>12531</v>
    <v>46237.666666666664</v>
    <v>139</v>
    <v>229360</v>
    <v>EUR</v>
    <v>Tecnicas Reunida</v>
    <v>Tecnicas Reunida</v>
    <v>14.3002</v>
    <v>28.7</v>
    <v>28.2</v>
    <v>AVDA BURGOS, NUM. 89 EDIFICIO 6, MADRID, 28050 ES</v>
    <v>Construction &amp; Engineering</v>
    <v>TRE</v>
    <v>Ações</v>
    <v>Tecnicas Reunida (BMEX:TRE)</v>
    <v>-0.08</v>
    <v>-2.8289999999999999E-3</v>
    <v>208002</v>
  </rv>
  <rv s="2">
    <v>140</v>
  </rv>
  <rv s="0">
    <v>https://www.bing.com/financeapi/forcetrigger?t=amfu2w&amp;q=BMEX%3aDIA&amp;form=skydnc</v>
    <v>Learn more on Bing</v>
  </rv>
  <rv s="8">
    <v>pt-BR</v>
    <v>amfu2w</v>
    <v>268435456</v>
    <v>1</v>
    <v>Da plataforma Refinitiv</v>
    <v>19</v>
    <v>20</v>
    <v>DIA (BMEX:DIA)</v>
    <v>3</v>
    <v>21</v>
    <v>Finance</v>
    <v>11</v>
    <v>44</v>
    <v>23.15</v>
    <v>BMEX</v>
    <v>58058900</v>
    <v>41.9</v>
    <v>1966</v>
    <v>39.950000000000003</v>
    <v>0.75290000000000001</v>
    <v>Bolsas y Mercados Espanoles</v>
    <v>2313647000</v>
    <v>Distribuidora Internacional de Alimentacion SA (DIA SA) is a Spain-based company primarily engaged in the operation of supermarket chains. The Company's scope of activities revolves around retail sale of food products through owned or franchised self-service stores operating under the DIA brand name. Its brand names range include DIA Market, Fresh by DIA, DIA Maxi, La Plaza de DIA, Max Descuento, Clarel, el Arbol, Cada DIA, among others. What is more, the Company retails personal care, health and household products, as well as wholesales furniture and related equipment to hospitality, catering and food industry. The Company operates in a number of countries, such as Spain, Brazil, and Argentina.</v>
    <v>BMEX</v>
    <v>39.85</v>
    <v>16253</v>
    <v>46237.666666666664</v>
    <v>142</v>
    <v>45560</v>
    <v>EUR</v>
    <v>DIA</v>
    <v>DIA</v>
    <v>20.2851</v>
    <v>40</v>
    <v>40.799999999999997</v>
    <v>Parque Empresarial de las Rozas - Edif. Tripark C/ Jacinto Benavente 2 A, LAS ROZAS DE MADRID, MADRID, 28232 ES</v>
    <v>Food &amp; Drug Retailing</v>
    <v>DIA</v>
    <v>Ações</v>
    <v>DIA (BMEX:DIA)</v>
    <v>0.95</v>
    <v>2.3839000000000003E-2</v>
    <v>59717</v>
  </rv>
  <rv s="2">
    <v>143</v>
  </rv>
  <rv s="0">
    <v>https://www.bing.com/financeapi/forcetrigger?t=amfvar&amp;q=BMEX%3aENO&amp;form=skydnc</v>
    <v>Learn more on Bing</v>
  </rv>
  <rv s="8">
    <v>pt-BR</v>
    <v>amfvar</v>
    <v>268435456</v>
    <v>1</v>
    <v>Da plataforma Refinitiv</v>
    <v>19</v>
    <v>20</v>
    <v>Elecnor (BMEX:ENO)</v>
    <v>3</v>
    <v>21</v>
    <v>Finance</v>
    <v>11</v>
    <v>42.25</v>
    <v>22.35</v>
    <v>BMEX</v>
    <v>87000000</v>
    <v>34.65</v>
    <v>1958</v>
    <v>33.65</v>
    <v>0.60640000000000005</v>
    <v>Bolsas y Mercados Espanoles</v>
    <v>2975400000</v>
    <v>Elecnor SA is a Spain-based company primarily engaged in the construction sector. The Company’s activities are divided into two business segments: Infrastructure and Real estate. The Infrastructure division is responsible for the development, construction, engineering, promotion and administration of projects in the energy, telecommunications, transport and environmental sector, among others. The Real estate division focuses on operating concessions in the area related to energy generation, mainly from wind and solar sources, energy and gas transmission, as well as wastewater treatment. The Company is a parent of the Elecnor Group, a group, which comprises a number of entities with operations established in Europe, the Americas, Asia and Africa. The Company is a subsidiary of Cantiles XXI SL.</v>
    <v>BMEX</v>
    <v>34.200000000000003</v>
    <v>29704</v>
    <v>46237.666666666664</v>
    <v>145</v>
    <v>98630</v>
    <v>EUR</v>
    <v>Elecnor</v>
    <v>Elecnor</v>
    <v>22.152699999999999</v>
    <v>34.200000000000003</v>
    <v>33.65</v>
    <v>Calle Marques de Mondejar, 33, MADRID, MADRID, 28028 ES</v>
    <v>Construction &amp; Engineering</v>
    <v>ENO</v>
    <v>Ações</v>
    <v>Elecnor (BMEX:ENO)</v>
    <v>-0.55000000000000004</v>
    <v>-1.6081999999999999E-2</v>
    <v>70193</v>
  </rv>
  <rv s="2">
    <v>146</v>
  </rv>
  <rv s="0">
    <v>https://www.bing.com/financeapi/forcetrigger?t=amg38m&amp;q=BMEX%3aSLR&amp;form=skydnc</v>
    <v>Learn more on Bing</v>
  </rv>
  <rv s="8">
    <v>pt-BR</v>
    <v>amg38m</v>
    <v>268435456</v>
    <v>1</v>
    <v>Da plataforma Refinitiv</v>
    <v>19</v>
    <v>20</v>
    <v>Sol Ene y Med Am (BMEX:SLR)</v>
    <v>3</v>
    <v>21</v>
    <v>Finance</v>
    <v>11</v>
    <v>25.85</v>
    <v>10.205</v>
    <v>BMEX</v>
    <v>132638200</v>
    <v>17</v>
    <v>2002</v>
    <v>15.99</v>
    <v>1.0029999999999999</v>
    <v>Bolsas y Mercados Espanoles</v>
    <v>2230974000</v>
    <v xml:space="preserve">Solaria Energia y Medio Ambiente SA (Solaria) is a Spain-based company engaged, together with its subsidiaries, in the renewable energy sector. The Company’s activities comprise the designing and installation of solar, thermal, photovoltaic and wind energy plants. The Company’s business is structured in three areas: Photovoltaic and Thermal Panels division, which is engaged in the development, production and sale of the solar panels. Turnkey Projects division includes the processing of licenses and permits, planning and design of photovoltaic systems, supervision and coordination of the construction of facilities, drafting and technical management of projects, as well as the set-up and maintenance of the installations. In the Generation division the Company develops, manages and operates its own photovoltaic plants. </v>
    <v>BMEX</v>
    <v>16.82</v>
    <v>187</v>
    <v>46237.666666666664</v>
    <v>148</v>
    <v>787450</v>
    <v>EUR</v>
    <v>Sol Ene y Med Am</v>
    <v>Sol Ene y Med Am</v>
    <v>12.2387</v>
    <v>17</v>
    <v>16.335000000000001</v>
    <v>C/ Princesa, 2 - 4 Planta, MADRID, MADRID, 28008 ES</v>
    <v>Electrical Utilities &amp; IPPs</v>
    <v>SLR</v>
    <v>Ações</v>
    <v>Sol Ene y Med Am (BMEX:SLR)</v>
    <v>-0.48499999999999999</v>
    <v>-2.8835000000000003E-2</v>
    <v>991213</v>
  </rv>
  <rv s="2">
    <v>149</v>
  </rv>
  <rv s="0">
    <v>https://www.bing.com/financeapi/forcetrigger?t=amfwzr&amp;q=BMEX%3aHOME&amp;form=skydnc</v>
    <v>Learn more on Bing</v>
  </rv>
  <rv s="8">
    <v>pt-BR</v>
    <v>amfwzr</v>
    <v>268435456</v>
    <v>1</v>
    <v>Da plataforma Refinitiv</v>
    <v>19</v>
    <v>20</v>
    <v>Neinor Homes (BMEX:HOME)</v>
    <v>3</v>
    <v>21</v>
    <v>Finance</v>
    <v>11</v>
    <v>21</v>
    <v>14.38</v>
    <v>BMEX</v>
    <v>98862690</v>
    <v>15.98</v>
    <v>2014</v>
    <v>15.7</v>
    <v>0.14119999999999999</v>
    <v>Bolsas y Mercados Espanoles</v>
    <v>1565985000</v>
    <v>Neinor Homes SA, formerly Neinor Homes SLU, is a Spain-based company engaged in the real estate sector. The Company focuses on the design, construction and promotion of residential properties. It develops housing projects in various Spanish cities, such as Malaga, Madrid, Barcelona, Cordoba, Vizcaya, Alicante, Almeria and Gerona.</v>
    <v>BMEX</v>
    <v>15.84</v>
    <v>544</v>
    <v>46237.666666666664</v>
    <v>151</v>
    <v>344770</v>
    <v>EUR</v>
    <v>Neinor Homes</v>
    <v>Neinor Homes</v>
    <v>11.104799999999999</v>
    <v>15.91</v>
    <v>15.7</v>
    <v>Calle Henao 20, BILBAO, VIZCAYA, 48009 ES</v>
    <v>Real Estate Operations</v>
    <v>HOME</v>
    <v>Ações</v>
    <v>Neinor Homes (BMEX:HOME)</v>
    <v>-0.14000000000000001</v>
    <v>-8.8380000000000004E-3</v>
    <v>237949</v>
  </rv>
  <rv s="2">
    <v>152</v>
  </rv>
  <rv s="0">
    <v>https://www.bing.com/financeapi/forcetrigger?t=amfsu2&amp;q=BMEX%3aCAF&amp;form=skydnc</v>
    <v>Learn more on Bing</v>
  </rv>
  <rv s="6">
    <v>pt-BR</v>
    <v>amfsu2</v>
    <v>268435456</v>
    <v>1</v>
    <v>Da plataforma Refinitiv</v>
    <v>13</v>
    <v>14</v>
    <v>CAF (BMEX:CAF)</v>
    <v>3</v>
    <v>15</v>
    <v>Finance</v>
    <v>11</v>
    <v>71</v>
    <v>49.45</v>
    <v>BMEX</v>
    <v>34280750</v>
    <v>71</v>
    <v>68.599999999999994</v>
    <v>0.95820000000000005</v>
    <v>Bolsas y Mercados Espanoles</v>
    <v>2344803000</v>
    <v>Construcciones y Auxiliar de Ferrocarriles SA (CAF) is a Spain-based company engaged in the rolling stock manufacture. The Company’s activities are divided into two business segments: Rolling stock, as well as Components and spare parts. The Rolling stock division focuses on the design, production and distribution of rolling stock and equipment for railway systems, such as high-speed vehicles, locomotives, trains for middle-distance transportation, commuter trains and electric motorcars, subway trains, streetcars, traction and signaling systems, as well as energy storage solutions. The Components and spare parts division offers elements and spare parts for rolling stock equipment, such as wheels, axles and gear units. In addition, the Company offers technical assistance, maintenance and after-sale services, as well as development of rail infrastructure, among others. It operates through numerous subsidiaries in Spain, France, Germany, the United States, Brazil and Mexico, among others.</v>
    <v>BMEX</v>
    <v>68.400000000000006</v>
    <v>16972</v>
    <v>46237.666666666664</v>
    <v>154</v>
    <v>32380</v>
    <v>EUR</v>
    <v>CAF</v>
    <v>CAF</v>
    <v>13.9336</v>
    <v>68.599999999999994</v>
    <v>70.099999999999994</v>
    <v>J.M. Iturrioz, 26, BEASAIN, GIPUZKOA, 20200 ES</v>
    <v>Machinery, Equipment &amp; Components</v>
    <v>CAF</v>
    <v>Ações</v>
    <v>CAF (BMEX:CAF)</v>
    <v>1.7</v>
    <v>2.4853999999999998E-2</v>
    <v>48858</v>
  </rv>
  <rv s="2">
    <v>155</v>
  </rv>
  <rv s="0">
    <v>https://www.bing.com/financeapi/forcetrigger?t=amfwa2&amp;q=BMEX%3aGEST&amp;form=skydnc</v>
    <v>Learn more on Bing</v>
  </rv>
  <rv s="8">
    <v>pt-BR</v>
    <v>amfwa2</v>
    <v>268435456</v>
    <v>1</v>
    <v>Da plataforma Refinitiv</v>
    <v>19</v>
    <v>20</v>
    <v>Gestamp Automoc (BMEX:GEST)</v>
    <v>3</v>
    <v>21</v>
    <v>Finance</v>
    <v>11</v>
    <v>3.5419999999999998</v>
    <v>2.76</v>
    <v>BMEX</v>
    <v>575514300</v>
    <v>3.0649999999999999</v>
    <v>1997</v>
    <v>2.95</v>
    <v>1.0301</v>
    <v>Bolsas y Mercados Espanoles</v>
    <v>1686257000</v>
    <v>Gestamp Automocion SA is a Spain-based company primarily engaged in the design, development and manufacture of metal components and structure systems for the automotive industry. The Company's products portfolio includes skin panels and moving parts, body components, chassis, bumpers and dashboard crossbeams. The Company's clients comprise such international automobile manufacturers as Volkswagen, Renault, Peugeot, Citroen, Opel, Mercedes Benz, Ford, Nissan and Fiat, among others. The Company is a parent of Grupo Gestamp Automocion, a group which comprises the operations of a number of controlled entities with operations established in 22 countries worldwide. The Company's facilities include 95 Production Centers located in Europe, Asia, North and South America and 13 R&amp;D Centers. In 2011 the Company acquired ThyssenKrupp Metal Forming.</v>
    <v>BMEX</v>
    <v>2.93</v>
    <v>42466</v>
    <v>46237.666666666664</v>
    <v>157</v>
    <v>225360</v>
    <v>EUR</v>
    <v>Gestamp Automoc</v>
    <v>Gestamp Automoc</v>
    <v>9.0633999999999997</v>
    <v>2.95</v>
    <v>2.99</v>
    <v>Pol. Ind. de Lebario s/n, ABADINO, VIZCAYA, 48220 ES</v>
    <v>Automobiles &amp; Auto Parts</v>
    <v>GEST</v>
    <v>Ações</v>
    <v>Gestamp Automoc (BMEX:GEST)</v>
    <v>0.06</v>
    <v>2.0478E-2</v>
    <v>634731</v>
  </rv>
  <rv s="2">
    <v>158</v>
  </rv>
  <rv s="10">
    <v>pt-BR</v>
    <v>cf58c7</v>
    <v>268435456</v>
    <v>1</v>
    <v>Da plataforma Refinitiv</v>
    <v>27</v>
    <v>28</v>
    <v>Inmocemento (BMEX:IMC)</v>
    <v>18</v>
    <v>29</v>
    <v>Finance</v>
    <v>11</v>
    <v>4.63</v>
    <v>3.31</v>
    <v>BMEX</v>
    <v>454878100</v>
    <v>3.89</v>
    <v>2024</v>
    <v>3.78</v>
    <v>Bolsas y Mercados Espanoles</v>
    <v>1728537000</v>
    <v>Inmocemento SA is a Spain-based holding company which is mainly active in the real estate industry, as well as, the cement industry. Through it subsidiaries, the Company's real estate business unit operates in two lines of business: Rental assets, which consists of leasing and management of office buildings, commercial premises and shopping and leisure canters, and Real estate development and land management, which is engaged in the acquisition, promotion and marketing of primarily residential real estate, as well as, the acquisition and urban management of land. Inmocemento's cement business unit operates in two lines of activity: Manufacture and marketing of cement and Manufacture and marketing of cement derivatives. Inmocemento carries out its activities primarily in Spain but also owns real estate assets in the United Kingdom, Romania and Croatia.</v>
    <v>BMEX</v>
    <v>3.8</v>
    <v>1479</v>
    <v>46237.666666666664</v>
    <v>10060</v>
    <v>EUR</v>
    <v>Inmocemento</v>
    <v>Inmocemento</v>
    <v>6.4915000000000003</v>
    <v>3.81</v>
    <v>3.78</v>
    <v>Avda. Camino De Santiago 50, BARCELONA, BARCELONA, 08007 ES</v>
    <v>Real Estate Operations</v>
    <v>IMC</v>
    <v>Ações</v>
    <v>Inmocemento (BMEX:IMC)</v>
    <v>-0.02</v>
    <v>-5.2630000000000003E-3</v>
    <v>11382</v>
  </rv>
  <rv s="2">
    <v>160</v>
  </rv>
  <rv s="0">
    <v>https://www.bing.com/financeapi/forcetrigger?t=amfz27&amp;q=BMEX%3aMEL&amp;form=skydnc</v>
    <v>Learn more on Bing</v>
  </rv>
  <rv s="8">
    <v>pt-BR</v>
    <v>amfz27</v>
    <v>268435456</v>
    <v>1</v>
    <v>Da plataforma Refinitiv</v>
    <v>19</v>
    <v>20</v>
    <v>Melia Hotels (BMEX:MEL)</v>
    <v>3</v>
    <v>21</v>
    <v>Finance</v>
    <v>11</v>
    <v>12.53</v>
    <v>6.7350000000000003</v>
    <v>BMEX</v>
    <v>220400000</v>
    <v>10.72</v>
    <v>1986</v>
    <v>10.4</v>
    <v>1.0885</v>
    <v>Bolsas y Mercados Espanoles</v>
    <v>2285548000</v>
    <v>Melia Hotels International SA, formerly Sol Melia SA, is a Spain-based company primarily engaged in the hospitality sector. The Company focuses on the management and exploitation of hotel chains. Its activities are divided into three business segments: Hotels, Real Estate and Club Melia. The Hotels division administrates hotels under management and franchise agreements, operates own or leased hotels, as well as offers other entertainment activities, such as casino games and organized tours. The Real Estate division includes real estate development and operations. The Club Melia division operates vacation club complexes. The Company’s brand names portfolio comprises Gran Melia, Paradisus, Melia, Innside by Melia, Tryp by Wyndham and Sol Hotels, among others. The Company operates through numerous subsidiaries in Europe, the Americas, Africa and Asia.</v>
    <v>BMEX</v>
    <v>10.37</v>
    <v>19648</v>
    <v>46237.666666666664</v>
    <v>162</v>
    <v>269530</v>
    <v>EUR</v>
    <v>Melia Hotels</v>
    <v>Melia Hotels</v>
    <v>26.226600000000001</v>
    <v>10.5</v>
    <v>10.4</v>
    <v>Calle Gremio Toneleros 24, PALMA DE MALLORCA, BALEARES, 07009 ES</v>
    <v>Hotels &amp; Entertainment Services</v>
    <v>MEL</v>
    <v>Ações</v>
    <v>Melia Hotels (BMEX:MEL)</v>
    <v>0.03</v>
    <v>2.8930000000000002E-3</v>
    <v>413718</v>
  </rv>
  <rv s="2">
    <v>163</v>
  </rv>
  <rv s="0">
    <v>https://www.bing.com/financeapi/forcetrigger?t=amfvm7&amp;q=BMEX%3aFAE&amp;form=skydnc</v>
    <v>Learn more on Bing</v>
  </rv>
  <rv s="8">
    <v>pt-BR</v>
    <v>amfvm7</v>
    <v>268435456</v>
    <v>1</v>
    <v>Da plataforma Refinitiv</v>
    <v>19</v>
    <v>20</v>
    <v>Faes Farma (BMEX:FAE)</v>
    <v>3</v>
    <v>21</v>
    <v>Finance</v>
    <v>11</v>
    <v>5.44</v>
    <v>4.0999999999999996</v>
    <v>BMEX</v>
    <v>316223900</v>
    <v>4.5750000000000002</v>
    <v>1933</v>
    <v>4.4649999999999999</v>
    <v>0.40360000000000001</v>
    <v>Bolsas y Mercados Espanoles</v>
    <v>1441981000</v>
    <v>Faes Farma SA is a Spain-based company engaged in the pharmaceutical industry. The Company specializes in the research, production, distribution and sale of prescription and generic drugs, over-the-counter (OTC) medicines, food supplements and personal care treatments, as well as raw materials for the pharmaceutical use. The Company’s research lines are mainly focused on the development of new drugs for the treatment of allergy, venous insufficiency and irritable bowel syndrome, among others. In addition, it provides animal nutrition products. The Company operates in Spain, Portugal, Chile and Mexico, among others. It controls a number of subsidiaries, such as Laboratorios Vitoria SA, Laboratorios Veris SA, Lazlo International SA, Ingaso Farm SLU, Esfion SA and Biotecnet I MAS D SA.</v>
    <v>BMEX</v>
    <v>4.5599999999999996</v>
    <v>2611</v>
    <v>46237.666666666664</v>
    <v>165</v>
    <v>152130</v>
    <v>EUR</v>
    <v>Faes Farma</v>
    <v>Faes Farma</v>
    <v>16.863900000000001</v>
    <v>4.5149999999999997</v>
    <v>4.5</v>
    <v>Avda. Autonomia 10, LEIOA, VIZCAYA, 48940 ES</v>
    <v>Pharmaceuticals</v>
    <v>FAE</v>
    <v>Ações</v>
    <v>Faes Farma (BMEX:FAE)</v>
    <v>-0.06</v>
    <v>-1.3158000000000001E-2</v>
    <v>156486</v>
  </rv>
  <rv s="2">
    <v>166</v>
  </rv>
  <rv s="0">
    <v>https://www.bing.com/financeapi/forcetrigger?t=amg2kr&amp;q=BMEX%3aRLIA&amp;form=skydnc</v>
    <v>Learn more on Bing</v>
  </rv>
  <rv s="8">
    <v>pt-BR</v>
    <v>amg2kr</v>
    <v>268435456</v>
    <v>1</v>
    <v>Da plataforma Refinitiv</v>
    <v>19</v>
    <v>20</v>
    <v>Realia Business (BMEX:RLIA)</v>
    <v>3</v>
    <v>21</v>
    <v>Finance</v>
    <v>11</v>
    <v>1.1000000000000001</v>
    <v>0.90400000000000003</v>
    <v>BMEX</v>
    <v>1509588000</v>
    <v>1.04</v>
    <v>1997</v>
    <v>1.0149999999999999</v>
    <v>0.2397</v>
    <v>Bolsas y Mercados Espanoles</v>
    <v>1532232000</v>
    <v>REALIA Business SA (Realia) is a Spain-based company engaged in the promotion, development and exploitation of rural and urban real estate properties. The Company’s properties include office buildings and commercial centers in Madrid, Barcelona, Seville, Guadalajara, Soria, A Coruna and Murcia, as well as residential properties, garages, premises and storage areas in Alicante, Almeria, Girona, Balearic Islands, Las Palmas, Madrid, Malaga, Seville, Valencia and Valladolid. The Company operates through a number of real estate entities, such as Noralia SA, Valaise SL, Realia Business Portugal Unipersonal Ltda, Realia Polska Inwestycje Sp z oo, Realia Contesti SRL and Guillena Golf SL. In addition, the Company is a subsidiary of Inmobiliaria Carso SA de CV.</v>
    <v>BMEX</v>
    <v>1.0149999999999999</v>
    <v>81</v>
    <v>46237.666666666664</v>
    <v>168</v>
    <v>20610</v>
    <v>EUR</v>
    <v>Realia Business</v>
    <v>Realia Business</v>
    <v>10.048299999999999</v>
    <v>1.0149999999999999</v>
    <v>1.04</v>
    <v>Paseo de la Castellana, 216, MADRID, MADRID, 28046 ES</v>
    <v>Real Estate Operations</v>
    <v>RLIA</v>
    <v>Ações</v>
    <v>Realia Business (BMEX:RLIA)</v>
    <v>2.5000000000000001E-2</v>
    <v>2.4631E-2</v>
    <v>5129</v>
  </rv>
  <rv s="2">
    <v>169</v>
  </rv>
  <rv s="0">
    <v>https://www.bing.com/financeapi/forcetrigger?t=aytbnm&amp;q=BMEX%3aMVC&amp;form=skydnc</v>
    <v>Learn more on Bing</v>
  </rv>
  <rv s="8">
    <v>pt-BR</v>
    <v>aytbnm</v>
    <v>268435456</v>
    <v>1</v>
    <v>Da plataforma Refinitiv</v>
    <v>19</v>
    <v>20</v>
    <v>Metrovacesa (BMEX:MVC)</v>
    <v>3</v>
    <v>21</v>
    <v>Finance</v>
    <v>11</v>
    <v>13.5</v>
    <v>8.82</v>
    <v>BMEX</v>
    <v>151676300</v>
    <v>11.22</v>
    <v>2016</v>
    <v>10.88</v>
    <v>0.69099999999999995</v>
    <v>Bolsas y Mercados Espanoles</v>
    <v>1686641000</v>
    <v>Metrovacesa SA, formerly Metrovacesa Suelo y Promocion SA, is a Spain-based real estate developer. The Company specializes in construction and sale of sustainable housing, both single-family and multi-family residential properties. Its activities also include promotion, urbanization and parceling of real estate in general, as well as real estate management for own benefit or on behalf of third parties. Its asset portfolio includes more than 6 million square meters of building land across Spain, as well as already developed properties in cities, such as Malaga, Almeria, Cordoba, Barcelona and Madrid, among others.</v>
    <v>BMEX</v>
    <v>11.12</v>
    <v>173</v>
    <v>46237.666666666664</v>
    <v>171</v>
    <v>117040</v>
    <v>EUR</v>
    <v>Metrovacesa</v>
    <v>Metrovacesa</v>
    <v>18.6891</v>
    <v>11.22</v>
    <v>10.92</v>
    <v>Parque empresarial Via Norte, C/ Quintanavides 13, MADRID, MADRID, 28050 ES</v>
    <v>Real Estate Operations</v>
    <v>MVC</v>
    <v>Ações</v>
    <v>Metrovacesa (BMEX:MVC)</v>
    <v>-0.2</v>
    <v>-1.7985999999999999E-2</v>
    <v>80112</v>
  </rv>
  <rv s="2">
    <v>172</v>
  </rv>
  <rv s="0">
    <v>https://www.bing.com/financeapi/forcetrigger?t=apm3m7&amp;q=BVMF%3aBRAP3&amp;form=skydnc</v>
    <v>Learn more on Bing</v>
  </rv>
  <rv s="12">
    <v>pt-BR</v>
    <v>apm3m7</v>
    <v>268435456</v>
    <v>1</v>
    <v>Da plataforma Refinitiv</v>
    <v>33</v>
    <v>34</v>
    <v>Bradespar S.A (BVMF:BRAP3)</v>
    <v>3</v>
    <v>35</v>
    <v>Finance</v>
    <v>36</v>
    <v>22.11</v>
    <v>12.83</v>
    <v>BVMF</v>
    <v>393096600</v>
    <v>18.73</v>
    <v>2000</v>
    <v>18.47</v>
    <v>0.87690000000000001</v>
    <v>B3 - Brazil Stock Exchange</v>
    <v>7346975454</v>
    <v>A Bradespar S.A. é uma holding brasileira que atua sobretudo na indústria siderúrgica. A principal atividade da empresa é participar em outras empresas como sócia ou acionista. Através de sua subsidiária indireta VALE S.A., a empresa atua na extração de minério de ferro, manganês e ferroligas; produção de pelotas; fabricação de minerais não-ferrosos; produção de potassa, fosfato e nitrogênio; e serviços de logística. Além disso, através de sua subsidiária indireta CPFL ENERGIA S.A., a empresa atua na distribuição, geração e comercialização de energia elétrica no Brasil.</v>
    <v>BVMF</v>
    <v>18.600000000000001</v>
    <v>46237.892407407409</v>
    <v>174</v>
    <v>1428550</v>
    <v>BRL</v>
    <v>Bradespar S.A</v>
    <v>Bradespar S.A</v>
    <v>18.600000000000001</v>
    <v>18.690000000000001</v>
    <v>Avenida Juscelino Kubitschek, 1.309, 2 andar, parte, Vila Nova Conceicao, SAO PAULO, SAO PAULO, 04.543-011 BR</v>
    <v>Metals &amp; Mining</v>
    <v>BRAP3</v>
    <v>Ações</v>
    <v>Bradespar S.A (BVMF:BRAP3)</v>
    <v>0.09</v>
    <v>4.8389999999999996E-3</v>
    <v>31500</v>
  </rv>
  <rv s="2">
    <v>175</v>
  </rv>
  <rv s="0">
    <v>https://www.bing.com/financeapi/forcetrigger?t=amg1r7&amp;q=BMEX%3aPSG&amp;form=skydnc</v>
    <v>Learn more on Bing</v>
  </rv>
  <rv s="8">
    <v>pt-BR</v>
    <v>amg1r7</v>
    <v>268435456</v>
    <v>1</v>
    <v>Da plataforma Refinitiv</v>
    <v>19</v>
    <v>20</v>
    <v>Prosegur (BMEX:PSG)</v>
    <v>3</v>
    <v>21</v>
    <v>Finance</v>
    <v>11</v>
    <v>3.35</v>
    <v>2.44</v>
    <v>BMEX</v>
    <v>545026900</v>
    <v>3.0649999999999999</v>
    <v>1976</v>
    <v>2.97</v>
    <v>1.0016</v>
    <v>Bolsas y Mercados Espanoles</v>
    <v>1645981000</v>
    <v>Prosegur Compania de Seguridad SA is a Spain-based company engaged in the provision of security services. The Company’s activities are divided into business segments: Integrated Security Solutions (ISS), Cash in Transit (CIT) and Alarms. The ISS division provides surveillance and protection of premises, property and persons, as well as activities related to technological security solutions. The CIT division offers transportation, storage, safekeeping, counting and classification of coins and banknotes, deeds, securities and other goods that require special protection. The Alarms division comprises installation and monitoring of home alarms. The Company operates through numerous subsidiaries in Europe, Latin America, Asia, Africa and Australia. It is controlled by Gubel SL.</v>
    <v>BMEX</v>
    <v>3.02</v>
    <v>177682</v>
    <v>46237.666666666664</v>
    <v>177</v>
    <v>398080</v>
    <v>EUR</v>
    <v>Prosegur</v>
    <v>Prosegur</v>
    <v>13.0116</v>
    <v>3.05</v>
    <v>3.0150000000000001</v>
    <v>calle Pajaritos 24, MADRID, MADRID, 28007 ES</v>
    <v>Professional &amp; Commercial Services</v>
    <v>PSG</v>
    <v>Ações</v>
    <v>Prosegur (BMEX:PSG)</v>
    <v>-5.0000000000000001E-3</v>
    <v>-1.6559999999999999E-3</v>
    <v>358562</v>
  </rv>
  <rv s="2">
    <v>178</v>
  </rv>
  <rv s="0">
    <v>https://www.bing.com/financeapi/forcetrigger?t=c2enh7&amp;q=BMEX%3aART&amp;form=skydnc</v>
    <v>Learn more on Bing</v>
  </rv>
  <rv s="6">
    <v>pt-BR</v>
    <v>c2enh7</v>
    <v>268435456</v>
    <v>1</v>
    <v>Da plataforma Refinitiv</v>
    <v>13</v>
    <v>14</v>
    <v>Arteche Lantegi (BMEX:ART)</v>
    <v>3</v>
    <v>15</v>
    <v>Finance</v>
    <v>11</v>
    <v>46</v>
    <v>11.2</v>
    <v>BMEX</v>
    <v>58104110</v>
    <v>29.6</v>
    <v>28.8</v>
    <v>0.55800000000000005</v>
    <v>Bolsas y Mercados Espanoles</v>
    <v>1690830000</v>
    <v>Arteche Lantegi Elkartea SA is a Spain-based company involved in the energy sector. The Company is a manufacturer, integrator and global supplier of electrical equipment and solutions for measurement, protection, automation, monitoring and communication in the generation, transmission, and distribution sectors. The product’s portfolio includes high, medium, and low voltage instrument transformers, power voltage transformers, optical current transformer, power grid automation systems, substation control and automation devices, controllers for distribution automation and reclosers, among others. In addition, the Company offers power quality consultancy and engineering services, technical consultancy for renewable energy grid connection, testing and training services. The Company’s activity is structured into three business units: Measuring &amp; Monitoring; Network reliability; Transmission &amp; Distribution.</v>
    <v>BMEX</v>
    <v>29.1</v>
    <v>2966</v>
    <v>46237.666666666664</v>
    <v>180</v>
    <v>40780</v>
    <v>EUR</v>
    <v>Arteche Lantegi</v>
    <v>Arteche Lantegi</v>
    <v>30.2254</v>
    <v>29.2</v>
    <v>29.5</v>
    <v>Derio Bidea, 28, MUNGIA, VIZCAYA, 48100 ES</v>
    <v>Machinery, Equipment &amp; Components</v>
    <v>ART</v>
    <v>Ações</v>
    <v>Arteche Lantegi (BMEX:ART)</v>
    <v>0.4</v>
    <v>1.3746000000000001E-2</v>
    <v>16653</v>
  </rv>
  <rv s="2">
    <v>181</v>
  </rv>
  <rv s="0">
    <v>https://www.bing.com/financeapi/forcetrigger?t=amg1fr&amp;q=BMEX%3aPHM&amp;form=skydnc</v>
    <v>Learn more on Bing</v>
  </rv>
  <rv s="8">
    <v>pt-BR</v>
    <v>amg1fr</v>
    <v>268435456</v>
    <v>1</v>
    <v>Da plataforma Refinitiv</v>
    <v>19</v>
    <v>20</v>
    <v>PharmaMar (BMEX:PHM)</v>
    <v>3</v>
    <v>21</v>
    <v>Finance</v>
    <v>11</v>
    <v>105.2</v>
    <v>64</v>
    <v>BMEX</v>
    <v>18000000</v>
    <v>79.900000000000006</v>
    <v>1986</v>
    <v>77.75</v>
    <v>0.68700000000000006</v>
    <v>Bolsas y Mercados Espanoles</v>
    <v>1422900000</v>
    <v>Pharma Mar SA is a Spain-based integrated biopharmaceutical company focused on oncology and committed to research and development (R&amp;D) of antitumor drugs of marine origin. The Company, through its subsidiaries, operates three business segments: Oncology, Diagnostics and RNA interference. The Oncology segment encompasses research, develop and market anti-tumor drugs. The Diagnostics segment includes the development and marketing of diagnostic kits. The RNA interference segment consist of the development of drugs with therapeutic activity based on reducing or silencing gene expression. The Company’s product portfolio includes Yondelis and ZEPZELCA. Yondelis (trabectedin) is indicated for the treatment of advanced soft tissue sarcoma, as well as for the treatment of relapsed platinum-sensitive ovarian cancer. ZEPZELCA (lurbinectedin) is indicated for the treatment of metastatic small cell lung cancer (SCLC) with disease progression. The Company is active globally.</v>
    <v>BMEX</v>
    <v>79.05</v>
    <v>505</v>
    <v>46237.666666666664</v>
    <v>183</v>
    <v>38720</v>
    <v>EUR</v>
    <v>PharmaMar</v>
    <v>PharmaMar</v>
    <v>23.842099999999999</v>
    <v>79.400000000000006</v>
    <v>78.349999999999994</v>
    <v>Avda. De los Reyes, 1, COLMENAR VIEJO, MADRID, 28770 ES</v>
    <v>Pharmaceuticals</v>
    <v>PHM</v>
    <v>Ações</v>
    <v>PharmaMar (BMEX:PHM)</v>
    <v>-0.7</v>
    <v>-8.855E-3</v>
    <v>33078</v>
  </rv>
  <rv s="2">
    <v>184</v>
  </rv>
  <rv s="0">
    <v>https://www.bing.com/financeapi/forcetrigger?t=c1wu5r&amp;q=BMEX%3aLDA&amp;form=skydnc</v>
    <v>Learn more on Bing</v>
  </rv>
  <rv s="8">
    <v>pt-BR</v>
    <v>c1wu5r</v>
    <v>268435456</v>
    <v>1</v>
    <v>Da plataforma Refinitiv</v>
    <v>19</v>
    <v>20</v>
    <v>Linea Directa (BMEX:LDA)</v>
    <v>3</v>
    <v>21</v>
    <v>Finance</v>
    <v>11</v>
    <v>1.39</v>
    <v>1.0660000000000001</v>
    <v>BMEX</v>
    <v>1088417000</v>
    <v>1.32</v>
    <v>1994</v>
    <v>1.282</v>
    <v>0.3211</v>
    <v>Bolsas y Mercados Espanoles</v>
    <v>1388820000</v>
    <v>Linea Directa Aseguradora SA Compania de Seguros y Reaseguros is a Spain-based company. It is specialized in the provision of insurance and reinsurance services in general insurance sectors. The Company operates mainly in the Motor, Home and Health insurances. The Company operates through several brands of insurance. The Company sells car, motorbike, company fleet and home insurance under the Linea Directa brand. Penelope Seguros is an insurance brand designed by women, and its cover includes handbag theft, roadside assistance for pregnant women and management of the vehicle's service schedule. Aprecio is a brand specialized in insurance for motorbikes, motorcycles and scooters. Vivaz Seguros is a health insurance brand.</v>
    <v>BMEX</v>
    <v>1.276</v>
    <v>2373</v>
    <v>46237.666666666664</v>
    <v>186</v>
    <v>629920</v>
    <v>EUR</v>
    <v>Linea Directa</v>
    <v>Linea Directa</v>
    <v>15.2315</v>
    <v>1.284</v>
    <v>1.3160000000000001</v>
    <v>calle Isaac Newton 7, TRES CANTOS, MADRID ES</v>
    <v>Insurance</v>
    <v>LDA</v>
    <v>Ações</v>
    <v>Linea Directa (BMEX:LDA)</v>
    <v>0.04</v>
    <v>3.1348000000000001E-2</v>
    <v>990623</v>
  </rv>
  <rv s="2">
    <v>187</v>
  </rv>
  <rv s="0">
    <v>https://www.bing.com/financeapi/forcetrigger?t=amg6z2&amp;q=BMEX%3aYGMP&amp;form=skydnc</v>
    <v>Learn more on Bing</v>
  </rv>
  <rv s="13">
    <v>pt-BR</v>
    <v>amg6z2</v>
    <v>268435456</v>
    <v>1</v>
    <v>Da plataforma Refinitiv</v>
    <v>37</v>
    <v>38</v>
    <v>GMP Property (BMEX:YGMP)</v>
    <v>3</v>
    <v>39</v>
    <v>Finance</v>
    <v>11</v>
    <v>BMEX</v>
    <v>19124270</v>
    <v>62.5</v>
    <v>1974</v>
    <v>62.5</v>
    <v>-0.11409999999999999</v>
    <v>Bolsas y Mercados Espanoles</v>
    <v>1185705000</v>
    <v>GMP Property SOCIMI SA, formerly GMP Sociedad de Inversiones Inmobiliarias SA is a Spain-based company primarily engaged in the commercial Real Estate Investment Trust (REIT) operations. The Company specializes in the land acquisition and management, property promotion, as well as real estate investment, development and management. Its investment focus aims at nonresidential properties, such as offices, business parks, shopping centers, parking lots, and retail units, among others. Furthermore, the Company develops holiday resorts, offers real estate management for third parties, rents meeting rooms, as well as provides office interior design services. It manages properties in a number of Spanish cities, such as Madrid, Valencia and Alicante.</v>
    <v>BMEX</v>
    <v>62</v>
    <v>197</v>
    <v>46234.583344907405</v>
    <v>189</v>
    <v>80</v>
    <v>EUR</v>
    <v>GMP Property</v>
    <v>GMP Property</v>
    <v>7.8178000000000001</v>
    <v>62.5</v>
    <v>62.5</v>
    <v>C/Luchana 23, MADRID, MADRID, 28010 ES</v>
    <v>Residential &amp; Commercial REIT</v>
    <v>YGMP</v>
    <v>Ações</v>
    <v>GMP Property (BMEX:YGMP)</v>
    <v>0.5</v>
    <v>8.0649999999999993E-3</v>
    <v>80</v>
  </rv>
  <rv s="2">
    <v>190</v>
  </rv>
  <rv s="0">
    <v>https://www.bing.com/financeapi/forcetrigger?t=amfptc&amp;q=BMEX%3aA3M&amp;form=skydnc</v>
    <v>Learn more on Bing</v>
  </rv>
  <rv s="6">
    <v>pt-BR</v>
    <v>amfptc</v>
    <v>268435456</v>
    <v>1</v>
    <v>Da plataforma Refinitiv</v>
    <v>13</v>
    <v>14</v>
    <v>Atresmedia (BMEX:A3M)</v>
    <v>3</v>
    <v>15</v>
    <v>Finance</v>
    <v>11</v>
    <v>5.5659999999999998</v>
    <v>4.3810000000000002</v>
    <v>BMEX</v>
    <v>225732800</v>
    <v>5.24</v>
    <v>5.12</v>
    <v>0.86890000000000001</v>
    <v>Bolsas y Mercados Espanoles</v>
    <v>1176068000</v>
    <v>Atresmedia Corporacion de Medios de Comunicacion SA, formerly Antena 3 de Television SA, is a Spain-based company primarily engaged in the television (TV) broadcasting. The Company’s activities are divided into three business segments: Television, which specializes in TV broadcasting through its network of channels, such as Antena 3, Neox, Nova, Atresseries and LaSexta; Radio, which focuses on radio broadcasting through a number of radio stations, including Onda Cero, Europa FM and Melodia FM, and Others, which offers advertising services, production of motion pictures and TV movies, as well as development of promotional events, among others. The Company transmits programs in Spain, Colombia, Mexico and the United States, among others.</v>
    <v>BMEX</v>
    <v>5.21</v>
    <v>2595</v>
    <v>46237.666666666664</v>
    <v>192</v>
    <v>479170</v>
    <v>EUR</v>
    <v>Atresmedia</v>
    <v>Atresmedia</v>
    <v>21.416799999999999</v>
    <v>5.23</v>
    <v>5.2</v>
    <v>Avda. Isla Graciosa, 13, SAN SEBASTIAN DE LOS REYES, MADRID, 28703 ES</v>
    <v>Media &amp; Publishing</v>
    <v>A3M</v>
    <v>Ações</v>
    <v>Atresmedia (BMEX:A3M)</v>
    <v>-0.01</v>
    <v>-1.9189999999999999E-3</v>
    <v>216831</v>
  </rv>
  <rv s="2">
    <v>193</v>
  </rv>
  <rv s="0">
    <v>https://www.bing.com/financeapi/forcetrigger?t=amfqmw&amp;q=BMEX%3aAEDAS&amp;form=skydnc</v>
    <v>Learn more on Bing</v>
  </rv>
  <rv s="8">
    <v>pt-BR</v>
    <v>amfqmw</v>
    <v>268435456</v>
    <v>1</v>
    <v>Da plataforma Refinitiv</v>
    <v>19</v>
    <v>20</v>
    <v>Aedas Homes (BMEX:AEDAS)</v>
    <v>3</v>
    <v>21</v>
    <v>Finance</v>
    <v>11</v>
    <v>24.1</v>
    <v>20.85</v>
    <v>BMEX</v>
    <v>43700000</v>
    <v>21.75</v>
    <v>2016</v>
    <v>21.2</v>
    <v>0.64359999999999995</v>
    <v>Bolsas y Mercados Espanoles</v>
    <v>943920000</v>
    <v>Aedas Homes SA is a Spain-based company engaged in the real estate sector. The Company focuses on the land acquisition, as well as construction, promotion and sale of residential properties. The Company develops projects in a range of Spanish cities, such as Valencia, Alicante, Barcelona, Madrid, Malaga and Seville. It offers multifamily buildings in type of towers and block of flats.</v>
    <v>BMEX</v>
    <v>21.6</v>
    <v>283</v>
    <v>46237.666666666664</v>
    <v>195</v>
    <v>2590</v>
    <v>EUR</v>
    <v>Aedas Homes</v>
    <v>Aedas Homes</v>
    <v>15.2705</v>
    <v>21.35</v>
    <v>21.2</v>
    <v>Paseo de la Castellana, 42, MADRID, MADRID, 28046 ES</v>
    <v>Real Estate Operations</v>
    <v>AEDAS</v>
    <v>Ações</v>
    <v>Aedas Homes (BMEX:AEDAS)</v>
    <v>-0.4</v>
    <v>-1.8519000000000001E-2</v>
    <v>5183</v>
  </rv>
  <rv s="2">
    <v>196</v>
  </rv>
  <rv s="0">
    <v>https://www.bing.com/financeapi/forcetrigger?t=bn12zr&amp;q=BMEX%3aYCPS&amp;form=skydnc</v>
    <v>Learn more on Bing</v>
  </rv>
  <rv s="13">
    <v>pt-BR</v>
    <v>bn12zr</v>
    <v>268435456</v>
    <v>1</v>
    <v>Da plataforma Refinitiv</v>
    <v>37</v>
    <v>38</v>
    <v>Castellana Prop (BMEX:YCPS)</v>
    <v>3</v>
    <v>39</v>
    <v>Finance</v>
    <v>11</v>
    <v>BMEX</v>
    <v>147027300</v>
    <v>9.65</v>
    <v>2015</v>
    <v>9.65</v>
    <v>-5.7000000000000002E-3</v>
    <v>Bolsas y Mercados Espanoles</v>
    <v>1418813000</v>
    <v>Castellana Properties Socimi SA is a Spain-based company active in the real estate industry. The Company is focused on the acquisition, management and rehabilitation of real estate assets in the retail sector. Castellana Properties owns 15 assets in Spain: C.C. Habaneras (Alicante), Parque Oeste (Alcorcon), Parque Principado (Asturias), Mejostilla (Caceres), La Heredad (Merida), La Serena (Villanueva de la Serena), CC Motril (Granada), Kinepolis LP (Granada), Kinepolis RP (Granada), Ciudad del Transporte (Castellon), Marismas del Polvorin (Huelva), Alameda S.C. (Granada) and Pinatar Park (Murcia). The Company also has two office buildings, one in Madrid and the other in Seville. It is a listed investment company.</v>
    <v>BMEX</v>
    <v>9.65</v>
    <v>55</v>
    <v>46231.666666666664</v>
    <v>198</v>
    <v>200</v>
    <v>EUR</v>
    <v>Castellana Prop</v>
    <v>Castellana Prop</v>
    <v>8.4954999999999998</v>
    <v>9.65</v>
    <v>9.65</v>
    <v>Glorieta Ruben Dario, 3, 1 derecha, MADRID, MADRID, 28010 ES</v>
    <v>Residential &amp; Commercial REIT</v>
    <v>YCPS</v>
    <v>Ações</v>
    <v>Castellana Prop (BMEX:YCPS)</v>
    <v>0</v>
    <v>0</v>
    <v>1570</v>
  </rv>
  <rv s="2">
    <v>199</v>
  </rv>
  <rv s="0">
    <v>https://www.bing.com/financeapi/forcetrigger?t=boh5zr&amp;q=BMEX%3aYVIV&amp;form=skydnc</v>
    <v>Learn more on Bing</v>
  </rv>
  <rv s="11">
    <v>pt-BR</v>
    <v>boh5zr</v>
    <v>268435456</v>
    <v>1</v>
    <v>Da plataforma Refinitiv</v>
    <v>30</v>
    <v>31</v>
    <v>Vivenio (BMEX:YVIV)</v>
    <v>3</v>
    <v>32</v>
    <v>Finance</v>
    <v>11</v>
    <v>BMEX</v>
    <v>732298100</v>
    <v>1.35</v>
    <v>2017</v>
    <v>1.35</v>
    <v>-1.4E-2</v>
    <v>Bolsas y Mercados Espanoles</v>
    <v>973956500</v>
    <v xml:space="preserve">Vivenio Residencial SOCIMI SA is a Spain-based real estate company, which aims to develop, acquire and manage residential properties in Spain. </v>
    <v>BMEX</v>
    <v>1.36</v>
    <v>93</v>
    <v>46076.708333333336</v>
    <v>201</v>
    <v>EUR</v>
    <v>Vivenio</v>
    <v>Vivenio</v>
    <v>13.1553</v>
    <v>1.35</v>
    <v>1.35</v>
    <v>Velazquez 51, 1 I, MADRID, MADRID, 28001 ES</v>
    <v>Residential &amp; Commercial REIT</v>
    <v>YVIV</v>
    <v>Ações</v>
    <v>Vivenio (BMEX:YVIV)</v>
    <v>-0.01</v>
    <v>-7.3529999999999993E-3</v>
    <v>900</v>
  </rv>
  <rv s="2">
    <v>202</v>
  </rv>
  <rv s="0">
    <v>https://www.bing.com/financeapi/forcetrigger?t=amfszr&amp;q=BMEX%3aCASH&amp;form=skydnc</v>
    <v>Learn more on Bing</v>
  </rv>
  <rv s="8">
    <v>pt-BR</v>
    <v>amfszr</v>
    <v>268435456</v>
    <v>1</v>
    <v>Da plataforma Refinitiv</v>
    <v>19</v>
    <v>20</v>
    <v>Prosegur Cash (BMEX:CASH)</v>
    <v>3</v>
    <v>21</v>
    <v>Finance</v>
    <v>11</v>
    <v>0.78900000000000003</v>
    <v>0.58799999999999997</v>
    <v>BMEX</v>
    <v>1473235000</v>
    <v>0.68</v>
    <v>2016</v>
    <v>0.67</v>
    <v>0.57889999999999997</v>
    <v>Bolsas y Mercados Espanoles</v>
    <v>985594500</v>
    <v>Prosegur Cash SA, formerly Prosegur Cit Holding SA, is a Spain-based company engaged in the provision of security services. The Company’s activities are divided into three business areas: Logistics, Cash management and Outsourcing. Its Logistics division focuses on the provision of local and international transport services of cash and other valuable goods. Its Cash management division offers counting, processing, custody, preparation and delivery of notes and coins, as well as replenishment of automatic teller machines (ATMs). The Company's outsourcing division includes a number of support financial services, such as automation of retail operations through self-service cash automatization machines (MAEs), ATMs management, as well as branch forecasting, reconciliation, settlement and credit card support services. The Company operates through own branches and joint ventures in Europe, Central and South America, Africa, Asia and Australia. It operates through Contesta Teleservicios SAU.</v>
    <v>BMEX</v>
    <v>0.66900000000000004</v>
    <v>55009</v>
    <v>46237.666666666664</v>
    <v>204</v>
    <v>778990</v>
    <v>EUR</v>
    <v>Prosegur Cash</v>
    <v>Prosegur Cash</v>
    <v>10.888500000000001</v>
    <v>0.67</v>
    <v>0.67400000000000004</v>
    <v>Calle Santa Sabina 8, MADRID, MADRID, 28007 ES</v>
    <v>Professional &amp; Commercial Services</v>
    <v>CASH</v>
    <v>Ações</v>
    <v>Prosegur Cash (BMEX:CASH)</v>
    <v>5.0000000000000001E-3</v>
    <v>7.4739999999999997E-3</v>
    <v>454381</v>
  </rv>
  <rv s="2">
    <v>205</v>
  </rv>
  <rv s="0">
    <v>https://www.bing.com/financeapi/forcetrigger?t=amft3m&amp;q=BMEX%3aCBAV&amp;form=skydnc</v>
    <v>Learn more on Bing</v>
  </rv>
  <rv s="6">
    <v>pt-BR</v>
    <v>amft3m</v>
    <v>268435456</v>
    <v>1</v>
    <v>Da plataforma Refinitiv</v>
    <v>13</v>
    <v>14</v>
    <v>Clinica Baviera (BMEX:CBAV)</v>
    <v>3</v>
    <v>15</v>
    <v>Finance</v>
    <v>11</v>
    <v>61.8</v>
    <v>40.1</v>
    <v>BMEX</v>
    <v>16307580</v>
    <v>61.4</v>
    <v>59.2</v>
    <v>0.71850000000000003</v>
    <v>Bolsas y Mercados Espanoles</v>
    <v>971931800</v>
    <v>Clinica Baviera SA is a Spain-based company engaged in the healthcare sector. The Company focuses on providing services within the field of ophthalmic medicine. The Company is specialized in the diagnosis and treatment of eye disorders, including myopia, hyperopia, astigmatism, cataracts, glaucoma, vitreous-retina and strabismus, among others. The Company operates a network of clinics located in various European countries, such as Spain, Germany, Austria and Italy. The Company is a parent of the Baviera Group, a group that comprises a number of controlled entities, including Clinica Baviera Italia Srl, Clinica Baviera Mallorca SL, Care Vision Germany GmbH and Castellana de Intermediacion Sanitaria SL, among others.</v>
    <v>BMEX</v>
    <v>59.6</v>
    <v>2009</v>
    <v>46237.666666666664</v>
    <v>207</v>
    <v>1590</v>
    <v>EUR</v>
    <v>Clinica Baviera</v>
    <v>Clinica Baviera</v>
    <v>21.2944</v>
    <v>60</v>
    <v>61</v>
    <v>Paseo de la Castellana 20, MADRID, MADRID, 28046 ES</v>
    <v>Healthcare Providers &amp; Services</v>
    <v>CBAV</v>
    <v>Ações</v>
    <v>Clinica Baviera (BMEX:CBAV)</v>
    <v>1.4</v>
    <v>2.349E-2</v>
    <v>4448</v>
  </rv>
  <rv s="2">
    <v>208</v>
  </rv>
  <rv s="0">
    <v>https://www.bing.com/financeapi/forcetrigger?t=amg1zr&amp;q=BMEX%3aR4&amp;form=skydnc</v>
    <v>Learn more on Bing</v>
  </rv>
  <rv s="8">
    <v>pt-BR</v>
    <v>amg1zr</v>
    <v>268435456</v>
    <v>1</v>
    <v>Da plataforma Refinitiv</v>
    <v>19</v>
    <v>20</v>
    <v>Renta 4 Banco (BMEX:R4)</v>
    <v>3</v>
    <v>21</v>
    <v>Finance</v>
    <v>11</v>
    <v>21</v>
    <v>16.7</v>
    <v>BMEX</v>
    <v>40693200</v>
    <v>19.350000000000001</v>
    <v>2013</v>
    <v>19.350000000000001</v>
    <v>0.15809999999999999</v>
    <v>Bolsas y Mercados Espanoles</v>
    <v>791482800</v>
    <v>Renta 4 Banco SA is a Spain-based financial institution principally engaged, through its subsidiaries, in the investment banking sector. The Bank divides its activities into three main areas: Brokerage Services, which involves the sale and purchase of securities in the domestic and international markets, as well as the sale of Collective Investment Institutions (CIIs) and Pension Plans; Asset Management, which involves CII, Pension Fund and Private Wealth management; and Corporate Services, which includes security and CII custodian services, corporate advice, public debt management, the underwriting and placement of issues and public offers, the outsourcing of various services and other corporate services. The Bank operates a network of branches located nationwide, as well as it ownes such subsidiaries as Renta 4 Sociedad de Valores SA, Renta 4 Aragon SA, Renta 4 Huesca SA and Renta 4 Pensiones EGFP SA, among others.</v>
    <v>BMEX</v>
    <v>19.45</v>
    <v>760</v>
    <v>46237.666666666664</v>
    <v>210</v>
    <v>1410</v>
    <v>EUR</v>
    <v>Renta 4 Banco</v>
    <v>Renta 4 Banco</v>
    <v>16.9499</v>
    <v>19.350000000000001</v>
    <v>19.350000000000001</v>
    <v>Paseo de la Habana 74, MADRID, MADRID, 28036 ES</v>
    <v>Investment Banking &amp; Investment Services</v>
    <v>R4</v>
    <v>Ações</v>
    <v>Renta 4 Banco (BMEX:R4)</v>
    <v>-0.1</v>
    <v>-5.1409999999999997E-3</v>
    <v>45</v>
  </rv>
  <rv s="2">
    <v>211</v>
  </rv>
  <rv s="14">
    <v>pt-BR</v>
    <v>ci8gkr</v>
    <v>268435456</v>
    <v>1</v>
    <v>Da plataforma Refinitiv</v>
    <v>40</v>
    <v>41</v>
    <v>Helios Re (BMEX:SCLRE)</v>
    <v>18</v>
    <v>42</v>
    <v>Finance</v>
    <v>43</v>
    <v>8.3000000000000007</v>
    <v>8.27</v>
    <v>BMEX</v>
    <v>83692970</v>
    <v>2014</v>
    <v>0.70509999999999995</v>
    <v>Bolsas y Mercados Espanoles</v>
    <v>Helios RE SOCIMI SA, formerly Lar Espana Real Estate SOCIMI SA, is a Spain-based company primarily engaged in the operation of retail Real Estate Investment Trusts (REITs). The Company focuses exclusively on the ownership, management, and operation of shopping centers and retail parks located throughout Spain. Its portfolio consists of commercial real estate assets designed to generate stable rental income and long-term capital appreciation. Through active asset management, tenant optimization, and strategic property rotation, the Company seeks to enhance operational efficiency and maintain portfolio value over time. The Company's geographical segments are: Andalucia, Pais Vasco, Galicia, Comunidad Valenciana, Castilla-La Mancha, Castilla y Leon, Cataluna, and Comunidad de Madrid.</v>
    <v>BMEX</v>
    <v>8.3000000000000007</v>
    <v>3</v>
    <v>45687.208854166667</v>
    <v>EUR</v>
    <v>Helios Re</v>
    <v>Helios Re</v>
    <v>11.435700000000001</v>
    <v>C/ Maria De Molina 39 - 10 Planta, MADRID, MADRID ES</v>
    <v>Residential &amp; Commercial REIT</v>
    <v>SCLRE</v>
    <v>Ações</v>
    <v>Helios Re (BMEX:SCLRE)</v>
  </rv>
  <rv s="2">
    <v>213</v>
  </rv>
  <rv s="15">
    <v>12</v>
    <v>Preço</v>
    <v>0</v>
  </rv>
  <rv s="0">
    <v>https://www.bing.com/financeapi/forcetrigger?t=bny3oc&amp;q=BMEX%3aEAT&amp;form=skydnc</v>
    <v>Learn more on Bing</v>
  </rv>
  <rv s="6">
    <v>pt-BR</v>
    <v>bny3oc</v>
    <v>268435456</v>
    <v>1</v>
    <v>Da plataforma Refinitiv</v>
    <v>13</v>
    <v>14</v>
    <v>Amrest Holdings (BMEX:EAT)</v>
    <v>3</v>
    <v>44</v>
    <v>Finance</v>
    <v>11</v>
    <v>3.7549999999999999</v>
    <v>2.2999999999999998</v>
    <v>BMEX</v>
    <v>219554200</v>
    <v>2.4900000000000002</v>
    <v>2.4</v>
    <v>0.4657</v>
    <v>Bolsas y Mercados Espanoles</v>
    <v>2270677000</v>
    <v>Amrest Holdings SE is a Spain-based company active in the restaurants and bars sector. The Company’s core activity is operating Kentucky Fried Chicken (KFC), Pizza Hut, Burger King and Starbucks restaurants through its subsidiaries in Poland, the Czech Republic, Hungary, the Russian Federation, Serbia, Croatia, Bulgaria, Spain and France, on the basis of franchises granted, and Applebee’s in the United States. Additionally, in Spain and France the Company operates its own brands La Tagiatella, Trastevere and il Pastificcio. It also operates PizzaPortal.pl, an online portal for ordering food from various restaurants. The Company operates through subsidiaries, such as AmRest Sp z o o, AmRest sro, AmRest doo, AmRest Adria doo, Blue Horizon Hospitality Group PTE, AmRest TAG SL, SC Marinopoulos Coffee Company III Srl and Marinopoulos Coffee Company Bulgaria EOOD, among others.</v>
    <v>BMEX</v>
    <v>2.44</v>
    <v>15981</v>
    <v>46237.666666666664</v>
    <v>216</v>
    <v>50970</v>
    <v>EUR</v>
    <v>Amrest Holdings</v>
    <v>Amrest Holdings</v>
    <v>61.3065</v>
    <v>2.4</v>
    <v>2.4900000000000002</v>
    <v>Paseo de la Castellana, 163, (10A Planta), MADRID, MADRID, 28046 ES</v>
    <v>Hotels &amp; Entertainment Services</v>
    <v>EAT</v>
    <v>Ações</v>
    <v>Amrest Holdings (BMEX:EAT)</v>
    <v>0.05</v>
    <v>2.0492E-2</v>
    <v>13415</v>
  </rv>
  <rv s="2">
    <v>217</v>
  </rv>
  <rv s="0">
    <v>https://www.bing.com/financeapi/forcetrigger?t=amfqh7&amp;q=BMEX%3aADX&amp;form=skydnc</v>
    <v>Learn more on Bing</v>
  </rv>
  <rv s="8">
    <v>pt-BR</v>
    <v>amfqh7</v>
    <v>268435456</v>
    <v>1</v>
    <v>Da plataforma Refinitiv</v>
    <v>19</v>
    <v>20</v>
    <v>Audax Renovables (BMEX:ADX)</v>
    <v>3</v>
    <v>21</v>
    <v>Finance</v>
    <v>11</v>
    <v>1.518</v>
    <v>1.19</v>
    <v>BMEX</v>
    <v>453430800</v>
    <v>1.216</v>
    <v>2000</v>
    <v>1.198</v>
    <v>1.5235000000000001</v>
    <v>Bolsas y Mercados Espanoles</v>
    <v>544116900</v>
    <v>Audax Renovables SA, formerly Fersa Energias Renovables SA, is a Spain-based holding company that is primarily involved in the promotion and development of renewable energy projects. The Company generates electricity from renewable sources, such as wind energy and to lesser extent solar energy. The Company’s installed power in Spain is 139.3 Megawatt (MW), and in France is 12 MW, as well as the Company has two wind farms operating in India, Gadaj and Hanumanhati, with total installed capacity of 81.6 MW. The Company operates through its subsidiaries in Spain, France and India, which include Eolica El Pedregoso SL, Eolica del Pino SL, Parque Eolica Hinojal SL, Gestora Fotovoltaica de Castellon SL and Parc Eolic Mudefer SL, Eolinnes de Beausemblant SAS, Generacion Eolica India Limited and EN Renewable Energy Limited.</v>
    <v>BMEX</v>
    <v>1.2</v>
    <v>835</v>
    <v>46237.666666666664</v>
    <v>219</v>
    <v>110200</v>
    <v>EUR</v>
    <v>Audax Renovables</v>
    <v>Audax Renovables</v>
    <v>27.540199999999999</v>
    <v>1.202</v>
    <v>1.198</v>
    <v>Calle de la Electronica, n 19, planta 7, puerta C, BADALONA, BARCELONA, 08915 ES</v>
    <v>Multiline Utilities</v>
    <v>ADX</v>
    <v>Ações</v>
    <v>Audax Renovables (BMEX:ADX)</v>
    <v>-2E-3</v>
    <v>-1.6669999999999999E-3</v>
    <v>115845</v>
  </rv>
  <rv s="2">
    <v>220</v>
  </rv>
  <rv s="0">
    <v>https://www.bing.com/financeapi/forcetrigger?t=awnuim&amp;q=BMEX%3aYZBL&amp;form=skydnc</v>
    <v>Learn more on Bing</v>
  </rv>
  <rv s="11">
    <v>pt-BR</v>
    <v>awnuim</v>
    <v>268435456</v>
    <v>1</v>
    <v>Da plataforma Refinitiv</v>
    <v>30</v>
    <v>31</v>
    <v>Zambal Spain (BMEX:YZBL)</v>
    <v>3</v>
    <v>32</v>
    <v>Finance</v>
    <v>11</v>
    <v>BMEX</v>
    <v>646006500</v>
    <v>0.94499999999999995</v>
    <v>2013</v>
    <v>0.94499999999999995</v>
    <v>6.1400000000000003E-2</v>
    <v>Bolsas y Mercados Espanoles</v>
    <v>584635900</v>
    <v>Zambal Spain Socimi SA is a Spain-based company primarily engaged in the operation of commercial real estate investment trust (REIT). The Company specializes in the acquisition, development and leasing of urban properties. Its real estate portfolio comprises offices and retail properties, which are located in Madrid and Barcelona, Spain. It focuses on long-term investments in stable assets. The Company's portfolio is managed by IBA Capital Partners SL. Furthermore, the Company is a subsidiary of Altaya Pte Ltd.</v>
    <v>BMEX</v>
    <v>0.93500000000000005</v>
    <v>1</v>
    <v>46192.666666666664</v>
    <v>222</v>
    <v>EUR</v>
    <v>Zambal Spain</v>
    <v>Zambal Spain</v>
    <v>28.281300000000002</v>
    <v>0.94499999999999995</v>
    <v>0.94499999999999995</v>
    <v>C/ Ortega y Gasset 11, 1 Drch., MADRID, MADRID, 28006 ES</v>
    <v>Residential &amp; Commercial REIT</v>
    <v>YZBL</v>
    <v>Ações</v>
    <v>Zambal Spain (BMEX:YZBL)</v>
    <v>0.01</v>
    <v>1.0695E-2</v>
    <v>500</v>
  </rv>
  <rv s="2">
    <v>223</v>
  </rv>
  <rv s="0">
    <v>https://www.bing.com/financeapi/forcetrigger?t=amfwr7&amp;q=BMEX%3aGSJ&amp;form=skydnc</v>
    <v>Learn more on Bing</v>
  </rv>
  <rv s="8">
    <v>pt-BR</v>
    <v>amfwr7</v>
    <v>268435456</v>
    <v>1</v>
    <v>Da plataforma Refinitiv</v>
    <v>19</v>
    <v>20</v>
    <v>Grupo Sanjose (BMEX:GSJ)</v>
    <v>3</v>
    <v>21</v>
    <v>Finance</v>
    <v>11</v>
    <v>9.5500000000000007</v>
    <v>6.05</v>
    <v>BMEX</v>
    <v>65026080</v>
    <v>8.3800000000000008</v>
    <v>1987</v>
    <v>8.07</v>
    <v>1.0347</v>
    <v>Bolsas y Mercados Espanoles</v>
    <v>539716500</v>
    <v>Grupo Empresarial San Jose SA is a Spain-based holding company. The Company’s main activities are structured in four business areas: Construction, which comprises the construction, design and execution of public and private infrastructure projects; Real Estate, which specializes in the acquisition and development of residential and non-residential properties; Energy and Environment, focused on the initiation, development and operation of energy efficiency projects using renewable energy, and Concessions and Services, which includes the management, operation, exploitation and maintenance of infrastructure, hospitals, public and private facilities, urban real estate, parks and gardens. The Company is a parent of such a number of controlled entities as Constructora San Jose SA, Cartuja Inmobiliaria SAU, Desarrollos Urbanisticos Udra SAU, San Pablo Plaza SAU and Comercial Udra SA.</v>
    <v>BMEX</v>
    <v>8.3000000000000007</v>
    <v>4650</v>
    <v>46237.666666666664</v>
    <v>225</v>
    <v>75630</v>
    <v>EUR</v>
    <v>Grupo Sanjose</v>
    <v>Grupo Sanjose</v>
    <v>11.6454</v>
    <v>8.26</v>
    <v>8.2100000000000009</v>
    <v>C/Rosalia de Castro, 44, PONTEVEDRA, PONTEVEDRA, 36001 ES</v>
    <v>Construction &amp; Engineering</v>
    <v>GSJ</v>
    <v>Ações</v>
    <v>Grupo Sanjose (BMEX:GSJ)</v>
    <v>-0.09</v>
    <v>-1.0843E-2</v>
    <v>77182</v>
  </rv>
  <rv s="2">
    <v>226</v>
  </rv>
  <rv s="0">
    <v>https://www.bing.com/financeapi/forcetrigger?t=amfv52&amp;q=BMEX%3aENC&amp;form=skydnc</v>
    <v>Learn more on Bing</v>
  </rv>
  <rv s="16">
    <v>pt-BR</v>
    <v>amfv52</v>
    <v>268435456</v>
    <v>1</v>
    <v>Da plataforma Refinitiv</v>
    <v>45</v>
    <v>46</v>
    <v>Ence Energia (BMEX:ENC)</v>
    <v>3</v>
    <v>47</v>
    <v>Finance</v>
    <v>11</v>
    <v>2.95</v>
    <v>2.14</v>
    <v>BMEX</v>
    <v>246272500</v>
    <v>2.6120000000000001</v>
    <v>2.57</v>
    <v>0.6</v>
    <v>Bolsas y Mercados Espanoles</v>
    <v>632920300</v>
    <v xml:space="preserve">Ence Energia y Celulosa SA, formerly Grupo Empresarial ENCE SA, is a Spain-based company engaged in the operation of pulp mills. The Company's activities are divided into two business units: Pulp and Energy. The Pulp business unit is subdivided into three segments: Pulp, manufacturing pulp and pulp derivatives, such as lignin and biomass, as well as co-generating energy; Forest Management, providing forest crops and wood raw materials, and Forest Services &amp; Other, including residual business activities, as well as forest support services. The Energy business unit focuses on generating energy using forestry and agricultural biomass, as well as, thermos and solar electric energy generation. The Company operates pulp mills and power generation plants in Spain. </v>
    <v>BMEX</v>
    <v>2.57</v>
    <v>1311</v>
    <v>46237.666666666664</v>
    <v>228</v>
    <v>595790</v>
    <v>EUR</v>
    <v>Ence Energia</v>
    <v>Ence Energia</v>
    <v>2.57</v>
    <v>2.5739999999999998</v>
    <v>C. de Estebanez Calderon, 3-5, 2a planta, MADRID, MADRID ES</v>
    <v>Paper &amp; Forest Products</v>
    <v>ENC</v>
    <v>Ações</v>
    <v>Ence Energia (BMEX:ENC)</v>
    <v>4.0000000000000001E-3</v>
    <v>1.5559999999999999E-3</v>
    <v>223345</v>
  </rv>
  <rv s="2">
    <v>229</v>
  </rv>
  <rv s="0">
    <v>https://www.bing.com/financeapi/forcetrigger?t=amfysm&amp;q=BMEX%3aMCM&amp;form=skydnc</v>
    <v>Learn more on Bing</v>
  </rv>
  <rv s="6">
    <v>pt-BR</v>
    <v>amfysm</v>
    <v>268435456</v>
    <v>1</v>
    <v>Da plataforma Refinitiv</v>
    <v>13</v>
    <v>14</v>
    <v>Miquel Y Costas (BMEX:MCM)</v>
    <v>3</v>
    <v>15</v>
    <v>Finance</v>
    <v>11</v>
    <v>15</v>
    <v>13</v>
    <v>BMEX</v>
    <v>40000000</v>
    <v>13.7</v>
    <v>13.6</v>
    <v>9.3700000000000006E-2</v>
    <v>Bolsas y Mercados Espanoles</v>
    <v>542000000</v>
    <v>Miquel y Costas &amp; Miquel SA is a Spain-based company primarily engaged, through its subsidiaries, in the production of fine and lightweight paper used in the tobacco industry. The Company’s products are distributed both domestically and abroad, and also include printing, writing, rolling and specialty papers, as well as textile pulps. The Company is a parent of Grupo Miquel y Costas, a group which comprises such companies as SA Paya Miralles, Celulosa de Levante SA, Papeles Anoia SA, Desvi SA, Sociedad Espanola Zig Zag SA, MB Papeles Especiales SA, Miquel y Costas Tecnologias SA, Proyectos Energeticos MB SA and Terranova Papers SA. In addition, it operates the Besos and Pla de la Barquera production plants, which are located in the province of Barcelona, and the Mislata production plant, located in the province of Valencia.</v>
    <v>BMEX</v>
    <v>13.55</v>
    <v>915</v>
    <v>46237.666666666664</v>
    <v>231</v>
    <v>3780</v>
    <v>EUR</v>
    <v>Miquel Y Costas</v>
    <v>Miquel Y Costas</v>
    <v>11.406499999999999</v>
    <v>13.7</v>
    <v>13.6</v>
    <v>Tuset 8-10, 7a Planta, BARCELONA, BARCELONA, 08006 ES</v>
    <v>Paper &amp; Forest Products</v>
    <v>MCM</v>
    <v>Ações</v>
    <v>Miquel Y Costas (BMEX:MCM)</v>
    <v>0.05</v>
    <v>3.6900000000000001E-3</v>
    <v>1836</v>
  </rv>
  <rv s="2">
    <v>232</v>
  </rv>
  <rv s="0">
    <v>https://www.bing.com/financeapi/forcetrigger?t=amfu5r&amp;q=BMEX%3aDOM&amp;form=skydnc</v>
    <v>Learn more on Bing</v>
  </rv>
  <rv s="8">
    <v>pt-BR</v>
    <v>amfu5r</v>
    <v>268435456</v>
    <v>1</v>
    <v>Da plataforma Refinitiv</v>
    <v>19</v>
    <v>20</v>
    <v>Global Dominion (BMEX:DOM)</v>
    <v>3</v>
    <v>21</v>
    <v>Finance</v>
    <v>11</v>
    <v>3.5550000000000002</v>
    <v>2.7349999999999999</v>
    <v>BMEX</v>
    <v>151140000</v>
    <v>2.89</v>
    <v>1999</v>
    <v>2.83</v>
    <v>0.47320000000000001</v>
    <v>Bolsas y Mercados Espanoles</v>
    <v>427726300</v>
    <v xml:space="preserve">Global Dominion Access SA is a Spain-based global services and projects company. It operates through three segments: Business to Business (B2B) 360º Projects, B2B Services and Business to Customers (B2C). Its B2B 360º projects covers new production process or new infrastructure projects, offering design, implementation and maintenance of the same. Its B2B Services covers operation and maintenance outsourcing and process improvement projects. Its B2C comprises end customer-oriented activities, such as marketing of electricity, gas supplies, telecommunications services, insurance and other services in the household. The Company focuses on the B2B area and specializes in the technology and telecommunications (T&amp;T), industry and energy fields targeting a wide and diverse range of sectors, including health, education, telecommunications, transport, logistics and public administration, business services, industrial, oil &amp; gas and renewable energies, among others. </v>
    <v>BMEX</v>
    <v>2.83</v>
    <v>11539</v>
    <v>46237.666666666664</v>
    <v>234</v>
    <v>338290</v>
    <v>EUR</v>
    <v>Global Dominion</v>
    <v>Global Dominion</v>
    <v>34.681399999999996</v>
    <v>2.83</v>
    <v>2.835</v>
    <v>3 Pio Baroja Place, 1st Floor, BILBAO, VIZCAYA, 48001 ES</v>
    <v>Professional &amp; Commercial Services</v>
    <v>DOM</v>
    <v>Ações</v>
    <v>Global Dominion (BMEX:DOM)</v>
    <v>5.0000000000000001E-3</v>
    <v>1.7669999999999999E-3</v>
    <v>240004</v>
  </rv>
  <rv s="2">
    <v>235</v>
  </rv>
  <rv s="0">
    <v>https://www.bing.com/financeapi/forcetrigger?t=bny4nm&amp;q=BMEX%3aYATO&amp;form=skydnc</v>
    <v>Learn more on Bing</v>
  </rv>
  <rv s="13">
    <v>pt-BR</v>
    <v>bny4nm</v>
    <v>268435456</v>
    <v>1</v>
    <v>Da plataforma Refinitiv</v>
    <v>37</v>
    <v>38</v>
    <v>Atom Hoteles (BMEX:YATO)</v>
    <v>3</v>
    <v>39</v>
    <v>Finance</v>
    <v>11</v>
    <v>BMEX</v>
    <v>32288750</v>
    <v>17.600000000000001</v>
    <v>2018</v>
    <v>17.600000000000001</v>
    <v>0.1173</v>
    <v>Bolsas y Mercados Espanoles</v>
    <v>565053100</v>
    <v>Atom Hoteles Socimi SA is a Spain-based company active as a real estate investment trust. The Company’s purpose is the acquisition, management, administration and promotion of real estate assets of an urban nature for its lease with a specialization in hotel real estate assets. The portfolio of hotel assets is equitably constituted between assets of an urban nature and assets of a holiday nature. The Company manages more than 20 assets and around 30 business premises, as well as more than 1.100 parking spaces and more than 5.000 rooms. The Company focuses on the hotel industry and operates its hotels and other assets within Spanish territory. It is constituted by Bankinter and Global Myner Advisors Capital Invest SL.</v>
    <v>BMEX</v>
    <v>17.5</v>
    <v>1</v>
    <v>46237.666666666664</v>
    <v>237</v>
    <v>290</v>
    <v>EUR</v>
    <v>Atom Hoteles</v>
    <v>Atom Hoteles</v>
    <v>10.6409</v>
    <v>17.600000000000001</v>
    <v>17.600000000000001</v>
    <v>Paseo del Club Deportivo 1, Edificio 11 (Parque Empresarial La Finca), POZUELO DE ALARCON, MADRID, 28223 ES</v>
    <v>Residential &amp; Commercial REIT</v>
    <v>YATO</v>
    <v>Ações</v>
    <v>Atom Hoteles (BMEX:YATO)</v>
    <v>0.1</v>
    <v>5.7140000000000003E-3</v>
    <v>286</v>
  </rv>
  <rv s="2">
    <v>238</v>
  </rv>
  <rv s="0">
    <v>https://www.bing.com/financeapi/forcetrigger?t=amfzxm&amp;q=BMEX%3aOHLA&amp;form=skydnc</v>
    <v>Learn more on Bing</v>
  </rv>
  <rv s="6">
    <v>pt-BR</v>
    <v>amfzxm</v>
    <v>268435456</v>
    <v>1</v>
    <v>Da plataforma Refinitiv</v>
    <v>13</v>
    <v>14</v>
    <v>OHL (BMEX:OHLA)</v>
    <v>3</v>
    <v>15</v>
    <v>Finance</v>
    <v>11</v>
    <v>0.52900000000000003</v>
    <v>0.33800000000000002</v>
    <v>BMEX</v>
    <v>1383432000</v>
    <v>0.43819999999999998</v>
    <v>0.42780000000000001</v>
    <v>1.1206</v>
    <v>Bolsas y Mercados Espanoles</v>
    <v>597642800</v>
    <v>Obrascon Huarte Lain SA (OHL) is a Spain-based company engaged in the construction and engineering sectors. Its activities are structured into three segments: Concessions, Engineering and construction, as well as Development. The Concessions division focuses on the promotion, development and management of a range of transportation infrastructure, such as highways, railways, airports and ports. The Engineering and construction division comprises three business lines: Construction, which is responsible for building civil infrastructure; Industrial, which is involved in the construction, maintenance and operation of industrial plants, and Services, which includes cleaning and maintenance of buildings and public roads, waste management and green area conservation. The Development division promotes and manages tourist resorts and commercial centers. The Company, through its subsidiaries, is present in the Americas, Europe, Asia, Africa and Oceania. It is controlled by Grupo Villar Mir SAU.</v>
    <v>BMEX</v>
    <v>0.432</v>
    <v>7218</v>
    <v>46237.666666666664</v>
    <v>240</v>
    <v>7631100</v>
    <v>EUR</v>
    <v>OHL</v>
    <v>OHL</v>
    <v>18.1004</v>
    <v>0.437</v>
    <v>0.43259999999999998</v>
    <v>Torre Emperador. Paseo de la Castellana, 259, MADRID, MADRID, 28046 ES</v>
    <v>Construction &amp; Engineering</v>
    <v>OHLA</v>
    <v>Ações</v>
    <v>OHL (BMEX:OHLA)</v>
    <v>5.9999999999999995E-4</v>
    <v>1.389E-3</v>
    <v>6930896</v>
  </rv>
  <rv s="2">
    <v>241</v>
  </rv>
  <rv s="0">
    <v>https://www.bing.com/financeapi/forcetrigger?t=amfr27&amp;q=BMEX%3aALC&amp;form=skydnc</v>
    <v>Learn more on Bing</v>
  </rv>
  <rv s="8">
    <v>pt-BR</v>
    <v>amfr27</v>
    <v>268435456</v>
    <v>1</v>
    <v>Da plataforma Refinitiv</v>
    <v>19</v>
    <v>20</v>
    <v>Altia (BMEX:ALC)</v>
    <v>3</v>
    <v>21</v>
    <v>Finance</v>
    <v>11</v>
    <v>7</v>
    <v>2.25</v>
    <v>BMEX</v>
    <v>68781850</v>
    <v>7</v>
    <v>1994</v>
    <v>7</v>
    <v>-7.5600000000000001E-2</v>
    <v>Bolsas y Mercados Espanoles</v>
    <v>467716600</v>
    <v>Altia Consultores SA is a Spain-based company primarily engaged in the provision of information technology (IT) services. The Company's activities are divided into three business areas: Services, Products and Managed Services. The Services area offers IT and busness advisory services, development of IT systems, outsourcing, as well as complementary hardware and software, among others. The Products line is responsible for the development of software platforms, such as Flexia and Mercurio. The Managed Services division provides customized, long-term solutions, including business continuity plan in case of information loss, infrastructure as a service (IaaS), as well as management and monitoring of IT systems, among others. The Company cooperates with a numner of entites, such as IBM, McAfee, Hewlett-Packard (HP), Hitachi Data Systems, Oracle and Microsoft. It is a subsidiary of Boxleo Tic SL.</v>
    <v>BMEX</v>
    <v>6.8</v>
    <v>4046</v>
    <v>46237.666666666664</v>
    <v>243</v>
    <v>590</v>
    <v>EUR</v>
    <v>Altia</v>
    <v>Altia</v>
    <v>22.801300000000001</v>
    <v>7</v>
    <v>7</v>
    <v>C/ Vulcano, 3 (Poligono ICARIA III), OLEIROS, LA CORUNA, 15172 ES</v>
    <v>Software &amp; IT Services</v>
    <v>ALC</v>
    <v>Ações</v>
    <v>Altia (BMEX:ALC)</v>
    <v>0.2</v>
    <v>2.9411999999999997E-2</v>
    <v>2969</v>
  </rv>
  <rv s="2">
    <v>244</v>
  </rv>
  <rv s="0">
    <v>https://www.bing.com/financeapi/forcetrigger?t=amg1oc&amp;q=BMEX%3aPRS&amp;form=skydnc</v>
    <v>Learn more on Bing</v>
  </rv>
  <rv s="9">
    <v>pt-BR</v>
    <v>amg1oc</v>
    <v>268435456</v>
    <v>1</v>
    <v>Da plataforma Refinitiv</v>
    <v>24</v>
    <v>25</v>
    <v>Promotora de (BMEX:PRS)</v>
    <v>3</v>
    <v>26</v>
    <v>Finance</v>
    <v>11</v>
    <v>3.85</v>
    <v>2.7160000000000002</v>
    <v>BMEX</v>
    <v>134914200</v>
    <v>3.03</v>
    <v>1972</v>
    <v>2.8940000000000001</v>
    <v>0.92049999999999998</v>
    <v>Bolsas y Mercados Espanoles</v>
    <v>408790100</v>
    <v>Promotora de Informaciones SA (PRISA) is a Spain-based company primarily engaged in the consumer publishing sector. The Company’s activities are divided into four business segments: Education, which focuses on the sale of educational books, as well as services and materials related to the education systems under Santillana brand name; Radio, which operates radio network stations, such as Cadena Ser, Kebuena and ADN Radio, as well as organizes and manages entertainment events; Press, which includes the release and distribution of newspapers, magazines, supplements, collectible products and other periodical publications, such as El Pais, Cinco Dias and El Huffington Post, and Audiovisual, which provides cable and satellite television services intended for the production of audiovisual content, as well as production and marketing of digital content for news, entertainment and education. PRISA operates in Spain, Portugal, Chile, Colombia, Brazil and Mexico, among others.</v>
    <v>BMEX</v>
    <v>3.03</v>
    <v>7476</v>
    <v>46237.666666666664</v>
    <v>246</v>
    <v>16220</v>
    <v>EUR</v>
    <v>Promotora de</v>
    <v>Promotora de</v>
    <v>2.8940000000000001</v>
    <v>2.9780000000000002</v>
    <v>Gran Via, 32, MADRID, MADRID, 28013 ES</v>
    <v>Media &amp; Publishing</v>
    <v>PRS</v>
    <v>Ações</v>
    <v>Promotora de (BMEX:PRS)</v>
    <v>-5.1999999999999998E-2</v>
    <v>-1.7162E-2</v>
    <v>22258</v>
  </rv>
  <rv s="2">
    <v>247</v>
  </rv>
  <rv s="0">
    <v>https://www.bing.com/financeapi/forcetrigger?t=amg47w&amp;q=BMEX%3aTUB&amp;form=skydnc</v>
    <v>Learn more on Bing</v>
  </rv>
  <rv s="9">
    <v>pt-BR</v>
    <v>amg47w</v>
    <v>268435456</v>
    <v>1</v>
    <v>Da plataforma Refinitiv</v>
    <v>24</v>
    <v>25</v>
    <v>Tubacex (BMEX:TUB)</v>
    <v>3</v>
    <v>26</v>
    <v>Finance</v>
    <v>11</v>
    <v>3.77</v>
    <v>2.6970000000000001</v>
    <v>BMEX</v>
    <v>126549200</v>
    <v>3.12</v>
    <v>1963</v>
    <v>3.06</v>
    <v>0.95440000000000003</v>
    <v>Bolsas y Mercados Espanoles</v>
    <v>384077000</v>
    <v>Tubacex SA is a Spain-based company primarily engaged, through its subsidiaries, in the steel industry. The Company's main activity is the manufacture, distribution and sale of seamless stainless steel tubes and pipes. The Company’s product portfolio also includes hollow bars, steel and fittings. It has operations established in Europe, the Americas and Asia.The Company is a parent of Grupo Tubacex, a group, which comprises a number of controlled entities, including Aceria de Alava SA, Tubacex Tubos Inoxidables SA, Schoeller-Bleckmann Edelstahlrohr Inmobilien AG, Salem Tube Inc, Tubacex Taylor Accesorios SA and Metaux Inox Services SAS, among others.</v>
    <v>BMEX</v>
    <v>3.0350000000000001</v>
    <v>2755</v>
    <v>46237.666666666664</v>
    <v>249</v>
    <v>232020</v>
    <v>EUR</v>
    <v>Tubacex</v>
    <v>Tubacex</v>
    <v>3.0750000000000002</v>
    <v>3.08</v>
    <v>Tres Cruces 8, LLODIO, ALAVA, 01400 ES</v>
    <v>Metals &amp; Mining</v>
    <v>TUB</v>
    <v>Ações</v>
    <v>Tubacex (BMEX:TUB)</v>
    <v>4.4999999999999998E-2</v>
    <v>1.4827E-2</v>
    <v>161348</v>
  </rv>
  <rv s="2">
    <v>250</v>
  </rv>
  <rv s="0">
    <v>https://www.bing.com/financeapi/forcetrigger?t=bjsfyc&amp;q=BMEX%3aNXT&amp;form=skydnc</v>
    <v>Learn more on Bing</v>
  </rv>
  <rv s="8">
    <v>pt-BR</v>
    <v>bjsfyc</v>
    <v>268435456</v>
    <v>1</v>
    <v>Da plataforma Refinitiv</v>
    <v>19</v>
    <v>20</v>
    <v>Nue Expres Txtl (BMEX:NXT)</v>
    <v>3</v>
    <v>21</v>
    <v>Finance</v>
    <v>11</v>
    <v>1.1080000000000001</v>
    <v>0.47399999999999998</v>
    <v>BMEX</v>
    <v>430705500</v>
    <v>1.0740000000000001</v>
    <v>1971</v>
    <v>1.036</v>
    <v>0.75490000000000002</v>
    <v>Bolsas y Mercados Espanoles</v>
    <v>457409300</v>
    <v>Nueva Expresion Textil SA, formerly Dogi International Fabrics SA is a Spain-based company primarily engaged in the textile industry. The Company specializes in the production and sale of elastic fabrics, as well as in the knitting and dyeing of textile fibers. Its facilities comprise production plants in Spain, China and the United States. The Company’s product lines include fabrics for lingerie, swimwear and sportswear, which are marketed under such brand names as Cristal, Dazzling, Sari, Liquid, Winn, Cooper and Invisible, among others. The Company involves in the fashion sector in the creation of stretch knit fabric and garment manufacturing, in addition to being a reference for brands around the world, including luxury brands. It also offers a personalized system, which vertically integrates all phases of the production process, from fabric design to garment construction.</v>
    <v>BMEX</v>
    <v>1.0620000000000001</v>
    <v>363</v>
    <v>46237.666666666664</v>
    <v>252</v>
    <v>816450</v>
    <v>EUR</v>
    <v>Nue Expres Txtl</v>
    <v>Nue Expres Txtl</v>
    <v>113.6957</v>
    <v>1.07</v>
    <v>1.046</v>
    <v>Isabel Colbrand 10- Pl. 5 Of 130, MADRID, MADRID, 28050 ES</v>
    <v>Textiles &amp; Apparel</v>
    <v>NXT</v>
    <v>Ações</v>
    <v>Nue Expres Txtl (BMEX:NXT)</v>
    <v>-1.6E-2</v>
    <v>-1.5066E-2</v>
    <v>553016</v>
  </rv>
  <rv s="2">
    <v>253</v>
  </rv>
  <rv s="0">
    <v>https://www.bing.com/financeapi/forcetrigger?t=bn11jc&amp;q=BMEX%3aYTST&amp;form=skydnc</v>
    <v>Learn more on Bing</v>
  </rv>
  <rv s="13">
    <v>pt-BR</v>
    <v>bn11jc</v>
    <v>268435456</v>
    <v>1</v>
    <v>Da plataforma Refinitiv</v>
    <v>37</v>
    <v>38</v>
    <v>Testa Residencia (BMEX:YTST)</v>
    <v>3</v>
    <v>39</v>
    <v>Finance</v>
    <v>11</v>
    <v>BMEX</v>
    <v>132270200</v>
    <v>3.18</v>
    <v>2001</v>
    <v>3.18</v>
    <v>-1.72E-2</v>
    <v>Bolsas y Mercados Espanoles</v>
    <v>425910100</v>
    <v>Testa Residencial SOCIMI SA is a Spain-based company active in real estate industry. The Company’s objective are the acquisition, lease and management of residential assets. The Company owns and manages more than 9,000 homes, distributed in the main Spanish regions and cities, such as Andalucia, Navarra or Madrid, among others.</v>
    <v>BMEX</v>
    <v>3.22</v>
    <v>129</v>
    <v>46233.666666666664</v>
    <v>255</v>
    <v>50</v>
    <v>EUR</v>
    <v>Testa Residencia</v>
    <v>Testa Residencia</v>
    <v>5.4081000000000001</v>
    <v>3.18</v>
    <v>3.18</v>
    <v>SANTIAGO DE COMPOSTELA 94 3, MADRID, 28035 ES</v>
    <v>Real Estate Operations</v>
    <v>YTST</v>
    <v>Ações</v>
    <v>Testa Residencia (BMEX:YTST)</v>
    <v>-0.04</v>
    <v>-1.2421999999999999E-2</v>
    <v>16</v>
  </rv>
  <rv s="2">
    <v>256</v>
  </rv>
  <rv s="0">
    <v>https://www.bing.com/financeapi/forcetrigger?t=amfrar&amp;q=BMEX%3aAMP&amp;form=skydnc</v>
    <v>Learn more on Bing</v>
  </rv>
  <rv s="8">
    <v>pt-BR</v>
    <v>amfrar</v>
    <v>268435456</v>
    <v>1</v>
    <v>Da plataforma Refinitiv</v>
    <v>19</v>
    <v>20</v>
    <v>Amper (BMEX:AMP)</v>
    <v>3</v>
    <v>21</v>
    <v>Finance</v>
    <v>11</v>
    <v>5.5</v>
    <v>3.0649999999999999</v>
    <v>BMEX</v>
    <v>91044960</v>
    <v>4.8</v>
    <v>1971</v>
    <v>4.6820000000000004</v>
    <v>1.0773999999999999</v>
    <v>Bolsas y Mercados Espanoles</v>
    <v>431371000</v>
    <v>Amper SA is a Spain-based company primarily engaged in the communication and networking industry. The Company focuses on the manufacture and marketing of telecommunications equipment for voice, data and video transmission, design and installation of integrated communication networks, as well as development of solutions for emergency management and control centers, among others. Its activities are divided into two business lines: Telecommunications, as well as Communication and security. It offers products and services to customers active in various sectors, such as telecommunications, financial, public administration, defense and industrial. The Company operates in Spain, the United States, as well as in the Latin America and South Pacific region. It owns numerous subsidiaries, such as Amper Do Brasil Telecom Ltd, Amper Sistemas SA, DescaTransistemas SA and CTT Peru SAC.</v>
    <v>BMEX</v>
    <v>4.7380000000000004</v>
    <v>2782</v>
    <v>46237.666666666664</v>
    <v>258</v>
    <v>475390</v>
    <v>EUR</v>
    <v>Amper</v>
    <v>Amper</v>
    <v>154.1935</v>
    <v>4.7699999999999996</v>
    <v>4.78</v>
    <v>C/ Virgilio,2 (Edif. 4). Ciudad de la Imagen, POZUELO DE ALARCON, MADRID, 28223 ES</v>
    <v>Communications &amp; Networking</v>
    <v>AMP</v>
    <v>Ações</v>
    <v>Amper (BMEX:AMP)</v>
    <v>4.2000000000000003E-2</v>
    <v>8.8640000000000004E-3</v>
    <v>229667</v>
  </rv>
  <rv s="2">
    <v>259</v>
  </rv>
  <rv s="0">
    <v>https://www.bing.com/financeapi/forcetrigger?t=amg3sm&amp;q=BMEX%3aTLGO&amp;form=skydnc</v>
    <v>Learn more on Bing</v>
  </rv>
  <rv s="9">
    <v>pt-BR</v>
    <v>amg3sm</v>
    <v>268435456</v>
    <v>1</v>
    <v>Da plataforma Refinitiv</v>
    <v>24</v>
    <v>25</v>
    <v>Talgo (BMEX:TLGO)</v>
    <v>3</v>
    <v>26</v>
    <v>Finance</v>
    <v>11</v>
    <v>3.21</v>
    <v>2.52</v>
    <v>BMEX</v>
    <v>134448500</v>
    <v>2.75</v>
    <v>2005</v>
    <v>2.7250000000000001</v>
    <v>1.0322</v>
    <v>Bolsas y Mercados Espanoles</v>
    <v>366372000</v>
    <v>Talgo SA is a Spain-based company primary engaged in the design and manufacture of rolling stock. The Company's activities are divided into three business segments: Rolling stock, Auxiliary machines and Others, as well as General. The Rolling stock division is responsible for the train production, as well as for the maintenance of trains that use the Company's technology. The Auxiliary machines and Others segment provides manufacture and technical service of lathes, as well as sale of related spare parts. The General area includes corporate operations. The Company's product range comprises high speed rolling stock, intercity trains and locomotives, among others. It offers products and services worldwide to a number of railway operators, such as Amtrak, Metrovias, Russian Railways, Metro Beijing, Fertagus, Chiltern Railways, Jernhusen AB and Bochum Trams. The Company operates manufacturing plants in Spain and Kazakhstan.</v>
    <v>BMEX</v>
    <v>2.7250000000000001</v>
    <v>3622</v>
    <v>46237.666666666664</v>
    <v>261</v>
    <v>89520</v>
    <v>EUR</v>
    <v>Talgo</v>
    <v>Talgo</v>
    <v>2.7349999999999999</v>
    <v>2.7250000000000001</v>
    <v>Calle Cuchilleria, 24, VITORIA-GASTEIZ, ALAVA, 01001 ES</v>
    <v>Machinery, Equipment &amp; Components</v>
    <v>TLGO</v>
    <v>Ações</v>
    <v>Talgo (BMEX:TLGO)</v>
    <v>0</v>
    <v>0</v>
    <v>34820</v>
  </rv>
  <rv s="2">
    <v>262</v>
  </rv>
  <rv s="0">
    <v>https://www.bing.com/financeapi/forcetrigger?t=bn13hw&amp;q=BMEX%3aYFID&amp;form=skydnc</v>
    <v>Learn more on Bing</v>
  </rv>
  <rv s="17">
    <v>pt-BR</v>
    <v>bn13hw</v>
    <v>268435456</v>
    <v>1</v>
    <v>Da plataforma Refinitiv</v>
    <v>48</v>
    <v>49</v>
    <v>Fidere Pat (BMEX:YFID)</v>
    <v>3</v>
    <v>50</v>
    <v>Finance</v>
    <v>11</v>
    <v>BMEX</v>
    <v>10074320</v>
    <v>40</v>
    <v>2012</v>
    <v>40</v>
    <v>6.5000000000000002E-2</v>
    <v>Bolsas y Mercados Espanoles</v>
    <v>402973000</v>
    <v>Fidere Patrimonio SOCIMI SA is a Spain-based company engaged in the operation of real estate investment trust (REIT). The Company focuses on the acquisition, development and investment management of residential real estate assets for rental. The Company manages a portfolio of various housing units, primarily located in the metropolitan area of Madrid, Spain. The Company is indirectly controlled by Blackstone Real Estate Partners Europe IV LP through Spanish Residential Reit Holdco SARL. The Company aims to acquire and manage residential rental assets in Spain. Its strategy is aimed at providing the service to its tenants and shareholder returns by generating and increasing recurring income and creating value.</v>
    <v>BMEX</v>
    <v>40</v>
    <v>46167.666666666664</v>
    <v>264</v>
    <v>EUR</v>
    <v>Fidere Pat</v>
    <v>Fidere Pat</v>
    <v>9.7895000000000003</v>
    <v>40</v>
    <v>40</v>
    <v>Paseo de la Castellana, 257, Edificio Hall, MADRID, MADRID, 28046 ES</v>
    <v>Residential &amp; Commercial REIT</v>
    <v>YFID</v>
    <v>Ações</v>
    <v>Fidere Pat (BMEX:YFID)</v>
    <v>0</v>
    <v>0</v>
    <v>4</v>
  </rv>
  <rv s="2">
    <v>265</v>
  </rv>
  <rv s="0">
    <v>https://www.bing.com/financeapi/forcetrigger?t=amfupr&amp;q=BMEX%3aEDR&amp;form=skydnc</v>
    <v>Learn more on Bing</v>
  </rv>
  <rv s="8">
    <v>pt-BR</v>
    <v>amfupr</v>
    <v>268435456</v>
    <v>1</v>
    <v>Da plataforma Refinitiv</v>
    <v>19</v>
    <v>20</v>
    <v>Edreams ES (BMEX:EDR)</v>
    <v>3</v>
    <v>21</v>
    <v>Finance</v>
    <v>11</v>
    <v>9.25</v>
    <v>2.68</v>
    <v>BMEX</v>
    <v>115625100</v>
    <v>5.77</v>
    <v>2021</v>
    <v>5.51</v>
    <v>1.3606</v>
    <v>Bolsas y Mercados Espanoles</v>
    <v>629000300</v>
    <v>Edreams Odigeo SA is a Spain-based online travel company. The Company has active mainly in the flight sector with five brands: eDreams, Go Voyages, Opodo,Travellink and Liligo. The Company offers deals on regular flights, charters, airlines, hotels, car rentals, cruises, holiday packages and travel insurance to its clients. The Company operates through digital platforms, which consist of online portals and mobile applications. The Company also provides advertisers with a platform to reach their target markets in a personalized way, both locally and globally. The Company is focused on adapting its range of services to the needs of each individual customer. The Company has an international presence as it serves customers across 44 countries.</v>
    <v>BMEX</v>
    <v>5.44</v>
    <v>1862</v>
    <v>46237.666666666664</v>
    <v>267</v>
    <v>643870</v>
    <v>EUR</v>
    <v>Edreams ES</v>
    <v>Edreams ES</v>
    <v>12.2493</v>
    <v>5.51</v>
    <v>5.68</v>
    <v>C/ Lopez De Hoyos 35, MADRID, MADRID, 28002 ES</v>
    <v>Hotels &amp; Entertainment Services</v>
    <v>EDR</v>
    <v>Ações</v>
    <v>Edreams ES (BMEX:EDR)</v>
    <v>0.24</v>
    <v>4.4118000000000004E-2</v>
    <v>675680</v>
  </rv>
  <rv s="2">
    <v>268</v>
  </rv>
  <rv s="0">
    <v>https://www.bing.com/financeapi/forcetrigger?t=amfr7w&amp;q=BMEX%3aALNT&amp;form=skydnc</v>
    <v>Learn more on Bing</v>
  </rv>
  <rv s="8">
    <v>pt-BR</v>
    <v>amfr7w</v>
    <v>268435456</v>
    <v>1</v>
    <v>Da plataforma Refinitiv</v>
    <v>19</v>
    <v>20</v>
    <v>Alantra Partners (BMEX:ALNT)</v>
    <v>3</v>
    <v>21</v>
    <v>Finance</v>
    <v>11</v>
    <v>11.25</v>
    <v>7.88</v>
    <v>BMEX</v>
    <v>38631400</v>
    <v>10.199999999999999</v>
    <v>1997</v>
    <v>10.1</v>
    <v>0.48720000000000002</v>
    <v>Bolsas y Mercados Espanoles</v>
    <v>392108800</v>
    <v>Alantra Partners SA, formerly Nmas1 Dinamia SA, is a Spain-based company engaged in the investment management operations. The Company's activities are divided into three business areas: Investment Banking, Asset Management and Wealth Management. The Investment Banking division comprises two departments: Corporate Finance, providing merger and acquisition, capital markets, as well as debt and portfolio advisory, and Equities, offering financial research and brokerage services. The Asset Management division includes promotion, development and management of investment products. The Wealth Management division offers financial advisory to high net worth individuals (HNWI). Its investment portfolio comprises Teltronic, Secuoya, High Tech Hoteles &amp; Resorts, Alcad and Probos, among others. The Company operates in Europe, Asia and the Americas.</v>
    <v>BMEX</v>
    <v>10.15</v>
    <v>590</v>
    <v>46237.666666666664</v>
    <v>270</v>
    <v>12370</v>
    <v>EUR</v>
    <v>Alantra Partners</v>
    <v>Alantra Partners</v>
    <v>17.649100000000001</v>
    <v>10.15</v>
    <v>10.1</v>
    <v>Calle de Jose Ortega y Gasset 29, MADRID, MADRID, 28006 ES</v>
    <v>Investment Banking &amp; Investment Services</v>
    <v>ALNT</v>
    <v>Ações</v>
    <v>Alantra Partners (BMEX:ALNT)</v>
    <v>-0.05</v>
    <v>-4.9259999999999998E-3</v>
    <v>9097</v>
  </rv>
  <rv s="2">
    <v>271</v>
  </rv>
  <rv s="0">
    <v>https://www.bing.com/financeapi/forcetrigger?t=bqrc7w&amp;q=BMEX%3aYMHRE&amp;form=skydnc</v>
    <v>Learn more on Bing</v>
  </rv>
  <rv s="13">
    <v>pt-BR</v>
    <v>bqrc7w</v>
    <v>268435456</v>
    <v>1</v>
    <v>Da plataforma Refinitiv</v>
    <v>37</v>
    <v>38</v>
    <v>Hotei Properties (BMEX:YHTI)</v>
    <v>3</v>
    <v>39</v>
    <v>Finance</v>
    <v>11</v>
    <v>BMEX</v>
    <v>116032500</v>
    <v>3</v>
    <v>2017</v>
    <v>3</v>
    <v>-7.46E-2</v>
    <v>Bolsas y Mercados Espanoles</v>
    <v>350418100</v>
    <v>Hotei Properties Group Socimi SA is a Spain-based real estate investment vehicle. It specializes in developing and investing in high standard hotels in locations in Spain and Portugal. The Company owns a portfolio of assets in both urban areas and consolidated tourism hubs. The Company's main strategy within luxury tourism is based on generating value by acquiring and repositioning hotel assets, whether operational or liable to redevelopment.</v>
    <v>BMEX</v>
    <v>3.02</v>
    <v>60</v>
    <v>46237.666666666664</v>
    <v>273</v>
    <v>550</v>
    <v>EUR</v>
    <v>Hotei Properties</v>
    <v>Hotei Properties</v>
    <v>18.726600000000001</v>
    <v>3</v>
    <v>3</v>
    <v>Calle de Velazquez 47, 4 planta, MADRID, MADRID, 28001 ES</v>
    <v>Residential &amp; Commercial REIT</v>
    <v>YHTI</v>
    <v>Ações</v>
    <v>Hotei Properties (BMEX:YHTI)</v>
    <v>-0.02</v>
    <v>-6.6230000000000004E-3</v>
    <v>72</v>
  </rv>
  <rv s="2">
    <v>274</v>
  </rv>
  <rv s="0">
    <v>https://www.bing.com/financeapi/forcetrigger?t=bsszm7&amp;q=BMEX%3aIZER&amp;form=skydnc</v>
    <v>Learn more on Bing</v>
  </rv>
  <rv s="8">
    <v>pt-BR</v>
    <v>bsszm7</v>
    <v>268435456</v>
    <v>1</v>
    <v>Da plataforma Refinitiv</v>
    <v>19</v>
    <v>20</v>
    <v>Izertis (BMEX:IZER)</v>
    <v>3</v>
    <v>21</v>
    <v>Finance</v>
    <v>11</v>
    <v>11.7</v>
    <v>7.88</v>
    <v>BMEX</v>
    <v>35543980</v>
    <v>8.68</v>
    <v>1998</v>
    <v>8.1999999999999993</v>
    <v>-0.10680000000000001</v>
    <v>Bolsas y Mercados Espanoles</v>
    <v>305678300</v>
    <v xml:space="preserve">Izertis SA is a Spain-based technology digital transformation company. It operates thorough seven segments: Digital Transformation (DXI), Digital Experience (DEX), Smart Software Labs, Business Solutions, Business Operations, Cybersecurity, Technological Infrastructure and Managed Services and Business Consulting, Project &amp; Service Management. DXI specializes in blockchain, artificial intelligence, data science, Internet of things (IoT), computer vision or mixed reality. DEX specializes in creativity, user experience design, marketing and online sales. Smart Software Labs offers customizable software. Business Solutions offers technical consulting services. Business Operations provides outsourcing services. Cybersecurity, Technological Infrastructure and Managed Services covers related consulting and support services. Business Consulting, Project &amp; Service Management offers related consulting services. </v>
    <v>BMEX</v>
    <v>8.6</v>
    <v>2182</v>
    <v>46237.666666666664</v>
    <v>276</v>
    <v>4960</v>
    <v>EUR</v>
    <v>Izertis</v>
    <v>Izertis</v>
    <v>61.560699999999997</v>
    <v>8.1999999999999993</v>
    <v>8.52</v>
    <v>Avda. del Jardin Botanico, 1345, Edificio Intra, GIJON, ASTURIAS, 33203 ES</v>
    <v>Software &amp; IT Services</v>
    <v>IZER</v>
    <v>Ações</v>
    <v>Izertis (BMEX:IZER)</v>
    <v>-0.08</v>
    <v>-9.3019999999999995E-3</v>
    <v>7572</v>
  </rv>
  <rv s="2">
    <v>277</v>
  </rv>
  <rv s="0">
    <v>https://www.bing.com/financeapi/forcetrigger?t=amfumw&amp;q=BMEX%3aECR&amp;form=skydnc</v>
    <v>Learn more on Bing</v>
  </rv>
  <rv s="9">
    <v>pt-BR</v>
    <v>amfumw</v>
    <v>268435456</v>
    <v>1</v>
    <v>Da plataforma Refinitiv</v>
    <v>24</v>
    <v>25</v>
    <v>Ercros (BMEX:ECR)</v>
    <v>3</v>
    <v>26</v>
    <v>Finance</v>
    <v>11</v>
    <v>3.49</v>
    <v>2.23</v>
    <v>BMEX</v>
    <v>91436200</v>
    <v>3.49</v>
    <v>1989</v>
    <v>3.48</v>
    <v>0.50870000000000004</v>
    <v>Bolsas y Mercados Espanoles</v>
    <v>318198000</v>
    <v>Ercros SA is a Spain-based company engaged, together with its subsidiaries, in the chemical industry. The Company’s products are structured into three business lines: Businesses Associated to Chlorine, which comprises the production of chlorine, ethyl acetate, caustic soda, sodium hypochlorite, dichloroethane, chloromethane, sodium chlorate and caustic potash, polyvinyl chloride (PCV), as well as water disinfectants; Intermediate Chemicals, which produces formaldehyde, glues and resins for the fiberboard and plywood industries, and Pharmaceuticals, which comprises raw material and intermediate products used in the pharmaceutical industry. The Company owns such subsidiaries as Marcoating SLU, Gades Ltd and Ercekol AIE, among others. In April 2014, it sold Fosfatos de Cartagena SLU to Timab Iberica.</v>
    <v>BMEX</v>
    <v>3.48</v>
    <v>1346</v>
    <v>46237.666666666664</v>
    <v>279</v>
    <v>29640</v>
    <v>EUR</v>
    <v>Ercros</v>
    <v>Ercros</v>
    <v>3.48</v>
    <v>3.48</v>
    <v>Avda. Diagonal, 593-595, BARCELONA, BARCELONA, 08014 ES</v>
    <v>Chemicals</v>
    <v>ECR</v>
    <v>Ações</v>
    <v>Ercros (BMEX:ECR)</v>
    <v>0</v>
    <v>0</v>
    <v>13194</v>
  </rv>
  <rv s="2">
    <v>280</v>
  </rv>
  <rv s="0">
    <v>https://www.bing.com/financeapi/forcetrigger?t=bn148m&amp;q=BMEX%3aIFF&amp;form=skydnc</v>
    <v>Learn more on Bing</v>
  </rv>
  <rv s="13">
    <v>pt-BR</v>
    <v>bn148m</v>
    <v>268435456</v>
    <v>1</v>
    <v>Da plataforma Refinitiv</v>
    <v>37</v>
    <v>38</v>
    <v>Natac Natural In (BMEX:NAT)</v>
    <v>3</v>
    <v>39</v>
    <v>Finance</v>
    <v>11</v>
    <v>BMEX</v>
    <v>434830300</v>
    <v>0.59</v>
    <v>2011</v>
    <v>0.55000000000000004</v>
    <v>-0.33040000000000003</v>
    <v>Bolsas y Mercados Espanoles</v>
    <v>245679100</v>
    <v>Natac Natural Ingredients SA, formerly IFFE Futura SA, is a Spain-based company dedicated to the research, development and production of natural extracts. The Company operates through two main business segments: Plant Extracts, which focuses on the development and production of natural extracts derived from various plants; and Omega 3, which is dedicated to the production of Omega 3 fatty acids, which are essential nutrients used in dietary supplements and functional foods to support cardiovascular health and other health benefits. The Company has a presence in both national and international markets, offering natural ingredients for the pharmaceutical, nutraceutical, animal feed, pet nutrition, food, and cosmetics industries.</v>
    <v>BMEX</v>
    <v>0.56499999999999995</v>
    <v>181</v>
    <v>46237.666666666664</v>
    <v>282</v>
    <v>7750</v>
    <v>EUR</v>
    <v>Natac Natural In</v>
    <v>Natac Natural In</v>
    <v>236</v>
    <v>0.56000000000000005</v>
    <v>0.59</v>
    <v>avenida Rita Levi Montalcini n 14, GETAFE, MADRID, 28906 ES</v>
    <v>Pharmaceuticals</v>
    <v>NAT</v>
    <v>Ações</v>
    <v>Natac Natural In (BMEX:NAT)</v>
    <v>2.5000000000000001E-2</v>
    <v>4.4248000000000003E-2</v>
    <v>65667</v>
  </rv>
  <rv s="2">
    <v>283</v>
  </rv>
  <rv s="0">
    <v>https://www.bing.com/financeapi/forcetrigger?t=amfxz2&amp;q=BMEX%3aISUR&amp;form=skydnc</v>
    <v>Learn more on Bing</v>
  </rv>
  <rv s="6">
    <v>pt-BR</v>
    <v>amfxz2</v>
    <v>268435456</v>
    <v>1</v>
    <v>Da plataforma Refinitiv</v>
    <v>13</v>
    <v>14</v>
    <v>Inmobiliaria Sur (BMEX:ISUR)</v>
    <v>3</v>
    <v>15</v>
    <v>Finance</v>
    <v>11</v>
    <v>19.899999999999999</v>
    <v>13.3</v>
    <v>BMEX</v>
    <v>18669030</v>
    <v>16.55</v>
    <v>16.55</v>
    <v>0.38519999999999999</v>
    <v>Bolsas y Mercados Espanoles</v>
    <v>306172100</v>
    <v>Inmobiliaria del Sur SA (Insur) is a Spain-based company engaged in the real estate sector. The Company is primarily involved in the construction, acquisition, management, promotion, rental and sale of residential and non-residential properties, which are located in Cordoba, Malaga, Cadiz, Madrid, Huelva, and Seville, among others. Its main activities are divided into three areas: Housing, Offices &amp; Commercials and Parking. The Company is a parent of Parking Insur SAU, Hacienda la Cartuja SA, Coopinsur SAU, Inversiones Sevillanas SAI, Bellasur Patrimonial SA, Innovacion en Desarrollos Urbanos del Sur SA, and Viasur Soluciones Inmobiliarias SLU, among others, which together form Insur Group.</v>
    <v>BMEX</v>
    <v>16.399999999999999</v>
    <v>217</v>
    <v>46237.666666666664</v>
    <v>285</v>
    <v>2810</v>
    <v>EUR</v>
    <v>Inmobiliaria Sur</v>
    <v>Inmobiliaria Sur</v>
    <v>7.0872000000000002</v>
    <v>16.55</v>
    <v>16.55</v>
    <v>C/ Angel Gelan n2, SEVILLA, SEVILLA, 41013 ES</v>
    <v>Real Estate Operations</v>
    <v>ISUR</v>
    <v>Ações</v>
    <v>Inmobiliaria Sur (BMEX:ISUR)</v>
    <v>0.15</v>
    <v>9.1459999999999996E-3</v>
    <v>1055</v>
  </rv>
  <rv s="2">
    <v>286</v>
  </rv>
  <rv s="0">
    <v>https://www.bing.com/financeapi/forcetrigger?t=c1ync7&amp;q=BMEX%3aENER&amp;form=skydnc</v>
    <v>Learn more on Bing</v>
  </rv>
  <rv s="8">
    <v>pt-BR</v>
    <v>c1ync7</v>
    <v>268435456</v>
    <v>1</v>
    <v>Da plataforma Refinitiv</v>
    <v>19</v>
    <v>20</v>
    <v>Grupo Ecoener (BMEX:ENER)</v>
    <v>3</v>
    <v>21</v>
    <v>Finance</v>
    <v>11</v>
    <v>5.26</v>
    <v>3.92</v>
    <v>BMEX</v>
    <v>56949150</v>
    <v>4.0999999999999996</v>
    <v>2020</v>
    <v>4</v>
    <v>0.71260000000000001</v>
    <v>Bolsas y Mercados Espanoles</v>
    <v>233491500</v>
    <v>Ecoener SA is a Spain-based company. The Company is engaged in Renewable IPPs business sector. The Company's main activities is the electricity generation and sale from renewable sources such as hydropower, wind and solar photovoltaic energies, as well as the designing, promotion, development, management and operation as well as maintenance of the correspondent renewable energy production facilities owned by the Company. Its activities can expand to provision of administration and management services, intermediation of mercantile transactions, the provisions of technical assistance services in general, the performance of purchase and sale transactions and transfers, the arrangements of mortgages, leases and usufructs, among others.</v>
    <v>BMEX</v>
    <v>4.0999999999999996</v>
    <v>212</v>
    <v>46237.666666666664</v>
    <v>288</v>
    <v>10250</v>
    <v>EUR</v>
    <v>Grupo Ecoener</v>
    <v>Grupo Ecoener</v>
    <v>42.797499999999999</v>
    <v>4</v>
    <v>4.0999999999999996</v>
    <v>C/ San Andres, n 143, 4, LA CORUNA, LA CORUNA, 15003 ES</v>
    <v>Electrical Utilities &amp; IPPs</v>
    <v>ENER</v>
    <v>Ações</v>
    <v>Grupo Ecoener (BMEX:ENER)</v>
    <v>0</v>
    <v>0</v>
    <v>2076</v>
  </rv>
  <rv s="2">
    <v>289</v>
  </rv>
  <rv s="0">
    <v>https://www.bing.com/financeapi/forcetrigger?t=c3j8gh&amp;q=BMEX%3aYSIL&amp;form=skydnc</v>
    <v>Learn more on Bing</v>
  </rv>
  <rv s="11">
    <v>pt-BR</v>
    <v>c3j8gh</v>
    <v>268435456</v>
    <v>1</v>
    <v>Da plataforma Refinitiv</v>
    <v>30</v>
    <v>31</v>
    <v>Silicius Real Es (BMEX:YSIL)</v>
    <v>3</v>
    <v>32</v>
    <v>Finance</v>
    <v>11</v>
    <v>BMEX</v>
    <v>25770450</v>
    <v>10.9</v>
    <v>2015</v>
    <v>10.9</v>
    <v>-9.11E-2</v>
    <v>Bolsas y Mercados Espanoles</v>
    <v>275743800</v>
    <v>Silicius Real Estate SOCIMI SA, formerly known as Silicius Real Estate SL, Silicius Inmuebles en Rentabilidad SOCIMI SA, and Silicius Inmuebles en Rentabilidad SA, is a Spain-based company specialized in the purchase and management of real estate assets. In its portfolio of assets, The Company owns the Retail type of assets, such as commercial premises, properties, industrial units, and retail parks. The Office types of assets represent various office buildings and complexes. The Company owns several hotels across Spain. In its portfolio, it also has shopping centers and a residential property made out of four buildings. It also has in its portfolio a logistic complex of 11 warehouses located in the industrial estate of Vara de Quart.</v>
    <v>BMEX</v>
    <v>11</v>
    <v>19</v>
    <v>46161.666666666664</v>
    <v>291</v>
    <v>EUR</v>
    <v>Silicius Real Es</v>
    <v>Silicius Real Es</v>
    <v>14.374000000000001</v>
    <v>10.9</v>
    <v>10.9</v>
    <v>Calle Velazquez, 123 - 6, Madrid, MADRID, 28006 ES</v>
    <v>Residential &amp; Commercial REIT</v>
    <v>YSIL</v>
    <v>Ações</v>
    <v>Silicius Real Es (BMEX:YSIL)</v>
    <v>-0.1</v>
    <v>-9.0910000000000001E-3</v>
    <v>3</v>
  </rv>
  <rv s="2">
    <v>292</v>
  </rv>
  <rv s="0">
    <v>https://www.bing.com/financeapi/forcetrigger?t=bwlrec&amp;q=BMEX%3aSOL&amp;form=skydnc</v>
    <v>Learn more on Bing</v>
  </rv>
  <rv s="8">
    <v>pt-BR</v>
    <v>bwlrec</v>
    <v>268435456</v>
    <v>1</v>
    <v>Da plataforma Refinitiv</v>
    <v>19</v>
    <v>20</v>
    <v>Soltec Pwr Hldg (BMEX:SOL)</v>
    <v>3</v>
    <v>21</v>
    <v>Finance</v>
    <v>11</v>
    <v>2.1800000000000002</v>
    <v>0.16400000000000001</v>
    <v>BMEX</v>
    <v>456933600</v>
    <v>0.84499999999999997</v>
    <v>1970</v>
    <v>0.82499999999999996</v>
    <v>-3.2000000000000002E-3</v>
    <v>Bolsas y Mercados Espanoles</v>
    <v>383824200</v>
    <v>Soltec Power Holdings SA is a Spain-based company engaged in renewable energy sector. The Company's activities are divided into two business lines: Soltec Industrial and Powertis. Soltec Industrial is a Company’s industrial business line led by Soltec Energias Renovables SL, engaged in the construction, installation and sale of photovoltaic solar trackers. It also provides operation and maintenance services to customers. Powertis is a Company’s project development business line, led by Powertis SA, involved in the development of facilities for producing photovoltaic solar electric energy. Through its subsidiaries, the Company operates in Spain, Italy, France, the United States, Chile, Brazil, Peru, Mexico, Argentina, Colombia and India.</v>
    <v>BMEX</v>
    <v>0.84</v>
    <v>365</v>
    <v>46237.666666666664</v>
    <v>294</v>
    <v>287490</v>
    <v>EUR</v>
    <v>Soltec Pwr Hldg</v>
    <v>Soltec Pwr Hldg</v>
    <v>15.5556</v>
    <v>0.83499999999999996</v>
    <v>0.84</v>
    <v>C/ Gabriel Campillo Contreras, Pol. Ind. La Serreta, s/n, MOLINA DE SEGURA, MURCIA, 30500 ES</v>
    <v>Renewable Energy</v>
    <v>SOL</v>
    <v>Ações</v>
    <v>Soltec Pwr Hldg (BMEX:SOL)</v>
    <v>0</v>
    <v>0</v>
    <v>307641</v>
  </rv>
  <rv s="2">
    <v>295</v>
  </rv>
  <rv s="0">
    <v>https://www.bing.com/financeapi/forcetrigger?t=amg32w&amp;q=BMEX%3aSEC&amp;form=skydnc</v>
    <v>Learn more on Bing</v>
  </rv>
  <rv s="8">
    <v>pt-BR</v>
    <v>amg32w</v>
    <v>268435456</v>
    <v>1</v>
    <v>Da plataforma Refinitiv</v>
    <v>19</v>
    <v>20</v>
    <v>Secuoya (BMEX:SEC)</v>
    <v>3</v>
    <v>21</v>
    <v>Finance</v>
    <v>11</v>
    <v>29</v>
    <v>3.92</v>
    <v>BMEX</v>
    <v>8073570</v>
    <v>29</v>
    <v>2008</v>
    <v>29</v>
    <v>-0.1968</v>
    <v>Bolsas y Mercados Espanoles</v>
    <v>245436600</v>
    <v xml:space="preserve">Secuoya Grupo de Comunicacion SA (Secuoya) is a Spain-based company that is active in the audiovisual communication sector. The Company is engaged in the technological and audiovisual content production, outsourcing, design, implementation and maintenance of broadcasting systems. The companies belonging to the group are as follows: CBM - Central Broadcaster Media, Drago Broadcast Corporation, Wikono, Pulse - Current Contents, New Atlantis, Global, Novigo, Viewin, Sequoia Content Distribution, among others. The Company also has a number of participated companies, including Parlem, Canary Videoreport, ACC Audiovisual Productions, Aragon Media and Tombatossal. The Company has an international network present in Colombia, Peru and Chile being the main country of operations Spain. Secuoya owns Radiotelevision de la Region de Murcia and Ten TV, both Spanish Television (TV) channels. </v>
    <v>BMEX</v>
    <v>30.4</v>
    <v>1478</v>
    <v>46237.583483796298</v>
    <v>297</v>
    <v>10</v>
    <v>EUR</v>
    <v>Secuoya</v>
    <v>Secuoya</v>
    <v>60.041400000000003</v>
    <v>29</v>
    <v>29</v>
    <v>Gran Via de Colon 12, GRANADA, GRANADA, 18010 ES</v>
    <v>Media &amp; Publishing</v>
    <v>SEC</v>
    <v>Ações</v>
    <v>Secuoya (BMEX:SEC)</v>
    <v>-1.4</v>
    <v>-4.6052999999999997E-2</v>
    <v>105</v>
  </rv>
  <rv s="2">
    <v>298</v>
  </rv>
  <rv s="0">
    <v>https://www.bing.com/financeapi/forcetrigger?t=amg177&amp;q=BMEX%3aORY&amp;form=skydnc</v>
    <v>Learn more on Bing</v>
  </rv>
  <rv s="9">
    <v>pt-BR</v>
    <v>amg177</v>
    <v>268435456</v>
    <v>1</v>
    <v>Da plataforma Refinitiv</v>
    <v>24</v>
    <v>25</v>
    <v>ORYZON (BMEX:ORY)</v>
    <v>3</v>
    <v>26</v>
    <v>Finance</v>
    <v>11</v>
    <v>4.0199999999999996</v>
    <v>2.5550000000000002</v>
    <v>BMEX</v>
    <v>84332150</v>
    <v>2.9260000000000002</v>
    <v>2000</v>
    <v>2.8740000000000001</v>
    <v>0.73899999999999999</v>
    <v>Bolsas y Mercados Espanoles</v>
    <v>242876600</v>
    <v>Oryzon Genomics SA, is a Spain-based clinical phase biopharmaceutical company, which discovers and develops drugs based on epigenetics for the treatment of oncological and neurological diseases. Its compounds in clinical development include iadademstat (ORY-lOOl), an LSD1 inhibitor that is in Phase II trials for the treatment of acute myeloid leukemia and small cell lung cancer; and vafidemstat (ORY-2001), an LSD1 inhibitor optimized for the Central Nervous System (CNS), in multiple Phase II clinical trials for the treatment of CNS and psychiatric illnesses. The Company also has ORY-3001, in preclinical development for the treatment of non-oncological diseases and has additional programs to develop inhibitors against other epigenetic targets.</v>
    <v>BMEX</v>
    <v>2.88</v>
    <v>44</v>
    <v>46237.666666666664</v>
    <v>300</v>
    <v>358090</v>
    <v>EUR</v>
    <v>ORYZON</v>
    <v>ORYZON</v>
    <v>2.9260000000000002</v>
    <v>2.9159999999999999</v>
    <v>Sant Ferran 74, CORNELLA DE LLOBREGAT, BARCELONA, 08940 ES</v>
    <v>Biotechnology &amp; Medical Research</v>
    <v>ORY</v>
    <v>Ações</v>
    <v>ORYZON (BMEX:ORY)</v>
    <v>3.5999999999999997E-2</v>
    <v>1.2500000000000001E-2</v>
    <v>217473</v>
  </rv>
  <rv s="2">
    <v>301</v>
  </rv>
  <rv s="0">
    <v>https://www.bing.com/financeapi/forcetrigger?t=bne9h7&amp;q=BMEX%3aARM&amp;form=skydnc</v>
    <v>Learn more on Bing</v>
  </rv>
  <rv s="8">
    <v>pt-BR</v>
    <v>bne9h7</v>
    <v>268435456</v>
    <v>1</v>
    <v>Da plataforma Refinitiv</v>
    <v>19</v>
    <v>20</v>
    <v>Arima Real Estat (BMEX:ARM)</v>
    <v>3</v>
    <v>21</v>
    <v>Finance</v>
    <v>11</v>
    <v>15.5</v>
    <v>8.9049999999999994</v>
    <v>BMEX</v>
    <v>24457510</v>
    <v>10.1</v>
    <v>2018</v>
    <v>10.1</v>
    <v>0.25240000000000001</v>
    <v>Bolsas y Mercados Espanoles</v>
    <v>254358100</v>
    <v>Arima Real Estate SOCIMI SA, formerly Arima Real Estate SA, is a Spain-based real estate investment company. The Company's main goal are the acquisition and promotion of real estate of urban nature for its lease, including the building rehabilitation activity. Furthermore, the Company holds shares in the capital of other entities.</v>
    <v>BMEX</v>
    <v>10.4</v>
    <v>8</v>
    <v>46237.666666666664</v>
    <v>303</v>
    <v>40</v>
    <v>EUR</v>
    <v>Arima Real Estat</v>
    <v>Arima Real Estat</v>
    <v>22.36</v>
    <v>10.1</v>
    <v>10.1</v>
    <v>Edificio Torre Serrano, Serrano, 47, MADRID, MADRID, 28001 ES</v>
    <v>Residential &amp; Commercial REIT</v>
    <v>ARM</v>
    <v>Ações</v>
    <v>Arima Real Estat (BMEX:ARM)</v>
    <v>-0.3</v>
    <v>-2.8845999999999997E-2</v>
    <v>290</v>
  </rv>
  <rv s="2">
    <v>304</v>
  </rv>
  <rv s="0">
    <v>https://www.bing.com/financeapi/forcetrigger?t=amg8gh&amp;q=BMEX%3aYVIT&amp;form=skydnc</v>
    <v>Learn more on Bing</v>
  </rv>
  <rv s="13">
    <v>pt-BR</v>
    <v>amg8gh</v>
    <v>268435456</v>
    <v>1</v>
    <v>Da plataforma Refinitiv</v>
    <v>37</v>
    <v>38</v>
    <v>Vitruvio Socimi (BMEX:YVIT)</v>
    <v>3</v>
    <v>39</v>
    <v>Finance</v>
    <v>11</v>
    <v>BMEX</v>
    <v>16947280</v>
    <v>18</v>
    <v>2014</v>
    <v>18</v>
    <v>-0.1017</v>
    <v>Bolsas y Mercados Espanoles</v>
    <v>305051100</v>
    <v>Vitruvio Real Estate Socimi SA is a Spain-based company engaged in the operation of real estate investment trust (REIT). The Company focuses on the acquisition, development and investment management of urban real estate assets for rental. The Company manages a portfolio of office, commercial and residential properties located in the metropolitan area of Madrid, Spain. It specializes in investing in cities with population growth and in properties in prime areas with high demand. The Company offers comprehensive solutions in real estate asset management: It provides divisibility and liquidity to the assets of investors who are in joint ownership situations, both families and companies. Its portfolio includes a diversified selection of properties in prime locations.</v>
    <v>BMEX</v>
    <v>18</v>
    <v>16</v>
    <v>46237.666666666664</v>
    <v>306</v>
    <v>3170</v>
    <v>EUR</v>
    <v>Vitruvio Socimi</v>
    <v>Vitruvio Socimi</v>
    <v>21.831399999999999</v>
    <v>18</v>
    <v>18</v>
    <v>Plaza de la Independencia, 6, MADRID, MADRID, 28001 ES</v>
    <v>Residential &amp; Commercial REIT</v>
    <v>YVIT</v>
    <v>Ações</v>
    <v>Vitruvio Socimi (BMEX:YVIT)</v>
    <v>0</v>
    <v>0</v>
    <v>1100</v>
  </rv>
  <rv s="2">
    <v>307</v>
  </rv>
  <rv s="0">
    <v>https://www.bing.com/financeapi/forcetrigger?t=c6xxf2&amp;q=BMEX%3aYIBV&amp;form=skydnc</v>
    <v>Learn more on Bing</v>
  </rv>
  <rv s="11">
    <v>pt-BR</v>
    <v>c6xxf2</v>
    <v>268435456</v>
    <v>1</v>
    <v>Da plataforma Refinitiv</v>
    <v>30</v>
    <v>31</v>
    <v>Irg10 Socimi (BMEX:YIRG)</v>
    <v>3</v>
    <v>32</v>
    <v>Finance</v>
    <v>11</v>
    <v>BMEX</v>
    <v>42089310</v>
    <v>5.6</v>
    <v>1965</v>
    <v>5.6</v>
    <v>6.5199999999999994E-2</v>
    <v>Bolsas y Mercados Espanoles</v>
    <v>237804600</v>
    <v>IRG10 SOCIMI SA, formerly known as Ibervalles SOCIMI SA, is a Spain-based real estate investment vehicle. The Company is engaged in the acquisition and management of office assets in consolidated areas of Madrid, Barcelona and Lisbon. The Company has its own management model based on the repositioning of properties with revaluation potential in accordance with the demands of the office market, with the aim of generating recurring returns for shareholders, reducing risks and creating value in the long term. Its asset and repositioning selection is achieved by ESG criteria, supporting the growth, development and social responsibility objectives of its clients, as well as contribution to the urban regeneration of the Iberian peninsula.</v>
    <v>BMEX</v>
    <v>5.65</v>
    <v>4</v>
    <v>46048.709317129629</v>
    <v>309</v>
    <v>EUR</v>
    <v>Irg10 Socimi</v>
    <v>Irg10 Socimi</v>
    <v>4.7849000000000004</v>
    <v>5.6</v>
    <v>5.6</v>
    <v>Av. de Bruselas, 7, ALCOBENDAS, MADRID, 28108 ES</v>
    <v>Residential &amp; Commercial REIT</v>
    <v>YIRG</v>
    <v>Ações</v>
    <v>Irg10 Socimi (BMEX:YIRG)</v>
    <v>-0.05</v>
    <v>-8.8500000000000002E-3</v>
    <v>87</v>
  </rv>
  <rv s="2">
    <v>310</v>
  </rv>
  <rv s="0">
    <v>https://www.bing.com/financeapi/forcetrigger?t=ayqsz2&amp;q=BMEX%3aSQRL&amp;form=skydnc</v>
    <v>Learn more on Bing</v>
  </rv>
  <rv s="6">
    <v>pt-BR</v>
    <v>ayqsz2</v>
    <v>268435456</v>
    <v>1</v>
    <v>Da plataforma Refinitiv</v>
    <v>13</v>
    <v>14</v>
    <v>Squirrel Media (BMEX:SQRL)</v>
    <v>3</v>
    <v>15</v>
    <v>Finance</v>
    <v>11</v>
    <v>2.91</v>
    <v>1.85</v>
    <v>BMEX</v>
    <v>95953640</v>
    <v>2.16</v>
    <v>2.14</v>
    <v>0.82310000000000005</v>
    <v>Bolsas y Mercados Espanoles</v>
    <v>208219400</v>
    <v xml:space="preserve">SQUIRREL MEDIA SA, formerly Vertice Trescientos Sesenta Grados SA is a Spain-based company principally engaged in the media sector. The Company’s businesses are structured in two segments: Cinema, where it comprises the production and co-production of feature films, as well as the distribution and exploitation of rights to audiovisual works; Television, where the Company is engaged in the production of films, documents, entertainment programs and competitions for various television channels and audiovisual production. The Company operates mainly in the Spanish market and it is integrated into the Italian producer DMD Media SRL. </v>
    <v>BMEX</v>
    <v>2.17</v>
    <v>370</v>
    <v>46237.666666666664</v>
    <v>312</v>
    <v>19160</v>
    <v>EUR</v>
    <v>Squirrel Media</v>
    <v>Squirrel Media</v>
    <v>82.061099999999996</v>
    <v>2.16</v>
    <v>2.15</v>
    <v>calle Agastia, 80, MADRID, MADRID, 28043 ES</v>
    <v>Media &amp; Publishing</v>
    <v>SQRL</v>
    <v>Ações</v>
    <v>Squirrel Media (BMEX:SQRL)</v>
    <v>-0.02</v>
    <v>-9.2169999999999995E-3</v>
    <v>7459</v>
  </rv>
  <rv s="2">
    <v>313</v>
  </rv>
  <rv s="0">
    <v>https://www.bing.com/financeapi/forcetrigger?t=amfxc7&amp;q=BMEX%3aIBG&amp;form=skydnc</v>
    <v>Learn more on Bing</v>
  </rv>
  <rv s="8">
    <v>pt-BR</v>
    <v>amfxc7</v>
    <v>268435456</v>
    <v>1</v>
    <v>Da plataforma Refinitiv</v>
    <v>19</v>
    <v>20</v>
    <v>Iberpapel (BMEX:IBG)</v>
    <v>3</v>
    <v>21</v>
    <v>Finance</v>
    <v>11</v>
    <v>21.123000000000001</v>
    <v>18.350000000000001</v>
    <v>BMEX</v>
    <v>10964440</v>
    <v>18.55</v>
    <v>1997</v>
    <v>18.350000000000001</v>
    <v>0.53469999999999995</v>
    <v>Bolsas y Mercados Espanoles</v>
    <v>203390500</v>
    <v>Iberpapel Gestion SA is a Spain-based holding company engaged in the paper industry. The Company operates through three divisions: Forestry, involved in the acquisition and cultivation of eucalyptus plantations in Argentina, Uruguay and Spain; Industrial, focused on the production of bleached pulp and paper products, and Commercial, specialized on the distribution of products such as printing and photocopy paper, offset paper, light-coated paper, laser printing paper, paper bags and envelopes. The Company’s subsidiaries include Distribuidora Papelera SA, Moliner Dominguez y Cia SA, Ibereucaliptos SA, Papelera Guipuzcoana de Zicunaga SA, Central de Suministros de Artes Graficas Papel SA and Copaimex SA, among others. The Company’s major shareholders include ONCHENA, SL and BESTINVER GESTION, SA.</v>
    <v>BMEX</v>
    <v>18.55</v>
    <v>275</v>
    <v>46237.666666666664</v>
    <v>315</v>
    <v>2600</v>
    <v>EUR</v>
    <v>Iberpapel</v>
    <v>Iberpapel</v>
    <v>3637.2548999999999</v>
    <v>18.55</v>
    <v>18.350000000000001</v>
    <v>Avda. Sancho El Sabio, 2 1, GIPUZKOA, 20010 ES</v>
    <v>Paper &amp; Forest Products</v>
    <v>IBG</v>
    <v>Ações</v>
    <v>Iberpapel (BMEX:IBG)</v>
    <v>-0.2</v>
    <v>-1.0782E-2</v>
    <v>628</v>
  </rv>
  <rv s="2">
    <v>316</v>
  </rv>
  <rv s="0">
    <v>https://www.bing.com/financeapi/forcetrigger?t=amg2hw&amp;q=BMEX%3aRJF&amp;form=skydnc</v>
    <v>Learn more on Bing</v>
  </rv>
  <rv s="6">
    <v>pt-BR</v>
    <v>amg2hw</v>
    <v>268435456</v>
    <v>1</v>
    <v>Da plataforma Refinitiv</v>
    <v>13</v>
    <v>14</v>
    <v>Reig Jofre (BMEX:RJF)</v>
    <v>3</v>
    <v>15</v>
    <v>Finance</v>
    <v>11</v>
    <v>3.3210000000000002</v>
    <v>2.2999999999999998</v>
    <v>BMEX</v>
    <v>82883400</v>
    <v>2.75</v>
    <v>2.69</v>
    <v>0.84040000000000004</v>
    <v>Bolsas y Mercados Espanoles</v>
    <v>220469800</v>
    <v>Laboratorio Reig Jofre SA, formerly Natraceutical SA, is a Spain-based company primarily engaged in the research, development, manufacturing and marketing of drugs. The Company’s activities are divided into four business divisions: Industrial Services, providing production services for third parties; Pharma, selling own pharmaceuticals under a range of brands, such as Reig Jofre, Medea, Orravan, Bioglan and Sala; Reaserch and Development (R&amp;D) and Regulatory, including the development of indications for existing molecules, as well as generics and molecular diagnostics, among others; and Biotech, offering biopharmaceutical support services, such as analytical and process development, quality control and assurance, as well as stability studies. The Company also provides nutritional cosmetics, and food supplements, among others. It operates worldwide in Europe, Africa, the Americas, Australia and Asia through a number of subsidiaries, including Chiesi Espana SA and Oryzon Genomics SA.</v>
    <v>BMEX</v>
    <v>2.66</v>
    <v>1396</v>
    <v>46237.666666666664</v>
    <v>318</v>
    <v>11950</v>
    <v>EUR</v>
    <v>Reig Jofre</v>
    <v>Reig Jofre</v>
    <v>32.0869</v>
    <v>2.75</v>
    <v>2.75</v>
    <v>Gran Capita, 10, SANT JOAN DESPI, BARCELONA, 08970 ES</v>
    <v>Pharmaceuticals</v>
    <v>RJF</v>
    <v>Ações</v>
    <v>Reig Jofre (BMEX:RJF)</v>
    <v>0.09</v>
    <v>3.3835000000000004E-2</v>
    <v>16028</v>
  </rv>
  <rv s="2">
    <v>319</v>
  </rv>
  <rv s="0">
    <v>https://www.bing.com/financeapi/forcetrigger?t=ayspoc&amp;q=BMEX%3aATRY&amp;form=skydnc</v>
    <v>Learn more on Bing</v>
  </rv>
  <rv s="9">
    <v>pt-BR</v>
    <v>ayspoc</v>
    <v>268435456</v>
    <v>1</v>
    <v>Da plataforma Refinitiv</v>
    <v>24</v>
    <v>25</v>
    <v>Atrys Health (BMEX:ATRY)</v>
    <v>3</v>
    <v>26</v>
    <v>Finance</v>
    <v>11</v>
    <v>3.59</v>
    <v>2.31</v>
    <v>BMEX</v>
    <v>76014190</v>
    <v>2.67</v>
    <v>2007</v>
    <v>2.5449999999999999</v>
    <v>0.80589999999999995</v>
    <v>Bolsas y Mercados Espanoles</v>
    <v>197636900</v>
    <v>Atrys Health SA, formerly Europath Biosciences SL, is Spain-based company primarily engaged in the predictive and personalized oncology therapies. It operates under Atrys brand name. Atrys is a clinical and translational research laboratory dedicated to the diagnosis, prognosis and treatment of cancer, including hematologic and solid malignancies. It has four areas of activity: Laboratory, Telemedicine, Radiotherapy, as well as Research and Development (R&amp;D). The Company has its diagnostic laboratories and translational research in Barcelona and Granada, and offices in Madrid, Spain.</v>
    <v>BMEX</v>
    <v>2.6</v>
    <v>2016</v>
    <v>46237.666666666664</v>
    <v>321</v>
    <v>34350</v>
    <v>EUR</v>
    <v>Atrys Health</v>
    <v>Atrys Health</v>
    <v>2.67</v>
    <v>2.6150000000000002</v>
    <v>C/ Principe de Vergara 132, 1 piso, MADRID, MADRID, 28002 ES</v>
    <v>Healthcare Providers &amp; Services</v>
    <v>ATRY</v>
    <v>Ações</v>
    <v>Atrys Health (BMEX:ATRY)</v>
    <v>1.4999999999999999E-2</v>
    <v>5.7689999999999998E-3</v>
    <v>26767</v>
  </rv>
  <rv s="2">
    <v>322</v>
  </rv>
  <rv s="0">
    <v>https://www.bing.com/financeapi/forcetrigger?t=amg1lh&amp;q=BMEX%3aPRM&amp;form=skydnc</v>
    <v>Learn more on Bing</v>
  </rv>
  <rv s="8">
    <v>pt-BR</v>
    <v>amg1lh</v>
    <v>268435456</v>
    <v>1</v>
    <v>Da plataforma Refinitiv</v>
    <v>19</v>
    <v>20</v>
    <v>Prim (BMEX:PRM)</v>
    <v>3</v>
    <v>21</v>
    <v>Finance</v>
    <v>11</v>
    <v>13.95</v>
    <v>11.65</v>
    <v>BMEX</v>
    <v>17036580</v>
    <v>13.35</v>
    <v>1967</v>
    <v>13</v>
    <v>0.43230000000000002</v>
    <v>Bolsas y Mercados Espanoles</v>
    <v>227438300</v>
    <v>Prim SA is a Spain-based company principally engaged in the provision of hospital supplies. The Company’s products portfolio comprises implantable orthopedic products, silicone foot products, abduction splints, mastectomy lingerie, prosthetic components, as well as articulated electric beds and various types of accessories for geriatric centers. Through its subsidiary Inmobiliaria Catharsis SA, the Company is also active in the Real State sector. Prim SA is a parent of Grupo Prim, a group which comprises such a number of controlled entities as Enraf Nonius Iberica SA, Establecimientos Ortopedicos Prim SA, and Luga Suministros Medicos SL, among others.</v>
    <v>BMEX</v>
    <v>13.35</v>
    <v>984</v>
    <v>46237.666666666664</v>
    <v>324</v>
    <v>5170</v>
    <v>EUR</v>
    <v>Prim</v>
    <v>Prim</v>
    <v>17.288399999999999</v>
    <v>13.2</v>
    <v>13.3</v>
    <v>Av. del Llano Castellano, 43, MADRID, MADRID, 28034 ES</v>
    <v>Healthcare Equipment &amp; Supplies</v>
    <v>PRM</v>
    <v>Ações</v>
    <v>Prim (BMEX:PRM)</v>
    <v>-0.05</v>
    <v>-3.7450000000000001E-3</v>
    <v>14984</v>
  </rv>
  <rv s="2">
    <v>325</v>
  </rv>
  <rv s="0">
    <v>https://www.bing.com/financeapi/forcetrigger?t=amfrrw&amp;q=BMEX%3aAZK&amp;form=skydnc</v>
    <v>Learn more on Bing</v>
  </rv>
  <rv s="8">
    <v>pt-BR</v>
    <v>amfrrw</v>
    <v>268435456</v>
    <v>1</v>
    <v>Da plataforma Refinitiv</v>
    <v>19</v>
    <v>20</v>
    <v>Azkoyen (BMEX:AZK)</v>
    <v>3</v>
    <v>21</v>
    <v>Finance</v>
    <v>11</v>
    <v>14.95</v>
    <v>8.1</v>
    <v>BMEX</v>
    <v>24450000</v>
    <v>10.7</v>
    <v>1976</v>
    <v>10.1</v>
    <v>0.47</v>
    <v>Bolsas y Mercados Espanoles</v>
    <v>259170000</v>
    <v>Azkoyen SA is a Spain-based company primarily engaged in the manufacture of vending machines. The Company’s activities are divided into three business segments: Vending Machines, which focuses on the production and sale of vending machines for tobacco, coffee, cold and hot drinks, as well as snacks; Payment Systems, which is responsible for the design, manufacture and marketing of solutions for cash management, connectivity and cashless systems, such as automatic coin selection, counting and returning, as well as credit card readers, and Technology and Security Systems, which offers software and hardware for access control and time recording. The Company distributes products under various brand names, such as Azkoyen, Coffetek, Azkoyen Payment Technologies, Coges and Cashlogy, as well as primion. It operates numerous subsidiaries in Europe and Latin America.</v>
    <v>BMEX</v>
    <v>10.6</v>
    <v>1022</v>
    <v>46237.666666666664</v>
    <v>327</v>
    <v>153110</v>
    <v>EUR</v>
    <v>Azkoyen</v>
    <v>Azkoyen</v>
    <v>16.228100000000001</v>
    <v>10.65</v>
    <v>10.3</v>
    <v>Avda. San Silvestre, s/n, PERALTA, NAVARRA, 31350 ES</v>
    <v>Machinery, Equipment &amp; Components</v>
    <v>AZK</v>
    <v>Ações</v>
    <v>Azkoyen (BMEX:AZK)</v>
    <v>-0.3</v>
    <v>-2.8302000000000001E-2</v>
    <v>61970</v>
  </rv>
  <rv s="2">
    <v>328</v>
  </rv>
  <rv s="0">
    <v>https://www.bing.com/financeapi/forcetrigger?t=bqpzww&amp;q=BMEX%3aYTRI&amp;form=skydnc</v>
    <v>Learn more on Bing</v>
  </rv>
  <rv s="11">
    <v>pt-BR</v>
    <v>bqpzww</v>
    <v>268435456</v>
    <v>1</v>
    <v>Da plataforma Refinitiv</v>
    <v>30</v>
    <v>31</v>
    <v>Trivium Real Est (BMEX:YTRI)</v>
    <v>3</v>
    <v>32</v>
    <v>Finance</v>
    <v>11</v>
    <v>BMEX</v>
    <v>5040910</v>
    <v>39.799999999999997</v>
    <v>2018</v>
    <v>39.799999999999997</v>
    <v>-1.32E-2</v>
    <v>Bolsas y Mercados Espanoles</v>
    <v>196595500</v>
    <v>Trivium Real Estate Socimi SA is a Spain-based real estate investment trust (REIT). The Company is engaged in the management and lease of real estate assets, holding interests in commercial units in Valle Real, Max Center and Gran Casa shopping centers, located in the cities of Santander, Bilbao and Zaragoza, respectively.</v>
    <v>BMEX</v>
    <v>39.6</v>
    <v>0</v>
    <v>46196.666666666664</v>
    <v>330</v>
    <v>EUR</v>
    <v>Trivium Real Est</v>
    <v>Trivium Real Est</v>
    <v>20.217700000000001</v>
    <v>39.799999999999997</v>
    <v>39.799999999999997</v>
    <v>Calle de Goya, 24, Salamanca, MADRID, MADRID, 28001 ES</v>
    <v>Residential &amp; Commercial REIT</v>
    <v>YTRI</v>
    <v>Ações</v>
    <v>Trivium Real Est (BMEX:YTRI)</v>
    <v>0.2</v>
    <v>5.0509999999999999E-3</v>
    <v>15</v>
  </rv>
  <rv s="2">
    <v>331</v>
  </rv>
  <rv s="0">
    <v>https://www.bing.com/financeapi/forcetrigger?t=amg7k2&amp;q=BMEX%3aYORE&amp;form=skydnc</v>
    <v>Learn more on Bing</v>
  </rv>
  <rv s="13">
    <v>pt-BR</v>
    <v>amg7k2</v>
    <v>268435456</v>
    <v>1</v>
    <v>Da plataforma Refinitiv</v>
    <v>37</v>
    <v>38</v>
    <v>Olimpo Real Esta (BMEX:YORE)</v>
    <v>3</v>
    <v>39</v>
    <v>Finance</v>
    <v>11</v>
    <v>BMEX</v>
    <v>196695200</v>
    <v>0.98</v>
    <v>2016</v>
    <v>0.98</v>
    <v>0.1169</v>
    <v>Bolsas y Mercados Espanoles</v>
    <v>193744800</v>
    <v xml:space="preserve">Olimpo Real Estate Socimi SA is a Spain-based company. The Company is engaged in the operation of retail real estate investment trust (REIT). The Company focuses on the acquisition, management and promotion of commercial properties for lease in Spain and Portugal. The Company's assets portfolio comprises a number of commercial venues, such as Forum Sport Artea, located in Vizcaya, Spain; Forum Sport Galaria, located in Navarra, Spain, and Media Markt Braga, located in Braga, Portugal. The Company's main objective of ORES Socimi is to generate value for its clients through the long-term management of commercial real estate assets, using the knowledge and experience of its administrators Bankinter and Sonae Sierra. </v>
    <v>BMEX</v>
    <v>0.98499999999999999</v>
    <v>1</v>
    <v>46237.666666666664</v>
    <v>333</v>
    <v>9890</v>
    <v>EUR</v>
    <v>Olimpo Real Esta</v>
    <v>Olimpo Real Esta</v>
    <v>9.5053000000000001</v>
    <v>0.98</v>
    <v>0.98</v>
    <v>Calle Goya, 22 - 3 planta, MADRID, MADRID, 28001 ES</v>
    <v>Residential &amp; Commercial REIT</v>
    <v>YORE</v>
    <v>Ações</v>
    <v>Olimpo Real Esta (BMEX:YORE)</v>
    <v>-5.0000000000000001E-3</v>
    <v>-5.0760000000000007E-3</v>
    <v>5104</v>
  </rv>
  <rv s="2">
    <v>334</v>
  </rv>
  <rv s="0">
    <v>https://www.bing.com/financeapi/forcetrigger?t=aldsc7&amp;q=XMEX%3aVINTE*&amp;form=skydnc</v>
    <v>Learn more on Bing</v>
  </rv>
  <rv s="9">
    <v>pt-BR</v>
    <v>aldsc7</v>
    <v>268435456</v>
    <v>1</v>
    <v>Da plataforma Refinitiv</v>
    <v>24</v>
    <v>25</v>
    <v>Viente Viviendas (XMEX:VINTE*)</v>
    <v>3</v>
    <v>51</v>
    <v>Finance</v>
    <v>52</v>
    <v>37.5</v>
    <v>28.9</v>
    <v>XMEX</v>
    <v>281348100</v>
    <v>36.04</v>
    <v>2001</v>
    <v>34.369999999999997</v>
    <v>-9.4600000000000004E-2</v>
    <v>Mexican Stock Exchange</v>
    <v>10125718119</v>
    <v>Vinte Viviendas Integrales SAB de CV is a Mexico-based company primarily engaged in the residential real estate development. The Company focuses on the design, construction, promotion and commercialization of residential properties. The Company's activities are divided into three areas: social housing, housing for medium-income families and residential housing. It offers single and multifamily properties with different floor area, rooms number, interior finish and surroundings, among others. In addition, the Company offers technical advisory related to architecture, construction and building installations. The Company operates in a range of Mexican states, such as Hidalgo, Queretaro, Quintana Roo, Puebla and Mexico.</v>
    <v>XMEX</v>
    <v>36</v>
    <v>3765</v>
    <v>46237.833090277774</v>
    <v>336</v>
    <v>40290</v>
    <v>MXN</v>
    <v>Viente Viviendas</v>
    <v>Viente Viviendas</v>
    <v>36</v>
    <v>35.99</v>
    <v>Downtown Santa Fe, Av. Santa Fe 428, Torre 1, Piso 12, Oficina 1201, CUAJIMALPA, MEXICO, D.F., 05349 MX</v>
    <v>Real Estate Operations</v>
    <v>VINTE*</v>
    <v>Ações</v>
    <v>Viente Viviendas (XMEX:VINTE*)</v>
    <v>-0.01</v>
    <v>-2.7779999999999998E-4</v>
    <v>29155</v>
  </rv>
  <rv s="2">
    <v>337</v>
  </rv>
  <rv s="18">
    <v>pt-BR</v>
    <v>ce7n9c</v>
    <v>268435456</v>
    <v>1</v>
    <v>1</v>
    <v>Da plataforma Refinitiv</v>
    <v>53</v>
    <v>54</v>
    <v>Bytetravel (BMEX:SCBYT)</v>
    <v>18</v>
    <v>55</v>
    <v>Finance</v>
    <v>11</v>
    <v>BMEX</v>
    <v>29984130</v>
    <v>4.3600000000000003</v>
    <v>2021</v>
    <v>4.3600000000000003</v>
    <v>Bolsas y Mercados Espanoles</v>
    <v>203892100</v>
    <v>Bytetravel SA (formerly known as ESTA Travel Services SL) is a Spain-based company primarily engaged in the technology sector with a focus on assistance services for tourists and business travelers. Through their online service, Visagov, the Company provides help with managing and processing tourist, as well as business visas. They offer support in obtaining visas to countries like the United States, India, United Arab Emirates, and Egypt. The Company offers its assistance to individual clients, in addition to travel agencies and tour providers. Travel agencies and tour providers can benefit from uploading the required details in bulk. The Company does not count with subsidiaries and has not established services overseas.</v>
    <v>BMEX</v>
    <v>4.4000000000000004</v>
    <v>59</v>
    <v>46183.416863437502</v>
    <v>480</v>
    <v>EUR</v>
    <v>Bytetravel</v>
    <v>Bytetravel</v>
    <v>605.55560000000003</v>
    <v>4.3600000000000003</v>
    <v>4.3600000000000003</v>
    <v>Avenida Via Augusta 15-25, SANT CUGAT DEL VALLES, BARCELONA, 08174 ES</v>
    <v>Hotels &amp; Entertainment Services</v>
    <v>SCBYT</v>
    <v>Ações</v>
    <v>Bytetravel (BMEX:SCBYT)</v>
    <v>-0.04</v>
    <v>-9.0910000000000001E-3</v>
    <v>500</v>
  </rv>
  <rv s="2">
    <v>339</v>
  </rv>
  <rv s="0">
    <v>https://www.bing.com/financeapi/forcetrigger?t=bn133m&amp;q=BMEX%3aYDOA&amp;form=skydnc</v>
    <v>Learn more on Bing</v>
  </rv>
  <rv s="19">
    <v>pt-BR</v>
    <v>bn133m</v>
    <v>268435456</v>
    <v>1</v>
    <v>Da plataforma Refinitiv</v>
    <v>56</v>
    <v>57</v>
    <v>Inversion Doalca (BMEX:YDOA)</v>
    <v>3</v>
    <v>58</v>
    <v>Finance</v>
    <v>11</v>
    <v>BMEX</v>
    <v>6123000</v>
    <v>25.2</v>
    <v>25.2</v>
    <v>7.6E-3</v>
    <v>Bolsas y Mercados Espanoles</v>
    <v>154299600</v>
    <v>Inversiones Doalca SOCIMI SA is a Spain-based company engaged in the operation of real estate investment trusts (REITs). The Company focuses on acquisition, leasing and providing securitization of interests related to commercial real estate. Its portfolio includes offices, commercial premises and hotels that are located in Madrid and Barcelona, Spain. Furthermore, the Company owns and operates a residential rural property, located in Toledo, Spain.</v>
    <v>BMEX</v>
    <v>25.4</v>
    <v>9</v>
    <v>46162.666666666664</v>
    <v>341</v>
    <v>EUR</v>
    <v>Inversion Doalca</v>
    <v>Inversion Doalca</v>
    <v>20.659099999999999</v>
    <v>25.2</v>
    <v>25.2</v>
    <v>C/ San Bernardo 123 3, MADRID, MADRID, 28015 ES</v>
    <v>Residential &amp; Commercial REIT</v>
    <v>YDOA</v>
    <v>Ações</v>
    <v>Inversion Doalca (BMEX:YDOA)</v>
    <v>-0.2</v>
    <v>-7.8739999999999991E-3</v>
    <v>20</v>
  </rv>
  <rv s="2">
    <v>342</v>
  </rv>
  <rv s="0">
    <v>https://www.bing.com/financeapi/forcetrigger?t=bny3a2&amp;q=BMEX%3aAI&amp;form=skydnc</v>
    <v>Learn more on Bing</v>
  </rv>
  <rv s="9">
    <v>pt-BR</v>
    <v>bny3a2</v>
    <v>268435456</v>
    <v>1</v>
    <v>Da plataforma Refinitiv</v>
    <v>24</v>
    <v>25</v>
    <v>Artificial (BMEX:AI)</v>
    <v>3</v>
    <v>26</v>
    <v>Finance</v>
    <v>11</v>
    <v>0.13600000000000001</v>
    <v>7.0000000000000007E-2</v>
    <v>BMEX</v>
    <v>1555841000</v>
    <v>9.1999999999999998E-2</v>
    <v>1971</v>
    <v>9.0899999999999995E-2</v>
    <v>1.7354000000000001</v>
    <v>Bolsas y Mercados Espanoles</v>
    <v>143293000</v>
    <v>Airtificial Intelligence Structures SA, formerly known as NYPSA Informes y Proyectos SA (INYPSA), is a Spain-based engineering and consulting company that is focused on the integrated management of infrastructure and geo-information projects. The Company operates in different sectors grouped into business lines such as Inteliggent Robots, which offers industrialization solutions, project management and vanguard technology integration services, mainly for customers in the automotive sector and other industrial sectors; Aerospace &amp; Defense, offeting complete, technological and flexible solutions for a wide variety of sectors including aeronautics and defense; and Civil Works, which provides engineering and consulting services for public clients in the field of civil works, mostly with Multilateral Financing. The Company controls a number of subsidiaries located in Spain and Latin America.</v>
    <v>BMEX</v>
    <v>9.2100000000000001E-2</v>
    <v>943</v>
    <v>46237.666666666664</v>
    <v>344</v>
    <v>638930</v>
    <v>EUR</v>
    <v>Artificial</v>
    <v>Artificial</v>
    <v>9.11E-2</v>
    <v>9.1899999999999996E-2</v>
    <v>General Diaz Porlier 49, MADRID, MADRID, 28001 ES</v>
    <v>Electronic Equipment &amp; Parts</v>
    <v>AI</v>
    <v>Ações</v>
    <v>Artificial (BMEX:AI)</v>
    <v>-2.0000000000000001E-4</v>
    <v>-2.1719999999999999E-3</v>
    <v>412381</v>
  </rv>
  <rv s="2">
    <v>345</v>
  </rv>
  <rv s="0">
    <v>https://www.bing.com/financeapi/forcetrigger?t=bnk6kr&amp;q=BMEX%3aBKY&amp;form=skydnc</v>
    <v>Learn more on Bing</v>
  </rv>
  <rv s="9">
    <v>pt-BR</v>
    <v>bnk6kr</v>
    <v>268435456</v>
    <v>1</v>
    <v>Da plataforma Refinitiv</v>
    <v>24</v>
    <v>25</v>
    <v>Berkeley Energia (BMEX:BKY)</v>
    <v>3</v>
    <v>59</v>
    <v>Finance</v>
    <v>11</v>
    <v>0.34799999999999998</v>
    <v>0.23400000000000001</v>
    <v>BMEX</v>
    <v>446293200</v>
    <v>0.29399999999999998</v>
    <v>1991</v>
    <v>0.28799999999999998</v>
    <v>1.5894999999999999</v>
    <v>Bolsas y Mercados Espanoles</v>
    <v>225378000</v>
    <v xml:space="preserve">Berkeley Energia Limited is a Spain-based mineral development company. The Company's main focus is bringing its wholly owned Salamanca project into production in a uranium mining area in western Spain. It's activity provides exploration and production with the objective of supplying nuclear energy sector. </v>
    <v>BMEX</v>
    <v>0.29249999999999998</v>
    <v>33</v>
    <v>46237.666666666664</v>
    <v>347</v>
    <v>71300</v>
    <v>EUR</v>
    <v>Berkeley Energia</v>
    <v>Berkeley Energia</v>
    <v>0.29399999999999998</v>
    <v>0.29249999999999998</v>
    <v>Level 9, 28 The Esplanade, PERTH, WESTERN AUSTRALIA, 6000 AU</v>
    <v>Metals &amp; Mining</v>
    <v>BKY</v>
    <v>Ações</v>
    <v>Berkeley Energia (BMEX:BKY)</v>
    <v>0</v>
    <v>0</v>
    <v>335123</v>
  </rv>
  <rv s="2">
    <v>348</v>
  </rv>
  <rv s="0">
    <v>https://www.bing.com/financeapi/forcetrigger?t=amfzur&amp;q=BMEX%3aNTH&amp;form=skydnc</v>
    <v>Learn more on Bing</v>
  </rv>
  <rv s="8">
    <v>pt-BR</v>
    <v>amfzur</v>
    <v>268435456</v>
    <v>1</v>
    <v>Da plataforma Refinitiv</v>
    <v>19</v>
    <v>20</v>
    <v>Naturhouse Healt (BMEX:NTH)</v>
    <v>3</v>
    <v>21</v>
    <v>Finance</v>
    <v>11</v>
    <v>2.82</v>
    <v>1.8149999999999999</v>
    <v>BMEX</v>
    <v>60000000</v>
    <v>2.59</v>
    <v>1991</v>
    <v>2.5299999999999998</v>
    <v>0.45140000000000002</v>
    <v>Bolsas y Mercados Espanoles</v>
    <v>153600000</v>
    <v xml:space="preserve">Naturhouse Health SA is a Spain-based company primarily engaged in the special foods and wellbeing products manufacture. The Company specializes in developing, manufacturing and selling products within the nutrition, as well as weight management sector. Its activities are divided into three business areas: Food Supplements, which provides products with natural extracts to facilitate the slimming process; Healthy Foods and Drinks, which offers dietary snacks and meals for breakfast; as well as Cosmetics and Body Care, which includes cosmetics for skin treatment during the slimming process. The Company distributes products through a network of own and franchised stores. Furthermore, It operates in Spain, France, Poland, Italy, Mexico, the United Kingdom, and Canada, among others. </v>
    <v>BMEX</v>
    <v>2.56</v>
    <v>163</v>
    <v>46237.666666666664</v>
    <v>350</v>
    <v>38610</v>
    <v>EUR</v>
    <v>Naturhouse Healt</v>
    <v>Naturhouse Healt</v>
    <v>15.3207</v>
    <v>2.57</v>
    <v>2.58</v>
    <v>Calle Claudio Coello 91, 4 Planta, MADRID, MADRID, 28006 ES</v>
    <v>Specialty Retailers</v>
    <v>NTH</v>
    <v>Ações</v>
    <v>Naturhouse Healt (BMEX:NTH)</v>
    <v>0.02</v>
    <v>7.8130000000000005E-3</v>
    <v>43405</v>
  </rv>
  <rv s="2">
    <v>351</v>
  </rv>
  <rv s="0">
    <v>https://www.bing.com/financeapi/forcetrigger?t=amfw1h&amp;q=BMEX%3aGALQ&amp;form=skydnc</v>
    <v>Learn more on Bing</v>
  </rv>
  <rv s="8">
    <v>pt-BR</v>
    <v>amfw1h</v>
    <v>268435456</v>
    <v>1</v>
    <v>Da plataforma Refinitiv</v>
    <v>19</v>
    <v>20</v>
    <v>General Alquiler (BMEX:GAM)</v>
    <v>3</v>
    <v>21</v>
    <v>Finance</v>
    <v>11</v>
    <v>1.72</v>
    <v>1.31</v>
    <v>BMEX</v>
    <v>94608110</v>
    <v>1.53</v>
    <v>2002</v>
    <v>1.47</v>
    <v>0.61080000000000001</v>
    <v>Bolsas y Mercados Espanoles</v>
    <v>144750400</v>
    <v>General de Alquiler de Maquinaria SA (GAM) is a Spain-based company principally engaged in the acquisition, repair and rental of heavy equipment and vehicles. The Company’s rental fleet includes compactors, compressors, dumpers, electric machinery, platforms, cranes, scaffolds and transport vehicles, as well as auxiliary equipment and machinery used in the infrastructure, agricultural, port, construction, industrial and energy sectors. In addition, the Company is involved in the sale of second-hand equipment. The Company operates through Barquero, GAM Noroeste SLU, GAM Divisiones Especializadas SLU, Aldaiturriaga SA, GAM Renove SAU, GAM Canarias SLU and Grupo Internacional de Inversiones en Maquinaria GAM SA, among others.</v>
    <v>BMEX</v>
    <v>1.53</v>
    <v>1865</v>
    <v>46237.666666666664</v>
    <v>353</v>
    <v>10760</v>
    <v>EUR</v>
    <v>General Alquiler</v>
    <v>General Alquiler</v>
    <v>13.9589</v>
    <v>1.53</v>
    <v>1.4950000000000001</v>
    <v>Calle Velazquez, n 64, planta 4, puerta izq, MADRID, MADRID, 28001 ES</v>
    <v>Professional &amp; Commercial Services</v>
    <v>GAM</v>
    <v>Ações</v>
    <v>General Alquiler (BMEX:GAM)</v>
    <v>-3.5000000000000003E-2</v>
    <v>-2.2875999999999997E-2</v>
    <v>10298</v>
  </rv>
  <rv s="2">
    <v>354</v>
  </rv>
  <rv s="0">
    <v>https://www.bing.com/financeapi/forcetrigger?t=c28ixm&amp;q=BMEX%3aYADR&amp;form=skydnc</v>
    <v>Learn more on Bing</v>
  </rv>
  <rv s="8">
    <v>pt-BR</v>
    <v>c28ixm</v>
    <v>268435456</v>
    <v>1</v>
    <v>Da plataforma Refinitiv</v>
    <v>19</v>
    <v>20</v>
    <v>Adriano Care (BMEX:YADR)</v>
    <v>3</v>
    <v>21</v>
    <v>Finance</v>
    <v>11</v>
    <v>11</v>
    <v>9.8000000000000007</v>
    <v>BMEX</v>
    <v>12000000</v>
    <v>9.85</v>
    <v>2019</v>
    <v>9.8000000000000007</v>
    <v>-6.1499999999999999E-2</v>
    <v>Bolsas y Mercados Espanoles</v>
    <v>118200000</v>
    <v xml:space="preserve">Adriano Care SOCIMI SAU is a Spain-based public real estate investment company dedicated to the acquisition, ownership, promotion and development, renovation and leasing of real estate assets related to the elderly in Spain. The Company's objective is to create a senior living real estate vehicle specialized in the elderly that aims to respond to the latent need for residential places, with the purpose of investing in the improvement and transformation of the senior living sector as to improve the well-being of senior citizens. This requires active asset management of the acquired portfolio. Within the Company's investment strategy are those real estate assets such as geriatric residences, homes adapted for the elderly and other centers for the care of said group. </v>
    <v>BMEX</v>
    <v>9.85</v>
    <v>90</v>
    <v>46237.666666666664</v>
    <v>356</v>
    <v>760</v>
    <v>EUR</v>
    <v>Adriano Care</v>
    <v>Adriano Care</v>
    <v>9.1425999999999998</v>
    <v>9.85</v>
    <v>9.8000000000000007</v>
    <v>C/ Villanueva 2 bis - planta jardin, MADRID, MADRID, 28001 ES</v>
    <v>Residential &amp; Commercial REIT</v>
    <v>YADR</v>
    <v>Ações</v>
    <v>Adriano Care (BMEX:YADR)</v>
    <v>-0.05</v>
    <v>-5.0760000000000007E-3</v>
    <v>1068</v>
  </rv>
  <rv s="2">
    <v>357</v>
  </rv>
  <rv s="0">
    <v>https://www.bing.com/financeapi/forcetrigger?t=bn13w7&amp;q=BMEX%3aYISC&amp;form=skydnc</v>
    <v>Learn more on Bing</v>
  </rv>
  <rv s="11">
    <v>pt-BR</v>
    <v>bn13w7</v>
    <v>268435456</v>
    <v>1</v>
    <v>Da plataforma Refinitiv</v>
    <v>30</v>
    <v>31</v>
    <v>ISC Fresh Water (BMEX:YISC)</v>
    <v>3</v>
    <v>32</v>
    <v>Finance</v>
    <v>11</v>
    <v>BMEX</v>
    <v>7497000</v>
    <v>18</v>
    <v>2007</v>
    <v>18</v>
    <v>1.44E-2</v>
    <v>Bolsas y Mercados Espanoles</v>
    <v>113204800</v>
    <v>ISC Fresh Water Investment SOCIMI SA is a Spain-based company. The Company operates as a real estate investment trust. The Company engages in the acquisition and development of urban real estate for lease, the holding of shares in the capital stock of other real estate investment trusts and the holding of shares in the capital of other entities, whether resident or not in Spanish territory.</v>
    <v>BMEX</v>
    <v>17.7</v>
    <v>0</v>
    <v>45715.708680555559</v>
    <v>359</v>
    <v>EUR</v>
    <v>ISC Fresh Water</v>
    <v>ISC Fresh Water</v>
    <v>9.1178000000000008</v>
    <v>18</v>
    <v>18</v>
    <v>Paseo de la Castellana, n 143, planta 11D, MADRID, MADRID, 28046 ES</v>
    <v>Real Estate Operations</v>
    <v>YISC</v>
    <v>Ações</v>
    <v>ISC Fresh Water (BMEX:YISC)</v>
    <v>0.3</v>
    <v>1.6949000000000002E-2</v>
    <v>263</v>
  </rv>
  <rv s="2">
    <v>360</v>
  </rv>
  <rv s="0">
    <v>https://www.bing.com/financeapi/forcetrigger?t=br1lxm&amp;q=BMEX%3aYTRM&amp;form=skydnc</v>
    <v>Learn more on Bing</v>
  </rv>
  <rv s="13">
    <v>pt-BR</v>
    <v>br1lxm</v>
    <v>268435456</v>
    <v>1</v>
    <v>Da plataforma Refinitiv</v>
    <v>37</v>
    <v>38</v>
    <v>Torimbia (BMEX:YTRM)</v>
    <v>3</v>
    <v>39</v>
    <v>Finance</v>
    <v>11</v>
    <v>BMEX</v>
    <v>5119070</v>
    <v>25.6</v>
    <v>1967</v>
    <v>25.6</v>
    <v>0.10150000000000001</v>
    <v>Bolsas y Mercados Espanoles</v>
    <v>131048300</v>
    <v>Torimbia SOCIMI SA is a Spain-based company operating as real estate investment trust (REIT). The Company focuses on the acquisition, development, management and leasing of real estate assets. Its portfolio includes urban properties, such as hotels, offices and commercial venues, located in Madrid, Spain.</v>
    <v>BMEX</v>
    <v>25.6</v>
    <v>8</v>
    <v>46224.666666666664</v>
    <v>362</v>
    <v>40</v>
    <v>EUR</v>
    <v>Torimbia</v>
    <v>Torimbia</v>
    <v>8.5279000000000007</v>
    <v>25.6</v>
    <v>25.6</v>
    <v>Paseo del Pintor Rosales 18, MADRID, MADRID, 28008 ES</v>
    <v>Residential &amp; Commercial REIT</v>
    <v>YTRM</v>
    <v>Ações</v>
    <v>Torimbia (BMEX:YTRM)</v>
    <v>0</v>
    <v>0</v>
    <v>158</v>
  </rv>
  <rv s="2">
    <v>363</v>
  </rv>
  <rv s="0">
    <v>https://www.bing.com/financeapi/forcetrigger?t=amg11h&amp;q=BMEX%3aOLE&amp;form=skydnc</v>
    <v>Learn more on Bing</v>
  </rv>
  <rv s="8">
    <v>pt-BR</v>
    <v>amg11h</v>
    <v>268435456</v>
    <v>1</v>
    <v>Da plataforma Refinitiv</v>
    <v>19</v>
    <v>20</v>
    <v>Deoleo (BMEX:OLE)</v>
    <v>3</v>
    <v>21</v>
    <v>Finance</v>
    <v>11</v>
    <v>0.35499999999999998</v>
    <v>0.17699999999999999</v>
    <v>BMEX</v>
    <v>500000000</v>
    <v>0.34</v>
    <v>1955</v>
    <v>0.32600000000000001</v>
    <v>0.76790000000000003</v>
    <v>Bolsas y Mercados Espanoles</v>
    <v>164000000</v>
    <v xml:space="preserve">Deoleo SA, formerly SOS Corporacion Alimentaria SA, is a Spain-based company. The Company primarily engages in the food processing sector. The Company’s activities are structured in one area: vegetable oils. It specializes in the production and sell of bottled olive oil under a range of brands, such as Carbonell, Bertolli, Carapelli, Koipe, Koipesol, Hojiblanca and Sasso. The Company also distributes seed oils, table olives, vinegars, sauces and confectionary products. The Company's mission is to inspire everyone involved in the olive oil industry to make a positive difference every single day. It harnesses flavors from across the globe- source from Spain, Italy, Portugal, Greece, Peru and Argentina. </v>
    <v>BMEX</v>
    <v>0.32800000000000001</v>
    <v>660</v>
    <v>46237.666666666664</v>
    <v>365</v>
    <v>870050</v>
    <v>EUR</v>
    <v>Deoleo</v>
    <v>Deoleo</v>
    <v>9.1530000000000005</v>
    <v>0.32600000000000001</v>
    <v>0.33500000000000002</v>
    <v>Parque Empresarial Rivas Futura. C/ Marie Curie, 7, 4, Edificio Beta, RIVAS-VACIAMADRID, MADRID, 28521 ES</v>
    <v>Food &amp; Tobacco</v>
    <v>OLE</v>
    <v>Ações</v>
    <v>Deoleo (BMEX:OLE)</v>
    <v>7.0000000000000001E-3</v>
    <v>2.1341000000000002E-2</v>
    <v>867322</v>
  </rv>
  <rv s="2">
    <v>366</v>
  </rv>
  <rv s="0">
    <v>https://www.bing.com/financeapi/forcetrigger?t=bn11dm&amp;q=BMEX%3aYTEM&amp;form=skydnc</v>
    <v>Learn more on Bing</v>
  </rv>
  <rv s="20">
    <v>pt-BR</v>
    <v>bn11dm</v>
    <v>268435456</v>
    <v>1</v>
    <v>1</v>
    <v>Da plataforma Refinitiv</v>
    <v>30</v>
    <v>60</v>
    <v>Tempore Properti (BMEX:YTEM)</v>
    <v>3</v>
    <v>32</v>
    <v>Finance</v>
    <v>11</v>
    <v>BMEX</v>
    <v>36416040</v>
    <v>3.2</v>
    <v>2017</v>
    <v>3.16</v>
    <v>0.05</v>
    <v>Bolsas y Mercados Espanoles</v>
    <v>122357900</v>
    <v>Tempore Properties SOCIMI SAU is a Spain-based company active in the real estate investment business. Its main activity is the acquisition and management of residential buildings for rent. Its properties are part of a purchased portfolio, which includes more than 2,220 apartments located across Spain in high-demand areas, particularly in Catalonia, the Community of Madrid, Community of Valencia, Andalusia, La Rioja, Murcia, Balearic Islands and Castilla la Mancha. The Company aims to develop its portfolio.</v>
    <v>BMEX</v>
    <v>3.24</v>
    <v>0</v>
    <v>46149.666666666664</v>
    <v>368</v>
    <v>EUR</v>
    <v>Tempore Properti</v>
    <v>Tempore Properti</v>
    <v>9.1753999999999998</v>
    <v>3.2</v>
    <v>3.16</v>
    <v>Plaza Manuel Gomez-Moreno, 3. Planta 6, MADRID, MADRID, 28020 ES</v>
    <v>Residential &amp; Commercial REIT</v>
    <v>YTEM</v>
    <v>Ações</v>
    <v>Tempore Properti (BMEX:YTEM)</v>
    <v>-0.08</v>
    <v>-2.4691000000000001E-2</v>
    <v>3000</v>
  </rv>
  <rv s="2">
    <v>369</v>
  </rv>
  <rv s="0">
    <v>https://www.bing.com/financeapi/forcetrigger?t=amfzjc&amp;q=BMEX%3aNEA&amp;form=skydnc</v>
    <v>Learn more on Bing</v>
  </rv>
  <rv s="6">
    <v>pt-BR</v>
    <v>amfzjc</v>
    <v>268435456</v>
    <v>1</v>
    <v>Da plataforma Refinitiv</v>
    <v>13</v>
    <v>14</v>
    <v>Nicolas Correa (BMEX:NEA)</v>
    <v>3</v>
    <v>15</v>
    <v>Finance</v>
    <v>11</v>
    <v>11.5</v>
    <v>8.7799999999999994</v>
    <v>BMEX</v>
    <v>12316630</v>
    <v>9.64</v>
    <v>9.5</v>
    <v>0.51139999999999997</v>
    <v>Bolsas y Mercados Espanoles</v>
    <v>119717600</v>
    <v>Nicolas Correa SA is a Spain-based company primarily engaged in the design and manufacture of milling machines. The Company mainly specializes in the provision of milling solutions for the manufacturers of dies and large moulds, monolithic elements for aerospace, railway, as well as energy and general mechanical sectors, among others. The Company's activities are divided into two segments: Industrial and Commercial. The Industrial division designs and produces gantries, travelling columns, as well as bed- and bridge-type milling machines, which are distributed under the Correanayak brand name. The Commercial division is responsible for the distribution of its milling machines, as well as provision of technical advisory and maintenance services. The company operates in Spain, Portugal, Germany, China and the United States, among others, through a number of subsidiaries, such as NC Manufacturing SA, Nicolas Correa Deutschland GmbH and Tiger Machinery Parts Co.</v>
    <v>BMEX</v>
    <v>9.7200000000000006</v>
    <v>474</v>
    <v>46237.666666666664</v>
    <v>371</v>
    <v>2200</v>
    <v>EUR</v>
    <v>Nicolas Correa</v>
    <v>Nicolas Correa</v>
    <v>9.8141999999999996</v>
    <v>9.5</v>
    <v>9.5</v>
    <v>Alcalde Martin Cobos 16A, BURGOS, BURGOS, 09007 ES</v>
    <v>Machinery, Equipment &amp; Components</v>
    <v>NEA</v>
    <v>Ações</v>
    <v>Nicolas Correa (BMEX:NEA)</v>
    <v>-0.22</v>
    <v>-2.2633999999999998E-2</v>
    <v>5819</v>
  </rv>
  <rv s="2">
    <v>372</v>
  </rv>
  <rv s="0">
    <v>https://www.bing.com/financeapi/forcetrigger?t=bn11ar&amp;q=BMEX%3aYTAN&amp;form=skydnc</v>
    <v>Learn more on Bing</v>
  </rv>
  <rv s="11">
    <v>pt-BR</v>
    <v>bn11ar</v>
    <v>268435456</v>
    <v>1</v>
    <v>Da plataforma Refinitiv</v>
    <v>30</v>
    <v>31</v>
    <v>Tander Inversion (BMEX:YTAN)</v>
    <v>3</v>
    <v>32</v>
    <v>Finance</v>
    <v>11</v>
    <v>BMEX</v>
    <v>9389400</v>
    <v>12.1</v>
    <v>2013</v>
    <v>12.1</v>
    <v>-4.1999999999999997E-3</v>
    <v>Bolsas y Mercados Espanoles</v>
    <v>111733800</v>
    <v xml:space="preserve">Tander Inversiones SOCIMI SA is a Spain-based real estate company. It focuses on the acquisition of properties for retail commercial use in the major arteries of Spain's most relevant cities. The Company owns also properties in Portugal. </v>
    <v>BMEX</v>
    <v>11.6</v>
    <v>12</v>
    <v>45939.667870370373</v>
    <v>374</v>
    <v>EUR</v>
    <v>Tander Inversion</v>
    <v>Tander Inversion</v>
    <v>49.153199999999998</v>
    <v>12.1</v>
    <v>12.1</v>
    <v>Avenida Diagonal 467, 4 2b, BARCELONA, BARCELONA, 08036 ES</v>
    <v>Residential &amp; Commercial REIT</v>
    <v>YTAN</v>
    <v>Ações</v>
    <v>Tander Inversion (BMEX:YTAN)</v>
    <v>0.5</v>
    <v>4.3102999999999995E-2</v>
    <v>428</v>
  </rv>
  <rv s="2">
    <v>375</v>
  </rv>
  <rv s="0">
    <v>https://www.bing.com/financeapi/forcetrigger?t=c2u63m&amp;q=BMEX%3aAMEN&amp;form=skydnc</v>
    <v>Learn more on Bing</v>
  </rv>
  <rv s="21">
    <v>pt-BR</v>
    <v>c2u63m</v>
    <v>268435456</v>
    <v>1</v>
    <v>Da plataforma Refinitiv</v>
    <v>61</v>
    <v>62</v>
    <v>Aeternal Mentis (BMEX:AMEN)</v>
    <v>3</v>
    <v>63</v>
    <v>Finance</v>
    <v>11</v>
    <v>BMEX</v>
    <v>13232170</v>
    <v>8.15</v>
    <v>2021</v>
    <v>8.15</v>
    <v>-0.44769999999999999</v>
    <v>Bolsas y Mercados Espanoles</v>
    <v>113135000</v>
    <v>Aeternal Mentis SA is a Spain-based public technology service company. The Company is dedicated to providing other businesses with the infrastructure and services needed for the development of Artificial Intelligence models and their subsequent implementation for everyday use. The Company's business activity is centered around the leasing of computational capacity for the generation and training of Artificial Intelligence models, as well as aiding and advising in their development. The Company is operating using a pilot plant that is supporting a series of pilot projects from varying sectors, which serves to attract demand for the services from a wide range of clients. All companies or entities that can benefit from the use of Artificial Intelligence models that allow them to reduce costs or improve sales through data processing and the automation of processes are potential clients.</v>
    <v>BMEX</v>
    <v>8.5500000000000007</v>
    <v>1</v>
    <v>46233.666666666664</v>
    <v>377</v>
    <v>EUR</v>
    <v>Aeternal Mentis</v>
    <v>Aeternal Mentis</v>
    <v>8.15</v>
    <v>8.15</v>
    <v>Plaza Euskadi 5 15, BILBAO, VIZCAYA ES</v>
    <v>Software &amp; IT Services</v>
    <v>AMEN</v>
    <v>Ações</v>
    <v>Aeternal Mentis (BMEX:AMEN)</v>
    <v>-0.4</v>
    <v>-4.6783999999999999E-2</v>
    <v>5</v>
  </rv>
  <rv s="2">
    <v>378</v>
  </rv>
  <rv s="22">
    <v>pt-BR</v>
    <v>c9fjim</v>
    <v>268435456</v>
    <v>1</v>
    <v>Da plataforma Refinitiv</v>
    <v>64</v>
    <v>65</v>
    <v>Greening Group (BMEX:GGR)</v>
    <v>18</v>
    <v>66</v>
    <v>Finance</v>
    <v>11</v>
    <v>6.7</v>
    <v>1.96</v>
    <v>BMEX</v>
    <v>57265260</v>
    <v>2.09</v>
    <v>2020</v>
    <v>1.96</v>
    <v>Bolsas y Mercados Espanoles</v>
    <v>114530500</v>
    <v>Greening Group Global SA, formerly Grupo Greening 2022 SA, is a Spain-based company that forms a consolidated group of businesses primarily engaged in the renewable energy industry. The Company focuses on the design and construction of industrial self-consumption facilities, solar water pumping systems, and the promotion of energy efficiency projects. Their key product is photovoltaic self-consumption installations, which are solar energy systems aimed at promoting the use of renewable energy and reducing the carbon footprint. The Company's segments are divided into Engineering, Commercial products, Commercial energy, Energy productions, Others, and Aggregate. The Company serves markets across Spain and potentially other regions.</v>
    <v>BMEX</v>
    <v>2</v>
    <v>451</v>
    <v>46237.666666666664</v>
    <v>116300</v>
    <v>EUR</v>
    <v>Greening Group</v>
    <v>Greening Group</v>
    <v>1.9950000000000001</v>
    <v>2.04</v>
    <v>C/ Alcayata, 4. Poligono Industrial El Florio, GRANADA, GRANADA, 18015 ES</v>
    <v>Renewable Energy</v>
    <v>GGR</v>
    <v>Ações</v>
    <v>Greening Group (BMEX:GGR)</v>
    <v>0.04</v>
    <v>0.02</v>
    <v>56242</v>
  </rv>
  <rv s="2">
    <v>380</v>
  </rv>
  <rv s="0">
    <v>https://www.bing.com/financeapi/forcetrigger?t=amftkr&amp;q=BMEX%3aCLR&amp;form=skydnc</v>
    <v>Learn more on Bing</v>
  </rv>
  <rv s="23">
    <v>pt-BR</v>
    <v>amftkr</v>
    <v>268435456</v>
    <v>1</v>
    <v>Da plataforma Refinitiv</v>
    <v>67</v>
    <v>68</v>
    <v>Clerhp Estructur (BMEX:CLR)</v>
    <v>3</v>
    <v>69</v>
    <v>Finance</v>
    <v>11</v>
    <v>BMEX</v>
    <v>14796830</v>
    <v>22.9</v>
    <v>2018</v>
    <v>21.6</v>
    <v>1.0406</v>
    <v>Bolsas y Mercados Espanoles</v>
    <v>316652300</v>
    <v xml:space="preserve">Clerhp Estructuras SA is a Spain-based company active in the construction and engineering industries. The Company, also through its subsidiaries, operates four business lines: Design and Calculation, Technical Assistance, Construction and Equipment Rental. The Design and Calculation line performs structural engineering works both on new projects and on existing ones. The Technical Assistance line provides customers with project technical assistance and monitoring services. The Construction line realize the construction works of the projects. The Equipment Rental line offers equipment under leasing and related services. The Company is active in Spain and in South America. </v>
    <v>BMEX</v>
    <v>21.4</v>
    <v>100</v>
    <v>46237.666666666664</v>
    <v>382</v>
    <v>64190</v>
    <v>EUR</v>
    <v>Clerhp Estructur</v>
    <v>Clerhp Estructur</v>
    <v>21.9</v>
    <v>22</v>
    <v>c/ Avenida Europa, 3B, Entresuelo 1, MURCIA, MURCIA, 30007 ES</v>
    <v>Construction &amp; Engineering</v>
    <v>CLR</v>
    <v>Ações</v>
    <v>Clerhp Estructur (BMEX:CLR)</v>
    <v>0.6</v>
    <v>2.8036999999999999E-2</v>
    <v>29169</v>
  </rv>
  <rv s="2">
    <v>383</v>
  </rv>
  <rv s="0">
    <v>https://www.bing.com/financeapi/forcetrigger?t=c4bavh&amp;q=BMEX%3aSNG&amp;form=skydnc</v>
    <v>Learn more on Bing</v>
  </rv>
  <rv s="13">
    <v>pt-BR</v>
    <v>c4bavh</v>
    <v>268435456</v>
    <v>1</v>
    <v>Da plataforma Refinitiv</v>
    <v>37</v>
    <v>38</v>
    <v>Singular people (BMEX:SNG)</v>
    <v>3</v>
    <v>39</v>
    <v>Finance</v>
    <v>11</v>
    <v>BMEX</v>
    <v>53427340</v>
    <v>2.1</v>
    <v>2014</v>
    <v>2.06</v>
    <v>-6.54E-2</v>
    <v>Bolsas y Mercados Espanoles</v>
    <v>110060300</v>
    <v>Singular People SA, formerly Singular People SL, is a Spain-based private company which engages in different technology, design and innovation services. The Company operates in the provision of strategic and technological consulting services by intervening, promoting, administering, and managing/or advising companies. The Company also operates in holding, buying and selling, administrating, managing and exploiting of shares.</v>
    <v>BMEX</v>
    <v>2.06</v>
    <v>1480</v>
    <v>46237.666666666664</v>
    <v>385</v>
    <v>8990</v>
    <v>EUR</v>
    <v>Singular people</v>
    <v>Singular people</v>
    <v>18.7166</v>
    <v>2.06</v>
    <v>2.1</v>
    <v>Calle Labastida N 1, Madrid, MADRID, 28034 ES</v>
    <v>Software &amp; IT Services</v>
    <v>SNG</v>
    <v>Ações</v>
    <v>Singular people (BMEX:SNG)</v>
    <v>0.04</v>
    <v>1.9417E-2</v>
    <v>32200</v>
  </rv>
  <rv s="2">
    <v>386</v>
  </rv>
  <rv s="0">
    <v>https://www.bing.com/financeapi/forcetrigger?t=amg72w&amp;q=BMEX%3aYGOP&amp;form=skydnc</v>
    <v>Learn more on Bing</v>
  </rv>
  <rv s="13">
    <v>pt-BR</v>
    <v>amg72w</v>
    <v>268435456</v>
    <v>1</v>
    <v>Da plataforma Refinitiv</v>
    <v>37</v>
    <v>38</v>
    <v>Gop Properties (BMEX:YGOP)</v>
    <v>3</v>
    <v>39</v>
    <v>Finance</v>
    <v>11</v>
    <v>BMEX</v>
    <v>6924690</v>
    <v>17.399999999999999</v>
    <v>2016</v>
    <v>17.399999999999999</v>
    <v>-2.9499999999999998E-2</v>
    <v>Bolsas y Mercados Espanoles</v>
    <v>120489500</v>
    <v>Gop Properties Socimi SA, formerly Grupo Ortiz Properties SOCIMI SA, is a Spain-based real estate company. The Company's main activity is the management of its diversified portfolio of assets, held for long-term rental purposes. The Company's portfolio consists of approximately 100.000 square meters of energy-efficient properties, both residential and business, located mainly in Madrid and including apartment buildings, offices, commercial premises, warehouses, parking structures and service stations. The Company divides its business into five segments, reflecting the type of properties: Offices, Residential, Warehouses, commercial premises and other, Parking and Service stations.</v>
    <v>BMEX</v>
    <v>17.399999999999999</v>
    <v>1</v>
    <v>46237.568981481483</v>
    <v>388</v>
    <v>80</v>
    <v>EUR</v>
    <v>Gop Properties</v>
    <v>Gop Properties</v>
    <v>10.2155</v>
    <v>17.399999999999999</v>
    <v>17.399999999999999</v>
    <v>Avenida Ensanche de Vallecas 44, MADRID, MADRID, 28051 ES</v>
    <v>Real Estate Operations</v>
    <v>YGOP</v>
    <v>Ações</v>
    <v>Gop Properties (BMEX:YGOP)</v>
    <v>0</v>
    <v>0</v>
    <v>48</v>
  </rv>
  <rv s="2">
    <v>389</v>
  </rv>
  <rv s="0">
    <v>https://www.bing.com/financeapi/forcetrigger?t=bo9q9c&amp;q=BMEX%3aYHSP&amp;form=skydnc</v>
    <v>Learn more on Bing</v>
  </rv>
  <rv s="13">
    <v>pt-BR</v>
    <v>bo9q9c</v>
    <v>268435456</v>
    <v>1</v>
    <v>Da plataforma Refinitiv</v>
    <v>37</v>
    <v>38</v>
    <v>Hispanotels Inv (BMEX:YHSP)</v>
    <v>3</v>
    <v>39</v>
    <v>Finance</v>
    <v>11</v>
    <v>BMEX</v>
    <v>11174900</v>
    <v>9.3000000000000007</v>
    <v>1947</v>
    <v>9.25</v>
    <v>9.2600000000000002E-2</v>
    <v>Bolsas y Mercados Espanoles</v>
    <v>103926600</v>
    <v>Hispanotels Inversiones SOCIMI SA is a Spain-based company, engaged in the real estate market. The Company invests in the hotel, office, residential and commercial real estate market. It classifies its investment policy as a conservative one - it has a long-term investment goal when making an investment in an asset. The Company is focused on investing in the assets located in Spain. The Company owns a portfolio of real estate assets for rent, located in the center of Madrid, Alcorcon, Valladolid, Jaen, and Girona. It manages buildings for hotels and commercial premises in Madrid. Assets outside of Madrid are located in the main streets of the cities they are in.</v>
    <v>BMEX</v>
    <v>9.3000000000000007</v>
    <v>3</v>
    <v>46237.583483796298</v>
    <v>391</v>
    <v>160</v>
    <v>EUR</v>
    <v>Hispanotels Inv</v>
    <v>Hispanotels Inv</v>
    <v>12.3146</v>
    <v>9.25</v>
    <v>9.3000000000000007</v>
    <v>Calle Zurbano, 83, MADRID, MADRID, 28003 ES</v>
    <v>Residential &amp; Commercial REIT</v>
    <v>YHSP</v>
    <v>Ações</v>
    <v>Hispanotels Inv (BMEX:YHSP)</v>
    <v>0</v>
    <v>0</v>
    <v>760</v>
  </rv>
  <rv s="2">
    <v>392</v>
  </rv>
  <rv s="0">
    <v>https://www.bing.com/financeapi/forcetrigger?t=bsoq2w&amp;q=BMEX%3aYADV&amp;form=skydnc</v>
    <v>Learn more on Bing</v>
  </rv>
  <rv s="13">
    <v>pt-BR</v>
    <v>bsoq2w</v>
    <v>268435456</v>
    <v>1</v>
    <v>Da plataforma Refinitiv</v>
    <v>37</v>
    <v>38</v>
    <v>Advero Propertie (BMEX:YADV)</v>
    <v>3</v>
    <v>39</v>
    <v>Finance</v>
    <v>11</v>
    <v>BMEX</v>
    <v>6908630</v>
    <v>13.7</v>
    <v>2017</v>
    <v>13.7</v>
    <v>7.4099999999999999E-2</v>
    <v>Bolsas y Mercados Espanoles</v>
    <v>93957410</v>
    <v>ADVERO Properties Socimi, S.A. is a Spain- based Real Estate Investment company. It specialized in residential properties across Spain. The Company owns the property, which facilitates its management, the creation of cohesive resident communities and offer of additional services adapted to the needs and purchasing power.</v>
    <v>BMEX</v>
    <v>13.6</v>
    <v>6</v>
    <v>46227.666666666664</v>
    <v>394</v>
    <v>10</v>
    <v>EUR</v>
    <v>Advero Propertie</v>
    <v>Advero Propertie</v>
    <v>139.9177</v>
    <v>13.7</v>
    <v>13.7</v>
    <v>c/Iradier 21, BARCELONA, BARCELONA, 08017 ES</v>
    <v>Residential &amp; Commercial REIT</v>
    <v>YADV</v>
    <v>Ações</v>
    <v>Advero Propertie (BMEX:YADV)</v>
    <v>0.1</v>
    <v>7.3529999999999993E-3</v>
    <v>100</v>
  </rv>
  <rv s="2">
    <v>395</v>
  </rv>
  <rv s="0">
    <v>https://www.bing.com/financeapi/forcetrigger?t=c6l327&amp;q=BMEX%3aYIBI&amp;form=skydnc</v>
    <v>Learn more on Bing</v>
  </rv>
  <rv s="13">
    <v>pt-BR</v>
    <v>c6l327</v>
    <v>268435456</v>
    <v>1</v>
    <v>Da plataforma Refinitiv</v>
    <v>37</v>
    <v>38</v>
    <v>Ibi Lion Socimi (BMEX:YIBI)</v>
    <v>3</v>
    <v>39</v>
    <v>Finance</v>
    <v>11</v>
    <v>BMEX</v>
    <v>78045120</v>
    <v>1.31</v>
    <v>2021</v>
    <v>1.31</v>
    <v>9.0800000000000006E-2</v>
    <v>Bolsas y Mercados Espanoles</v>
    <v>102239100</v>
    <v>IBI-Lion SOCIMI SA is a Spain-based company focused on the acquisition of assets such as offices, industrial, logistic, and high street retail in Spain. The Company’s main activities are: Acquisition and promotion of urban real estate for lease, including the activity of restoration of buildings; Holding of shares or equity interests in the capital of listed real estate investment companies; Holding of shares or interests in the capital of other entities, whose main corporate purpose is the acquisition of real estate. The Company is managed by IBI Investment House Ltd and Lion Investment Group.</v>
    <v>BMEX</v>
    <v>1.27</v>
    <v>1</v>
    <v>46227.666666666664</v>
    <v>397</v>
    <v>650</v>
    <v>EUR</v>
    <v>Ibi Lion Socimi</v>
    <v>Ibi Lion Socimi</v>
    <v>37.110500000000002</v>
    <v>1.31</v>
    <v>1.31</v>
    <v>Calle Velazquez 17, Piso 5, Izquierda, MADRID, MADRID, 28001 ES</v>
    <v>Real Estate Operations</v>
    <v>YIBI</v>
    <v>Ações</v>
    <v>Ibi Lion Socimi (BMEX:YIBI)</v>
    <v>0.04</v>
    <v>3.1495999999999996E-2</v>
    <v>500</v>
  </rv>
  <rv s="2">
    <v>398</v>
  </rv>
  <rv s="24">
    <v>pt-BR</v>
    <v>cfd1ec</v>
    <v>268435456</v>
    <v>1</v>
    <v>Da plataforma Refinitiv</v>
    <v>70</v>
    <v>71</v>
    <v>Santa Ana Global (BMEX:STNA)</v>
    <v>18</v>
    <v>72</v>
    <v>Finance</v>
    <v>11</v>
    <v>BMEX</v>
    <v>15.4</v>
    <v>14.9</v>
    <v>Bolsas y Mercados Espanoles</v>
    <v>BMEX</v>
    <v>14.2</v>
    <v>46189.666666666664</v>
    <v>EUR</v>
    <v>Santa Ana Global</v>
    <v>Santa Ana Global</v>
    <v>14.9</v>
    <v>15.4</v>
    <v>CASTELLO 32 1 Derecha, MADRID, MADRID, 28001 ES</v>
    <v>STNA</v>
    <v>Ações</v>
    <v>Santa Ana Global (BMEX:STNA)</v>
    <v>1.2</v>
    <v>8.4506999999999999E-2</v>
    <v>1700</v>
  </rv>
  <rv s="2">
    <v>400</v>
  </rv>
  <rv s="15">
    <v>12</v>
    <v>Setor</v>
    <v>0</v>
  </rv>
  <rv s="0">
    <v>https://www.bing.com/financeapi/forcetrigger?t=c6y3bh&amp;q=BMEX%3aAPG&amp;form=skydnc</v>
    <v>Learn more on Bing</v>
  </rv>
  <rv s="13">
    <v>pt-BR</v>
    <v>c6y3bh</v>
    <v>268435456</v>
    <v>1</v>
    <v>Da plataforma Refinitiv</v>
    <v>37</v>
    <v>38</v>
    <v>Axon Partnes Grp (BMEX:APG)</v>
    <v>3</v>
    <v>39</v>
    <v>Finance</v>
    <v>11</v>
    <v>BMEX</v>
    <v>5307430</v>
    <v>17.7</v>
    <v>2012</v>
    <v>17.600000000000001</v>
    <v>-0.152</v>
    <v>Bolsas y Mercados Espanoles</v>
    <v>90226390</v>
    <v>Axon Partners Group SA is an international firm based in Spain specialized in investment and consulting activities. The Company's corporate purpose is to provide advisory, consulting and management services to private equity entities, providing specialized services in global emerging markets. The Group mainly develops two business activities that are encompassed in three business segments: Securities Brokerage, Investment and Consulting. The Company operates globally from offices in Madrid, Seville, Bogota, Bogota, Brussels, Istanbul, Istanbul, Medellin and Riyadh.</v>
    <v>BMEX</v>
    <v>17</v>
    <v>91</v>
    <v>46237.666666666664</v>
    <v>403</v>
    <v>60</v>
    <v>EUR</v>
    <v>Axon Partnes Grp</v>
    <v>Axon Partnes Grp</v>
    <v>14.5237</v>
    <v>17.600000000000001</v>
    <v>17.7</v>
    <v>Calle Sagasta 18 3, MADRID, 28004 ES</v>
    <v>Investment Banking &amp; Investment Services</v>
    <v>APG</v>
    <v>Ações</v>
    <v>Axon Partnes Grp (BMEX:APG)</v>
    <v>0.7</v>
    <v>4.1176000000000004E-2</v>
    <v>658</v>
  </rv>
  <rv s="2">
    <v>404</v>
  </rv>
  <rv s="0">
    <v>https://www.bing.com/financeapi/forcetrigger?t=c5jm27&amp;q=BMEX%3aVYT&amp;form=skydnc</v>
    <v>Learn more on Bing</v>
  </rv>
  <rv s="13">
    <v>pt-BR</v>
    <v>c5jm27</v>
    <v>268435456</v>
    <v>1</v>
    <v>Da plataforma Refinitiv</v>
    <v>37</v>
    <v>38</v>
    <v>Vytrus Biotech (BMEX:VYT)</v>
    <v>3</v>
    <v>39</v>
    <v>Finance</v>
    <v>11</v>
    <v>BMEX</v>
    <v>7635100</v>
    <v>17.5</v>
    <v>2009</v>
    <v>16.649999999999999</v>
    <v>0.1275</v>
    <v>Bolsas y Mercados Espanoles</v>
    <v>129796700</v>
    <v>Vytrus Biotech SA, formerly Phyture Biotech SL, is Spain-based company principally engaged in the biotechnology industry. The Company develops high added value natural active ingredients on an industrial scale and provides ingredients and recombinant proteins for its use in the cosmetics and pharmaceutical sectors. The Company’s technology is based on using plant cell cultures to produce bioactive molecules. The Company obtains plant cells, known as Plant Stem Cell technology, which is applicable for cosmetics. Vytrus Biotech specifically target dermo-cosmetics as well as veterinary medicine, functional food and other pharmaceuticals, generating savings of more than 99% in natural resources.</v>
    <v>BMEX</v>
    <v>17</v>
    <v>44</v>
    <v>46237.666666666664</v>
    <v>406</v>
    <v>3040</v>
    <v>EUR</v>
    <v>Vytrus Biotech</v>
    <v>Vytrus Biotech</v>
    <v>44.328600000000002</v>
    <v>16.8</v>
    <v>17</v>
    <v>C/Sant Gaieta 121, 2 planta, TERRASSA, BARCELONA, 08221 ES</v>
    <v>Professional &amp; Commercial Services</v>
    <v>VYT</v>
    <v>Ações</v>
    <v>Vytrus Biotech (BMEX:VYT)</v>
    <v>0</v>
    <v>0</v>
    <v>1733</v>
  </rv>
  <rv s="2">
    <v>407</v>
  </rv>
  <rv s="0">
    <v>https://www.bing.com/financeapi/forcetrigger?t=c2u29c&amp;q=BMEX%3aLLYC&amp;form=skydnc</v>
    <v>Learn more on Bing</v>
  </rv>
  <rv s="25">
    <v>pt-BR</v>
    <v>c2u29c</v>
    <v>268435456</v>
    <v>1</v>
    <v>Da plataforma Refinitiv</v>
    <v>73</v>
    <v>74</v>
    <v>Llorente &amp; Cuenc (BMEX:LLYC)</v>
    <v>3</v>
    <v>75</v>
    <v>Finance</v>
    <v>11</v>
    <v>BMEX</v>
    <v>11639570</v>
    <v>4.62</v>
    <v>4.58</v>
    <v>0.72889999999999999</v>
    <v>Bolsas y Mercados Espanoles</v>
    <v>54007600</v>
    <v>Llorente &amp; Cuenca SA is a Spain-based global communication and public affairs consulting public company. The Company helps its clients to proactively make strategic decisions, with the necessary creativity and experience, and their execution, minimizing risks, taking advantage of opportunities and always considering the reputational impact. The Company helps its clients achieve their short-term business goals and set a path, with a long-term vision, to defend their social license to operate and increase their reputation. The Company has 16 offices in Argentina, Brazil, Colombia, Chile, Ecuador, Spain, the United States (Miami, New York and Washington, DC), Mexico, Panama , Peru, Portugal and the Dominican Republic.</v>
    <v>BMEX</v>
    <v>4.6399999999999997</v>
    <v>1224</v>
    <v>46237.666666666664</v>
    <v>409</v>
    <v>1930</v>
    <v>EUR</v>
    <v>Llorente &amp; Cuenc</v>
    <v>Llorente &amp; Cuenc</v>
    <v>7.7411000000000003</v>
    <v>4.62</v>
    <v>4.58</v>
    <v>Calle Lagasca 88, MADRID, MADRID, 28001 ES</v>
    <v>Media &amp; Publishing</v>
    <v>LLYC</v>
    <v>Ações</v>
    <v>Llorente &amp; Cuenc (BMEX:LLYC)</v>
    <v>-0.06</v>
    <v>-1.2931E-2</v>
    <v>3694</v>
  </rv>
  <rv s="2">
    <v>410</v>
  </rv>
  <rv s="0">
    <v>https://www.bing.com/financeapi/forcetrigger?t=c3u4lh&amp;q=OTCM%3aSCBKF&amp;form=skydnc</v>
    <v>Learn more on Bing</v>
  </rv>
  <rv s="26">
    <v>pt-BR</v>
    <v>c3u4lh</v>
    <v>268435456</v>
    <v>1</v>
    <v>Da plataforma Refinitiv</v>
    <v>76</v>
    <v>77</v>
    <v>Science (OTCM:SCBKF)</v>
    <v>3</v>
    <v>78</v>
    <v>Finance</v>
    <v>11</v>
    <v>0.4</v>
    <v>0.4</v>
    <v>OTCM</v>
    <v>0.4</v>
    <v>0.4</v>
    <v>OTC Markets</v>
    <v>OTCM</v>
    <v>0.4</v>
    <v>45952.006944444445</v>
    <v>412</v>
    <v>USD</v>
    <v>Science</v>
    <v>Science</v>
    <v>0</v>
    <v>0.4</v>
    <v>0.4</v>
    <v>22 North Canal Road, 048834 SG</v>
    <v>SCBKF</v>
    <v>Ações</v>
    <v>Science (OTCM:SCBKF)</v>
    <v>0</v>
    <v>0</v>
    <v>5</v>
  </rv>
  <rv s="2">
    <v>413</v>
  </rv>
  <rv s="0">
    <v>https://www.bing.com/financeapi/forcetrigger?t=c66sur&amp;q=BMEX%3aLIB&amp;form=skydnc</v>
    <v>Learn more on Bing</v>
  </rv>
  <rv s="8">
    <v>pt-BR</v>
    <v>c66sur</v>
    <v>268435456</v>
    <v>1</v>
    <v>Da plataforma Refinitiv</v>
    <v>19</v>
    <v>20</v>
    <v>Libertas 7 (BMEX:LIB)</v>
    <v>3</v>
    <v>21</v>
    <v>Finance</v>
    <v>11</v>
    <v>4.9059999999999997</v>
    <v>2.621</v>
    <v>BMEX</v>
    <v>21914440</v>
    <v>3.22</v>
    <v>1946</v>
    <v>3</v>
    <v>0.36620000000000003</v>
    <v>Bolsas y Mercados Espanoles</v>
    <v>65743310</v>
    <v>Libertas 7 SA is a Spain-based company engaged in the real estate sector and the provision of investment activities. Through the investment division, Libertas 7 SA purchases and manages shares of companies engaged mainly in media, wine, luxury, construction and engineering, diet, renewable energies and financial sectors. In the real estate division, the Company’s activities include housing development, as well as the leasing of residential and non-residential properties. As of December 31, 2011, the Company owned such subsidiaries as Libertas Novo SL, Ficsa Vivienda Segura SA, Liberty Lux SA, Al Mukhabir SA and Oinos Liber SA, among others. In addition, Finanzas e Inversiones Valencianas SA was the Company's major shareholder with 26.78% of its interest.</v>
    <v>BMEX</v>
    <v>3</v>
    <v>51</v>
    <v>46237.666666666664</v>
    <v>415</v>
    <v>1320</v>
    <v>EUR</v>
    <v>Libertas 7</v>
    <v>Libertas 7</v>
    <v>0.64200000000000002</v>
    <v>3.14</v>
    <v>3.05</v>
    <v>Calle Caballeros, n 36, VALENCIA, VALENCIA, 46001 ES</v>
    <v>Real Estate Operations</v>
    <v>LIB</v>
    <v>Ações</v>
    <v>Libertas 7 (BMEX:LIB)</v>
    <v>0.05</v>
    <v>1.6667000000000001E-2</v>
    <v>12847</v>
  </rv>
  <rv s="2">
    <v>416</v>
  </rv>
  <rv s="0">
    <v>https://www.bing.com/financeapi/forcetrigger?t=amg4m7&amp;q=BMEX%3aVOC&amp;form=skydnc</v>
    <v>Learn more on Bing</v>
  </rv>
  <rv s="9">
    <v>pt-BR</v>
    <v>amg4m7</v>
    <v>268435456</v>
    <v>1</v>
    <v>Da plataforma Refinitiv</v>
    <v>24</v>
    <v>25</v>
    <v>Vocento (BMEX:VOC)</v>
    <v>3</v>
    <v>26</v>
    <v>Finance</v>
    <v>11</v>
    <v>1.02</v>
    <v>0.61199999999999999</v>
    <v>BMEX</v>
    <v>124319700</v>
    <v>0.83</v>
    <v>1945</v>
    <v>0.79</v>
    <v>0.85140000000000005</v>
    <v>Bolsas y Mercados Espanoles</v>
    <v>103185400</v>
    <v>Vocento SA is a Spain-based company engaged in the multimedia industry. The Company publishes, distributes and sells unit publications, periodic and non-periodic, about general information, culture, sports, arts and other related topics. It operates through four segments: Print Media, which provides printing and distribution services; Audiovisual, which is responsible for the broadcasting of television channels in the Spanish Digital Terrestrial Television (DTT) and one radio station, as well as the operation of five audiovisual production entities BocaBoca Producciones, Europroducciones, Hill Valley, Videomedia and Tripictures; Internet, which hosts with the coverage of news and events, as well as specific applications for smartphones and tablet computers; and Other Businesses, which is active in the printing, distribution and free press sectors. It operates through Foro de Debate.</v>
    <v>BMEX</v>
    <v>0.83</v>
    <v>2600</v>
    <v>46237.666666666664</v>
    <v>418</v>
    <v>7630</v>
    <v>EUR</v>
    <v>Vocento</v>
    <v>Vocento</v>
    <v>0.83</v>
    <v>0.83</v>
    <v>Gran Via de Don Diego Lopez de Haro n 45, 3 planta., BILBAO, VIZCAYA, 48011 ES</v>
    <v>Media &amp; Publishing</v>
    <v>VOC</v>
    <v>Ações</v>
    <v>Vocento (BMEX:VOC)</v>
    <v>0</v>
    <v>0</v>
    <v>4119</v>
  </rv>
  <rv s="2">
    <v>419</v>
  </rv>
  <rv s="0">
    <v>https://www.bing.com/financeapi/forcetrigger?t=bok727&amp;q=BMEX%3aYIPS&amp;form=skydnc</v>
    <v>Learn more on Bing</v>
  </rv>
  <rv s="13">
    <v>pt-BR</v>
    <v>bok727</v>
    <v>268435456</v>
    <v>1</v>
    <v>Da plataforma Refinitiv</v>
    <v>37</v>
    <v>38</v>
    <v>Inversa Prime (BMEX:YIPS)</v>
    <v>3</v>
    <v>39</v>
    <v>Finance</v>
    <v>11</v>
    <v>BMEX</v>
    <v>76377210</v>
    <v>0.74</v>
    <v>2017</v>
    <v>0.74</v>
    <v>-0.1203</v>
    <v>Bolsas y Mercados Espanoles</v>
    <v>56519140</v>
    <v>Inversa Prime SOCIMI SA, formely Almagro Capital SOCIMI SA is a Spain-based company active as a real estate investment trust. The activity of Inversa Prime focuses on the acquisition of residential housing for elderly people and the subsequent formalization of a long-term lease, giving a new alternative to society for the monetization of housing and continue living in it. The Company manages assets, which are localized within Spanish territory, mainly in Madrid. The assets are managed by the manager Orfila Management SL, which performs the functions analysis of investments and divestments including the search, structuring and design of financing. The Company's strategy lies in the acquisition of real estate assets with a high discount against market value, seeking to maximize the return of investors through the divestment of assets in the medium/long term.</v>
    <v>BMEX</v>
    <v>0.74</v>
    <v>1</v>
    <v>46237.666666666664</v>
    <v>421</v>
    <v>2740</v>
    <v>EUR</v>
    <v>Inversa Prime</v>
    <v>Inversa Prime</v>
    <v>5.5347999999999997</v>
    <v>0.74</v>
    <v>0.74</v>
    <v>C/ Velazquez 41 1, Madrid, MADRID ES</v>
    <v>Residential &amp; Commercial REIT</v>
    <v>YIPS</v>
    <v>Ações</v>
    <v>Inversa Prime (BMEX:YIPS)</v>
    <v>0</v>
    <v>0</v>
    <v>2</v>
  </rv>
  <rv s="2">
    <v>422</v>
  </rv>
  <rv s="0">
    <v>https://www.bing.com/financeapi/forcetrigger?t=c6y3h7&amp;q=BMEX%3aUSI&amp;form=skydnc</v>
    <v>Learn more on Bing</v>
  </rv>
  <rv s="23">
    <v>pt-BR</v>
    <v>c6y3h7</v>
    <v>268435456</v>
    <v>1</v>
    <v>Da plataforma Refinitiv</v>
    <v>67</v>
    <v>68</v>
    <v>Umbrella Glo (BMEX:UMB)</v>
    <v>3</v>
    <v>69</v>
    <v>Finance</v>
    <v>11</v>
    <v>BMEX</v>
    <v>24313250</v>
    <v>3.16</v>
    <v>2018</v>
    <v>3.16</v>
    <v>0.18190000000000001</v>
    <v>Bolsas y Mercados Espanoles</v>
    <v>76829880</v>
    <v>Umbrella Global Energy SA is a Spain-based electric power generation facility operator. The Company through the group's entities the activities consist of energy production, facilitation and distribution focusing on photovoltaic solar electricity. The Company engages in and develops renewable energy projects via marketing electric and electronic materials, promotion, design, construction, operation and sale and purchase of photovoltaic solar plants or other renewable energies. This process is achieved by administration of group companies, consulting services and general management of all considered assets. The Company captures the full business potential in the solar photovoltaic value chain, generating renewable electricity from IM2 Energia Solar and producing advanced equipment for residential solar self-consumption from Turbo Energy.</v>
    <v>BMEX</v>
    <v>3.18</v>
    <v>56</v>
    <v>46230.666666666664</v>
    <v>424</v>
    <v>140</v>
    <v>EUR</v>
    <v>Umbrella Glo</v>
    <v>Umbrella Glo</v>
    <v>3.16</v>
    <v>3.16</v>
    <v>Plaza de America 2, 4 piso, puerta AB., VALENCIA, VALENCIA, 46004 ES</v>
    <v>Construction &amp; Engineering</v>
    <v>UMB</v>
    <v>Ações</v>
    <v>Umbrella Glo (BMEX:UMB)</v>
    <v>-0.02</v>
    <v>-6.2890000000000003E-3</v>
    <v>1351</v>
  </rv>
  <rv s="2">
    <v>425</v>
  </rv>
  <rv s="27">
    <v>pt-BR</v>
    <v>c8a46h</v>
    <v>268435456</v>
    <v>1</v>
    <v>Da plataforma Refinitiv</v>
    <v>79</v>
    <v>80</v>
    <v>Energy Solar Tec (BMEX:ETC)</v>
    <v>18</v>
    <v>39</v>
    <v>Finance</v>
    <v>11</v>
    <v>BMEX</v>
    <v>26951380</v>
    <v>1.36</v>
    <v>2020</v>
    <v>1.3149999999999999</v>
    <v>1.1400999999999999</v>
    <v>Bolsas y Mercados Espanoles</v>
    <v>35441060</v>
    <v>Energy Solar Tech SA (Energy Solar) is a Spain-based company primarily engaged in the energy sector. The Company’s scope of activities includes, among others, generation of electricity together with manufacturing electronic devices and distributing them to clients. The products provided by Energy Solar to its clients involves solar panels, invertors, or monitoring devices. When it comes to offered solar panels, the Company is in possession of numerous types, such as Enpower PLUS 2021, Efficiency PLUS 2021, Enpower 2020 or Signature 2020, each suitable for particular climatic conditions. Provided solar panels are also characterized by a self-consumption system, which stands for generation of electricity for client’s own consumption. The Firm is also a regulated energy trader in rural, industrial, or commercial areas. In addition, the Company operates through its subsidiary Agais Servicios Energeticos SL.</v>
    <v>BMEX</v>
    <v>1.3149999999999999</v>
    <v>141</v>
    <v>46237.666666666664</v>
    <v>11570</v>
    <v>EUR</v>
    <v>Energy Solar Tec</v>
    <v>Energy Solar Tec</v>
    <v>16.8109</v>
    <v>1.3149999999999999</v>
    <v>1.36</v>
    <v>Calle Jose Echegaray 8, Edificio 1, Modulo 5-6. Planta 1, LAS ROZAS DE MADRID, MADRID, 28232 ES</v>
    <v>Electrical Utilities &amp; IPPs</v>
    <v>ETC</v>
    <v>Ações</v>
    <v>Energy Solar Tec (BMEX:ETC)</v>
    <v>4.4999999999999998E-2</v>
    <v>3.4221000000000001E-2</v>
    <v>7187</v>
  </rv>
  <rv s="2">
    <v>427</v>
  </rv>
  <rv s="0">
    <v>https://www.bing.com/financeapi/forcetrigger?t=bjrkcw&amp;q=BMEX%3aALQ&amp;form=skydnc</v>
    <v>Learn more on Bing</v>
  </rv>
  <rv s="25">
    <v>pt-BR</v>
    <v>bjrkcw</v>
    <v>268435456</v>
    <v>1</v>
    <v>Da plataforma Refinitiv</v>
    <v>73</v>
    <v>74</v>
    <v>Alquiber Quality (BMEX:ALQ)</v>
    <v>3</v>
    <v>75</v>
    <v>Finance</v>
    <v>11</v>
    <v>BMEX</v>
    <v>5401420</v>
    <v>17</v>
    <v>17</v>
    <v>0.182</v>
    <v>Bolsas y Mercados Espanoles</v>
    <v>91824160</v>
    <v xml:space="preserve">Alquiber Quality SA is a Spain-based vehicle renting company. The Company owns a wide range of vehicles for different applications. It divides its operations in Fleet and Alquiber Frio. The Fleet includes vehicles, such as cars, vans, pickups, off-roads, suvs, trucks and special vehicles. The Alquiber Frio includes isothermal transport vehicles, such as vans and trucks. The Company offers customizable related services, such as immediate availably of vehicles, 24/7 assistance, unlimited kilometers, GPS (Global Positioning System) locationing among others. It operates across the whole Spain. </v>
    <v>BMEX</v>
    <v>17</v>
    <v>338</v>
    <v>46237.666666666664</v>
    <v>429</v>
    <v>780</v>
    <v>EUR</v>
    <v>Alquiber Quality</v>
    <v>Alquiber Quality</v>
    <v>11.336399999999999</v>
    <v>17</v>
    <v>17</v>
    <v>C/ Almendro, 6, FUENLABRADA, MADRID, 28940 ES</v>
    <v>Professional &amp; Commercial Services</v>
    <v>ALQ</v>
    <v>Ações</v>
    <v>Alquiber Quality (BMEX:ALQ)</v>
    <v>0</v>
    <v>0</v>
    <v>8</v>
  </rv>
  <rv s="2">
    <v>430</v>
  </rv>
  <rv s="28">
    <v>pt-BR</v>
    <v>c9vnr7</v>
    <v>268435456</v>
    <v>1</v>
    <v>Da plataforma Refinitiv</v>
    <v>53</v>
    <v>81</v>
    <v>Milepro Logistic (BMEX:YMIL)</v>
    <v>18</v>
    <v>55</v>
    <v>Finance</v>
    <v>11</v>
    <v>BMEX</v>
    <v>2399200</v>
    <v>18.5</v>
    <v>2020</v>
    <v>18.5</v>
    <v>Bolsas y Mercados Espanoles</v>
    <v>44385200</v>
    <v>MilePro Logistica Ultima Milla SOCIMI SA is a Spain-based company. The Company is a real estate investment trust, engages in renting and operating of own or leased real estate. The Company's main objective is to create a real estate portfolio of assets related to the last mile logistics sector. The Company achieves this objective through active management of the acquired assets, including investment in the improvement and transformation of the assets. The Company has MilePro, a vehicle externally managed by Azora, a Spanish independent asset manager focused on real estate investments. Its objective is to generate returns by taking advantage of investment opportunities that may arise in the Spanish real estate market by creating a portfolio.</v>
    <v>BMEX</v>
    <v>18.3</v>
    <v>1</v>
    <v>46224.666666666664</v>
    <v>30</v>
    <v>EUR</v>
    <v>Milepro Logistic</v>
    <v>Milepro Logistic</v>
    <v>525.56820000000005</v>
    <v>18.5</v>
    <v>18.5</v>
    <v>C/ Villanueva 2 Bis, Planta jardin, MADRID, MADRID, 28001 ES</v>
    <v>Residential &amp; Commercial REIT</v>
    <v>YMIL</v>
    <v>Ações</v>
    <v>Milepro Logistic (BMEX:YMIL)</v>
    <v>0.2</v>
    <v>1.0928999999999999E-2</v>
    <v>271</v>
  </rv>
  <rv s="2">
    <v>432</v>
  </rv>
  <rv s="29">
    <v>pt-BR</v>
    <v>c87olh</v>
    <v>268435456</v>
    <v>1</v>
    <v>Da plataforma Refinitiv</v>
    <v>82</v>
    <v>83</v>
    <v>Seresco (BMEX:SCO)</v>
    <v>18</v>
    <v>21</v>
    <v>Finance</v>
    <v>11</v>
    <v>5.85</v>
    <v>2.9</v>
    <v>BMEX</v>
    <v>9017140</v>
    <v>5.85</v>
    <v>1969</v>
    <v>5.8</v>
    <v>0.74009999999999998</v>
    <v>Bolsas y Mercados Espanoles</v>
    <v>52299410</v>
    <v>Seresco SA is a Spain-based Information Technology developer. The Company specializes in software solutions and services in Information and Communication Technology across Spain and branches in Portugal, Peru, Colombia y Costa Rica. Products offered include personnel and payroll administration, digital transformation, mapping and cadaster, IT infrastructure and services, cybersecurity and software development. Internationally certified, the Company has strategic alliance with o Microsoft, Oracle, Sage amongst others, supplying over 1500 clients of various industry sectors.</v>
    <v>BMEX</v>
    <v>5.8</v>
    <v>1328</v>
    <v>46237.666666666664</v>
    <v>1380</v>
    <v>EUR</v>
    <v>Seresco</v>
    <v>Seresco</v>
    <v>13.248100000000001</v>
    <v>5.85</v>
    <v>5.8</v>
    <v>calle Matematico Pedrayes, 23, OVIEDO, ASTURIAS, 33005 ES</v>
    <v>Software &amp; IT Services</v>
    <v>SCO</v>
    <v>Ações</v>
    <v>Seresco (BMEX:SCO)</v>
    <v>0</v>
    <v>0</v>
    <v>748</v>
  </rv>
  <rv s="2">
    <v>434</v>
  </rv>
  <rv s="0">
    <v>https://www.bing.com/financeapi/forcetrigger?t=amg7mw&amp;q=BMEX%3aYORS&amp;form=skydnc</v>
    <v>Learn more on Bing</v>
  </rv>
  <rv s="21">
    <v>pt-BR</v>
    <v>amg7mw</v>
    <v>268435456</v>
    <v>1</v>
    <v>Da plataforma Refinitiv</v>
    <v>61</v>
    <v>62</v>
    <v>Optimum RE Spain (BMEX:SCORS)</v>
    <v>3</v>
    <v>63</v>
    <v>Finance</v>
    <v>11</v>
    <v>BMEX</v>
    <v>4971230</v>
    <v>13</v>
    <v>2014</v>
    <v>13</v>
    <v>0</v>
    <v>Bolsas y Mercados Espanoles</v>
    <v>64625960</v>
    <v>Optimum Re Spain Socimi SA is a Spain-based company engaged in the operation of real estate investment trust (REIT). The Company focuses on the acquisition, development and investment management of urban real estate assets for rental. The Company manages a portfolio of commercial and residential properties located in the metropolitan area of Madrid and Barcelona, Spain. The Company is controlled by BMB Investment Management Partners SL.</v>
    <v>BMEX</v>
    <v>13</v>
    <v>0</v>
    <v>46233.416863437502</v>
    <v>436</v>
    <v>EUR</v>
    <v>Optimum RE Spain</v>
    <v>Optimum RE Spain</v>
    <v>13</v>
    <v>13</v>
    <v>C/ Serrano 26 6, MADRID, MADRID ES</v>
    <v>Residential &amp; Commercial REIT</v>
    <v>SCORS</v>
    <v>Ações</v>
    <v>Optimum RE Spain (BMEX:SCORS)</v>
    <v>0</v>
    <v>0</v>
    <v>1</v>
  </rv>
  <rv s="2">
    <v>437</v>
  </rv>
  <rv s="0">
    <v>https://www.bing.com/financeapi/forcetrigger?t=c2p1kr&amp;q=BMEX%3aEIDF&amp;form=skydnc</v>
    <v>Learn more on Bing</v>
  </rv>
  <rv s="21">
    <v>pt-BR</v>
    <v>c2p1kr</v>
    <v>268435456</v>
    <v>1</v>
    <v>Da plataforma Refinitiv</v>
    <v>61</v>
    <v>62</v>
    <v>EiDF Solar (BMEX:EIDF)</v>
    <v>3</v>
    <v>63</v>
    <v>Finance</v>
    <v>11</v>
    <v>BMEX</v>
    <v>66042220</v>
    <v>0.47899999999999998</v>
    <v>2009</v>
    <v>0.44</v>
    <v>0.30220000000000002</v>
    <v>Bolsas y Mercados Espanoles</v>
    <v>29058580</v>
    <v>Energia Innovacion y Desarrollo Fotovoltaico SA is a Spanish-based public company which engages in the sector of construction of solar equipments. The Company's main corporate purpose is: the construction, installation, operation and maintenance of all kinds of installations of solar, photovoltaic, wind and other energy sources, as well as the realization of studies and projects related to them and the sale and transmission, by any admitted procedure in law, of electricity obtained through any of these facilities. The Company has trained teams from different areas of knowledge that helps provide coverage throughout the national territory. The Company responds to technical issues of clients with the implementation of technological advances.</v>
    <v>BMEX</v>
    <v>0.47899999999999998</v>
    <v>125</v>
    <v>46142.666666666664</v>
    <v>439</v>
    <v>EUR</v>
    <v>EiDF Solar</v>
    <v>EiDF Solar</v>
    <v>0.46100000000000002</v>
    <v>0.44</v>
    <v>Poligono Industrial Outeda - Curro, n 3, BARRO, PONTEVEDRA, 36692 ES</v>
    <v>Renewable Energy</v>
    <v>EIDF</v>
    <v>Ações</v>
    <v>EiDF Solar (BMEX:EIDF)</v>
    <v>-3.9E-2</v>
    <v>-8.1419999999999992E-2</v>
    <v>53396</v>
  </rv>
  <rv s="2">
    <v>440</v>
  </rv>
  <rv s="0">
    <v>https://www.bing.com/financeapi/forcetrigger?t=amfvjc&amp;q=BMEX%3aFACE&amp;form=skydnc</v>
    <v>Learn more on Bing</v>
  </rv>
  <rv s="13">
    <v>pt-BR</v>
    <v>amfvjc</v>
    <v>268435456</v>
    <v>1</v>
    <v>Da plataforma Refinitiv</v>
    <v>37</v>
    <v>38</v>
    <v>Facephi Biometri (BMEX:FACE)</v>
    <v>3</v>
    <v>39</v>
    <v>Finance</v>
    <v>11</v>
    <v>BMEX</v>
    <v>25776710</v>
    <v>1.75</v>
    <v>2012</v>
    <v>1.7</v>
    <v>1.1333</v>
    <v>Bolsas y Mercados Espanoles</v>
    <v>44078170</v>
    <v>Facephi Biometria SA is a Spain-based company engaged in the biometry products development. The Company provides a facial recognition technology, mainly for companies involved in the financial sector. Its products range includes Selphi and Software Development Kit (SDK). Selphi is a biometric solution for mobile banking, which enables users to access banking account without a username and password. Selphi also provides a real-time filter, which analyzes user blinking. SDK is a tool, which allows integrating face recognition technology into used applications. SDK offers biometric authorization for banking accounts, personal computers, identity cards, social media and e-mail accounts, as well as passenger cars, among others.</v>
    <v>BMEX</v>
    <v>1.71</v>
    <v>256</v>
    <v>46237.666666666664</v>
    <v>442</v>
    <v>24380</v>
    <v>EUR</v>
    <v>Facephi Biometri</v>
    <v>Facephi Biometri</v>
    <v>118.75</v>
    <v>1.75</v>
    <v>1.74</v>
    <v>Avenida Perfecto, Palacio de la Fuente, 6, ALICANTE, ALICANTE, 03003 ES</v>
    <v>Software &amp; IT Services</v>
    <v>FACE</v>
    <v>Ações</v>
    <v>Facephi Biometri (BMEX:FACE)</v>
    <v>0.03</v>
    <v>1.7544000000000001E-2</v>
    <v>5678</v>
  </rv>
  <rv s="2">
    <v>443</v>
  </rv>
  <rv s="0">
    <v>https://www.bing.com/financeapi/forcetrigger?t=boh63m&amp;q=BMEX%3aYARP&amp;form=skydnc</v>
    <v>Learn more on Bing</v>
  </rv>
  <rv s="11">
    <v>pt-BR</v>
    <v>boh63m</v>
    <v>268435456</v>
    <v>1</v>
    <v>Da plataforma Refinitiv</v>
    <v>30</v>
    <v>31</v>
    <v>Arrienda Rental (BMEX:YARP)</v>
    <v>3</v>
    <v>32</v>
    <v>Finance</v>
    <v>11</v>
    <v>BMEX</v>
    <v>20605750</v>
    <v>2.86</v>
    <v>2017</v>
    <v>2.84</v>
    <v>-6.6E-3</v>
    <v>Bolsas y Mercados Espanoles</v>
    <v>58520340</v>
    <v>Arrienda Rental Properties Socimi SA is a Spain-based company focused on the acquisition and promotion of non-residential, as well as residential real estate assets. The Company's portfolio consists of approximately two hotels, 40 homes, 1096 m2 of offices, and 4177 m2 of commercial premises. Arrienda Rental Properties Socimi SA also holds shares in other SOCIMI entities, as well as other businesses whose main corporate purpose is the acquisition of urban real estate for lease in Spain and other countries.</v>
    <v>BMEX</v>
    <v>2.72</v>
    <v>5</v>
    <v>46213.583356481482</v>
    <v>445</v>
    <v>EUR</v>
    <v>Arrienda Rental</v>
    <v>Arrienda Rental</v>
    <v>19.0349</v>
    <v>2.84</v>
    <v>2.86</v>
    <v>calle Bahia de Cartagena, numero 1, MADRID, MADRID, 28042 ES</v>
    <v>Residential &amp; Commercial REIT</v>
    <v>YARP</v>
    <v>Ações</v>
    <v>Arrienda Rental (BMEX:YARP)</v>
    <v>0.14000000000000001</v>
    <v>5.1471000000000003E-2</v>
    <v>1838</v>
  </rv>
  <rv s="2">
    <v>446</v>
  </rv>
  <rv s="0">
    <v>https://www.bing.com/financeapi/forcetrigger?t=amfy8m&amp;q=BMEX%3aLGT&amp;form=skydnc</v>
    <v>Learn more on Bing</v>
  </rv>
  <rv s="9">
    <v>pt-BR</v>
    <v>amfy8m</v>
    <v>268435456</v>
    <v>1</v>
    <v>Da plataforma Refinitiv</v>
    <v>24</v>
    <v>25</v>
    <v>Lingotes (BMEX:LGT)</v>
    <v>3</v>
    <v>26</v>
    <v>Finance</v>
    <v>11</v>
    <v>6.55</v>
    <v>4.82</v>
    <v>BMEX</v>
    <v>10000000</v>
    <v>5.86</v>
    <v>1968</v>
    <v>5.64</v>
    <v>0.84109999999999996</v>
    <v>Bolsas y Mercados Espanoles</v>
    <v>55800000</v>
    <v xml:space="preserve">Lingotes Especiales SA is a Spain-based company engaged in the metal production. The Company’s product portfolio comprises design, development and transformation of all types of ingots and metal parts. The Company’s products are generally aimed at client demands and sales of cast iron parts, such as grey and nodular iron pieces parts used in automotive industry, electro domestic appliances and civil construction, among others. The Company's production is based on the melting process which consists of use of a medium frequently electric ovens as much as induction furnaces and gas cupolas. The Company utilizes also vertical moulding by using green sand in Disamatic machines.The Company owns fully consolidated subsidiary Frenos y Conjuntos SA, which is engaged in the production of disc brakes. </v>
    <v>BMEX</v>
    <v>5.58</v>
    <v>449</v>
    <v>46237.666666666664</v>
    <v>448</v>
    <v>3070</v>
    <v>EUR</v>
    <v>Lingotes</v>
    <v>Lingotes</v>
    <v>5.82</v>
    <v>5.64</v>
    <v>Calle Colmenares, N 5, Piso 1, VALLADOLID, VALLADOLID, 47004 ES</v>
    <v>Metals &amp; Mining</v>
    <v>LGT</v>
    <v>Ações</v>
    <v>Lingotes (BMEX:LGT)</v>
    <v>0.06</v>
    <v>1.0752999999999999E-2</v>
    <v>3950</v>
  </rv>
  <rv s="2">
    <v>449</v>
  </rv>
  <rv s="0">
    <v>https://www.bing.com/financeapi/forcetrigger?t=amfz7w&amp;q=BMEX%3aMTB&amp;form=skydnc</v>
    <v>Learn more on Bing</v>
  </rv>
  <rv s="8">
    <v>pt-BR</v>
    <v>amfz7w</v>
    <v>268435456</v>
    <v>1</v>
    <v>Da plataforma Refinitiv</v>
    <v>19</v>
    <v>20</v>
    <v>Montebalito (BMEX:MTB)</v>
    <v>3</v>
    <v>21</v>
    <v>Finance</v>
    <v>11</v>
    <v>1.99</v>
    <v>1.49</v>
    <v>BMEX</v>
    <v>32000000</v>
    <v>1.93</v>
    <v>1972</v>
    <v>1.91</v>
    <v>0.38250000000000001</v>
    <v>Bolsas y Mercados Espanoles</v>
    <v>61120000</v>
    <v>Montebalito SA is a Spain-based company primarily engaged in the real estate sector. The Company's activities are divided into four business segments: Promotion, Rental, Renewable Energy and Other. The Promotion division is responsible for the development of residential and commercial real estate properties. The Rental segment provides leasing of residential and commercial real estate assets. The Renewable Energy area generates power energy using solar sources. The Other segment includes operations related to touristic and hospitality industry, as well as corporate cash management services. The Company is present in Spain, France, Germany, Romania, Brazil, Chile and Dominican Republic, among others. It owns a number of subsidiaries, such as Meridional Europa SL, Hoteles Balito SA, Montebalito Energias Renovables SL, Fotovoltaica Fuerteventura SL and Meridional Canarias SA.</v>
    <v>BMEX</v>
    <v>1.98</v>
    <v>18</v>
    <v>46234.666666666664</v>
    <v>451</v>
    <v>1450</v>
    <v>EUR</v>
    <v>Montebalito</v>
    <v>Montebalito</v>
    <v>17.2072</v>
    <v>1.91</v>
    <v>1.93</v>
    <v>C/ Orense n 20, planta 1a, oficina 8, MADRID, MADRID, 28020 ES</v>
    <v>Real Estate Operations</v>
    <v>MTB</v>
    <v>Ações</v>
    <v>Montebalito (BMEX:MTB)</v>
    <v>-0.05</v>
    <v>-2.5253000000000001E-2</v>
    <v>963</v>
  </rv>
  <rv s="2">
    <v>452</v>
  </rv>
  <rv s="0">
    <v>https://www.bing.com/financeapi/forcetrigger?t=amg1cw&amp;q=BMEX%3aPANG&amp;form=skydnc</v>
    <v>Learn more on Bing</v>
  </rv>
  <rv s="23">
    <v>pt-BR</v>
    <v>amg1cw</v>
    <v>268435456</v>
    <v>1</v>
    <v>Da plataforma Refinitiv</v>
    <v>67</v>
    <v>68</v>
    <v>Pangaea Oncology (BMEX:PANG)</v>
    <v>3</v>
    <v>69</v>
    <v>Finance</v>
    <v>11</v>
    <v>BMEX</v>
    <v>36193350</v>
    <v>1.55</v>
    <v>2007</v>
    <v>1.55</v>
    <v>-0.14369999999999999</v>
    <v>Bolsas y Mercados Espanoles</v>
    <v>56099700</v>
    <v>Pangaea Oncology SA is a Spain-based company primarily engaged in the biotechnology sector. The Company focuses on the development of oncology treatments. The Company’s activities are divided into two business lines: Clinical care in the Dr. Rosell Oncology Institute (IOR) and Molecular diagnosis (Dx). The IOR division offers personalized medical services related to oncology area, such as diagnosis, laboratory testing and treatment, in a chain of hospitals in Catalonia, Spain. The Dx division is responsible for the development of diagnostic and in-vitro services, biomarkers, as well as targeted drugs for patients and pharmaceutical companies. Its diagnostic models include Liquid Biopsy and Multiplexing.</v>
    <v>BMEX</v>
    <v>1.55</v>
    <v>183</v>
    <v>46234.417557870373</v>
    <v>454</v>
    <v>180</v>
    <v>EUR</v>
    <v>Pangaea Oncology</v>
    <v>Pangaea Oncology</v>
    <v>1.55</v>
    <v>1.55</v>
    <v>C/ COSO 42 4, ZARAGOZA, ZARAGOZA ES</v>
    <v>Biotechnology &amp; Medical Research</v>
    <v>PANG</v>
    <v>Ações</v>
    <v>Pangaea Oncology (BMEX:PANG)</v>
    <v>0</v>
    <v>0</v>
    <v>1000</v>
  </rv>
  <rv s="2">
    <v>455</v>
  </rv>
  <rv s="30">
    <v>pt-BR</v>
    <v>cdijqh</v>
    <v>268435456</v>
    <v>1</v>
    <v>Da plataforma Refinitiv</v>
    <v>84</v>
    <v>85</v>
    <v>Inbest (BMEX:SCIG2)</v>
    <v>18</v>
    <v>86</v>
    <v>Finance</v>
    <v>BMEX</v>
    <v>2022</v>
    <v>Bolsas y Mercados Espanoles</v>
    <v>Inbest GPF Multi Assets Class Prime II SOCIMI SA is a Spain-based Public Limited Investment Company. The Company's primary objective is the acquisition and management of high-class assets in the mixed-use real estate sector, located in prime areas within the main cities of the Iberian Peninsula. The operating methods revolve around value-added strategy with limited risk and diversification, constituting a multi-segment asset portfolio, focused mainly on mixed-use buildings.</v>
    <v>BMEX</v>
    <v>0.97499999999999998</v>
    <v>EUR</v>
    <v>Inbest</v>
    <v>Inbest</v>
    <v>C/ Velazquez 86, 1a Planta, MADRID, MADRID, 28006 ES</v>
    <v>Real Estate Operations</v>
    <v>SCIG2</v>
    <v>Ações</v>
    <v>Inbest (BMEX:SCIG2)</v>
  </rv>
  <rv s="2">
    <v>457</v>
  </rv>
  <rv s="0">
    <v>https://www.bing.com/financeapi/forcetrigger?t=amfqk2&amp;q=BMEX%3aADZ&amp;form=skydnc</v>
    <v>Learn more on Bing</v>
  </rv>
  <rv s="8">
    <v>pt-BR</v>
    <v>amfqk2</v>
    <v>268435456</v>
    <v>1</v>
    <v>Da plataforma Refinitiv</v>
    <v>19</v>
    <v>20</v>
    <v>Adolfo Dominguez (BMEX:ADZ)</v>
    <v>3</v>
    <v>21</v>
    <v>Finance</v>
    <v>11</v>
    <v>6.5</v>
    <v>4.6399999999999997</v>
    <v>BMEX</v>
    <v>9276110</v>
    <v>6.1</v>
    <v>1989</v>
    <v>6</v>
    <v>0.60870000000000002</v>
    <v>Bolsas y Mercados Espanoles</v>
    <v>55656650</v>
    <v xml:space="preserve">Adolfo Dominguez SA is a Spain-based company primarily engaged in the textile industry. The Company’s activities include the design, confection, marketing and distribution of apparel and accessories for men, women and children, as well as in the retail of home furnishings, which are distributed under the Adolfo Dominguez, AD+, Linea U, Mi Casa and ADC brands. The Company is a parent of Grupo Adolfo Dominguez, a group which comprises a number of controlled entities with operations established in such countries as Argentina, Belgium, China, Panama, Mexico, the United States, France, Israel, Japan, Peru, Portugal, the United Kingdom and Germany, among others. </v>
    <v>BMEX</v>
    <v>6</v>
    <v>1002</v>
    <v>46237.666666666664</v>
    <v>459</v>
    <v>2890</v>
    <v>EUR</v>
    <v>Adolfo Dominguez</v>
    <v>Adolfo Dominguez</v>
    <v>23.5776</v>
    <v>6.1</v>
    <v>6.05</v>
    <v>Poligono Industrial San Cibrao das Vinas, Calle 4, Parcela 8, SAN CIBRAO DAS VINAS, OURENSE, 32901 ES</v>
    <v>Textiles &amp; Apparel</v>
    <v>ADZ</v>
    <v>Ações</v>
    <v>Adolfo Dominguez (BMEX:ADZ)</v>
    <v>0.05</v>
    <v>8.3330000000000001E-3</v>
    <v>1073</v>
  </rv>
  <rv s="2">
    <v>460</v>
  </rv>
  <rv s="0">
    <v>https://www.bing.com/financeapi/forcetrigger?t=bqsspr&amp;q=BMEX%3aYINB1&amp;form=skydnc</v>
    <v>Learn more on Bing</v>
  </rv>
  <rv s="31">
    <v>pt-BR</v>
    <v>bqsspr</v>
    <v>268435456</v>
    <v>1</v>
    <v>Da plataforma Refinitiv</v>
    <v>87</v>
    <v>88</v>
    <v>Inbest Prime I (BMEX:YINB1)</v>
    <v>3</v>
    <v>89</v>
    <v>Finance</v>
    <v>11</v>
    <v>1.1599999999999999</v>
    <v>1.04</v>
    <v>BMEX</v>
    <v>50000000</v>
    <v>1.1299999999999999</v>
    <v>2016</v>
    <v>1.1200000000000001</v>
    <v>8.6900000000000005E-2</v>
    <v>Bolsas y Mercados Espanoles</v>
    <v>56500000</v>
    <v>Inbest Prime I Inmuebles SOCIMI SA is a Spain-based company which is operating in the Spanish real estate market. The Company's main activity is the acquisition and management of real estate assets located in the main Spanish cities, becoming one of the players in the segment of High Street and consolidating its investment strategy in high added value assets, with a double objective, creation of flagships for the main national and international operators, and generation of Urban Hubs to respond to their needs. This activity is carried out indirectly through its participation in Inbest Prime Asset S.L and Inbest Prime Assets II S.L. The management of its activity is delegated to the manager INBEST Real Estate Partners S.A.</v>
    <v>BMEX</v>
    <v>1.1299999999999999</v>
    <v>0</v>
    <v>46064.709317129629</v>
    <v>462</v>
    <v>EUR</v>
    <v>Inbest Prime I</v>
    <v>Inbest Prime I</v>
    <v>1.1200000000000001</v>
    <v>1.1299999999999999</v>
    <v>C/ VELAZQUEZ 86D - PLANTA 1 MODULO SUR B, MADRID, MADRID ES</v>
    <v>Residential &amp; Commercial REIT</v>
    <v>YINB1</v>
    <v>Ações</v>
    <v>Inbest Prime I (BMEX:YINB1)</v>
    <v>0</v>
    <v>0</v>
    <v>34465</v>
  </rv>
  <rv s="2">
    <v>463</v>
  </rv>
  <rv s="0">
    <v>https://www.bing.com/financeapi/forcetrigger?t=amfvgh&amp;q=BMEX%3aEZE&amp;form=skydnc</v>
    <v>Learn more on Bing</v>
  </rv>
  <rv s="16">
    <v>pt-BR</v>
    <v>amfvgh</v>
    <v>268435456</v>
    <v>1</v>
    <v>Da plataforma Refinitiv</v>
    <v>45</v>
    <v>46</v>
    <v>Grupo Ezentis (BMEX:EZE)</v>
    <v>3</v>
    <v>47</v>
    <v>Finance</v>
    <v>11</v>
    <v>0.11799999999999999</v>
    <v>6.2E-2</v>
    <v>BMEX</v>
    <v>801886700</v>
    <v>6.9000000000000006E-2</v>
    <v>6.5500000000000003E-2</v>
    <v>1.0327</v>
    <v>Bolsas y Mercados Espanoles</v>
    <v>52764140</v>
    <v>Grupo Ezentis SA, also known as Ezentis, is a Spain-based company engaged in the infrastructure and telecommunications sectors. The Company’s activities are structured into three segments: Telecommunications, Electricity and Others. The Telecommunications segment provides design, construction, operation, as well as maintenance services of fiber optic and mobile telephone networks, among others. The Electricity area offers a variety of services within the electric power infrastructure, such as assembly of transmission and distribution lines, installation of substations, smart grids and maintenance of public lighting network. The Others segment encompasses operations in water, oil and gas, as well as mining sector, including construction, repairs, inspections, project management, and engineering services, among others. Ezentis operates through Comunicaciones Y Sonido Mexico SA de CV, Ingenieria Celular Panamericana SA and Gts Thaumat XXI SA.</v>
    <v>BMEX</v>
    <v>6.5799999999999997E-2</v>
    <v>257</v>
    <v>46237.666666666664</v>
    <v>465</v>
    <v>1395150</v>
    <v>EUR</v>
    <v>Grupo Ezentis</v>
    <v>Grupo Ezentis</v>
    <v>6.6900000000000001E-2</v>
    <v>6.7599999999999993E-2</v>
    <v>Calle Sta Leonor, 65 Edif. A, Planta 4, MADRID, MADRID, 28037 ES</v>
    <v>Construction &amp; Engineering</v>
    <v>EZE</v>
    <v>Ações</v>
    <v>Grupo Ezentis (BMEX:EZE)</v>
    <v>1.8E-3</v>
    <v>2.7355999999999998E-2</v>
    <v>2649076</v>
  </rv>
  <rv s="2">
    <v>466</v>
  </rv>
  <rv s="0">
    <v>https://www.bing.com/financeapi/forcetrigger?t=c2i11h&amp;q=BMEX%3aPAR&amp;form=skydnc</v>
    <v>Learn more on Bing</v>
  </rv>
  <rv s="23">
    <v>pt-BR</v>
    <v>c2i11h</v>
    <v>268435456</v>
    <v>1</v>
    <v>Da plataforma Refinitiv</v>
    <v>67</v>
    <v>68</v>
    <v>Parlem (BMEX:PAR)</v>
    <v>3</v>
    <v>69</v>
    <v>Finance</v>
    <v>11</v>
    <v>BMEX</v>
    <v>19865750</v>
    <v>0.86</v>
    <v>2012</v>
    <v>0.86</v>
    <v>0.1981</v>
    <v>Bolsas y Mercados Espanoles</v>
    <v>17084550</v>
    <v>Parlem Telecom Companyia de Telecomunicacions SA (Parlem) is a Spain-based company engaged in the telecommunications sector. The Company offers prepaid and contract mobile phone, fiber-optic and asymmetric digital subscriber line (ADSL) Internet, landline and television services, as well as the provision of information services and telephone assistance. The Company’s activities are divided into two segments: Residential and Business. The Residential segment provides telecommunication solutions to individuals and the Business division is focused on corporate customers. Parlem serves its clients mainly in the region of Catalonia. The Company operates through subsidiaries, including Lemon Telecom SL and Octel Telecom &amp; Tech SL, among others.</v>
    <v>BMEX</v>
    <v>0.86</v>
    <v>133</v>
    <v>46237.666666666664</v>
    <v>468</v>
    <v>60210</v>
    <v>EUR</v>
    <v>Parlem</v>
    <v>Parlem</v>
    <v>0.86</v>
    <v>0.86</v>
    <v>Avinguda Diagonal 452, Edifici Cambra de Comerc de Barcelona, Planta 4, Barcelona, BARCELONA, 08006 ES</v>
    <v>Telecommunications Services</v>
    <v>PAR</v>
    <v>Ações</v>
    <v>Parlem (BMEX:PAR)</v>
    <v>0</v>
    <v>0</v>
    <v>1556</v>
  </rv>
  <rv s="2">
    <v>469</v>
  </rv>
  <rv s="0">
    <v>https://www.bing.com/financeapi/forcetrigger?t=bsn7ww&amp;q=BMEX%3aGIGA&amp;form=skydnc</v>
    <v>Learn more on Bing</v>
  </rv>
  <rv s="23">
    <v>pt-BR</v>
    <v>bsn7ww</v>
    <v>268435456</v>
    <v>1</v>
    <v>Da plataforma Refinitiv</v>
    <v>67</v>
    <v>68</v>
    <v>Gigas (BMEX:GIGA)</v>
    <v>3</v>
    <v>69</v>
    <v>Finance</v>
    <v>11</v>
    <v>BMEX</v>
    <v>12568520</v>
    <v>3.3</v>
    <v>2011</v>
    <v>3.09</v>
    <v>0.39169999999999999</v>
    <v>Bolsas y Mercados Espanoles</v>
    <v>39716520</v>
    <v>Gigas Hosting SA is a Spain-based company engaged in the provision of cloud computing services. The Company focuses on offering cloud hosting solutions for business entities, such as small and medium enterprises (SMEs), designers, e-commerce and mobile application developers. Its product range comprises: Cloud Datacenter, which enables users to define and design virtual infrastructure; and Clound Virtual Private Server (VPS), a virtual scalable resource platform. Furthermore, It offers help in migration of customers technology and services to the cloud computing, as well as technical and commercial support services, 24 hours a day. The Company uses technology provided under global brand names, including Hewlett Packard (hp), NetApp, Cisco, Intel, and Microsoft, among others. The Company operates datacenters in Spain and the United States within Interxion and Terremark facilities.</v>
    <v>BMEX</v>
    <v>3.16</v>
    <v>278</v>
    <v>46237.666666666664</v>
    <v>471</v>
    <v>5600</v>
    <v>EUR</v>
    <v>Gigas</v>
    <v>Gigas</v>
    <v>3.16</v>
    <v>3.09</v>
    <v>Av. de Fuencarral 44, Edificio Gigas, ALCOBENDAS, MADRID, 28108 ES</v>
    <v>Telecommunications Services</v>
    <v>GIGA</v>
    <v>Ações</v>
    <v>Gigas (BMEX:GIGA)</v>
    <v>-7.0000000000000007E-2</v>
    <v>-2.2151999999999998E-2</v>
    <v>18026</v>
  </rv>
  <rv s="2">
    <v>472</v>
  </rv>
  <rv s="0">
    <v>https://www.bing.com/financeapi/forcetrigger?t=amfqsm&amp;q=BMEX%3aAGIL&amp;form=skydnc</v>
    <v>Learn more on Bing</v>
  </rv>
  <rv s="23">
    <v>pt-BR</v>
    <v>amfqsm</v>
    <v>268435456</v>
    <v>1</v>
    <v>Da plataforma Refinitiv</v>
    <v>67</v>
    <v>68</v>
    <v>Agile Content (BMEX:AGIL)</v>
    <v>3</v>
    <v>69</v>
    <v>Finance</v>
    <v>11</v>
    <v>BMEX</v>
    <v>23207110</v>
    <v>2.2000000000000002</v>
    <v>2007</v>
    <v>2.2000000000000002</v>
    <v>0.70030000000000003</v>
    <v>Bolsas y Mercados Espanoles</v>
    <v>51055650</v>
    <v>Agile Content SA is a Spain-based company primarily engaged in the provision of information technology (IT) services. The Company focuses on the development, distribution and promotion of IT platforms used in the production and editing of audiovisual, online and digital content, as well as in the provision of Web content management (WCM) services. Its solutions range comprises services and tools for audience resource management, multimedia editorial systems, smart publishing systems, smart delivery systems, and rich media experience, among others. The Company’s customers include RBS Group, RTVE, el Periodico, Estadao, and el Universal, among others. Moreover, the Company has operation established in a number of regions, such as Latin America, North America, Europe, the Middle East and Asia.</v>
    <v>BMEX</v>
    <v>2.2000000000000002</v>
    <v>301</v>
    <v>46226.666666666664</v>
    <v>474</v>
    <v>20850</v>
    <v>EUR</v>
    <v>Agile Content</v>
    <v>Agile Content</v>
    <v>2.2000000000000002</v>
    <v>2.2000000000000002</v>
    <v>C/ Poeta Joan Maragall 1, MADRID, MADRID, 28020 ES</v>
    <v>Software &amp; IT Services</v>
    <v>AGIL</v>
    <v>Ações</v>
    <v>Agile Content (BMEX:AGIL)</v>
    <v>0</v>
    <v>0</v>
    <v>134500</v>
  </rv>
  <rv s="2">
    <v>475</v>
  </rv>
  <rv s="0">
    <v>https://www.bing.com/financeapi/forcetrigger?t=bqssyc&amp;q=BMEX%3aYINB4&amp;form=skydnc</v>
    <v>Learn more on Bing</v>
  </rv>
  <rv s="32">
    <v>pt-BR</v>
    <v>bqssyc</v>
    <v>268435456</v>
    <v>1</v>
    <v>Da plataforma Refinitiv</v>
    <v>90</v>
    <v>91</v>
    <v>Inbest Prime IV (BMEX:YINB4)</v>
    <v>3</v>
    <v>92</v>
    <v>Finance</v>
    <v>11</v>
    <v>0.95499999999999996</v>
    <v>0.94499999999999995</v>
    <v>BMEX</v>
    <v>50000000</v>
    <v>0.95499999999999996</v>
    <v>2017</v>
    <v>0.95499999999999996</v>
    <v>3.2599999999999997E-2</v>
    <v>Bolsas y Mercados Espanoles</v>
    <v>47250000</v>
    <v>Inbest Prime IV Inmuebles SOCIMI SA, is a is a Spain-based company, involved in real estate investments. The Company's main objective is the acquisition and management of first class real estate assets located in Spain Main Cities.</v>
    <v>BMEX</v>
    <v>0.94499999999999995</v>
    <v>46153.666666666664</v>
    <v>477</v>
    <v>EUR</v>
    <v>Inbest Prime IV</v>
    <v>Inbest Prime IV</v>
    <v>0.95499999999999996</v>
    <v>0.95499999999999996</v>
    <v>C/ Velazquez 86D, Planta 1, Modulo Sur B, MADRID, MADRID ES</v>
    <v>Residential &amp; Commercial REIT</v>
    <v>YINB4</v>
    <v>Ações</v>
    <v>Inbest Prime IV (BMEX:YINB4)</v>
    <v>0.01</v>
    <v>1.0582000000000001E-2</v>
    <v>15</v>
  </rv>
  <rv s="2">
    <v>478</v>
  </rv>
  <rv s="0">
    <v>https://www.bing.com/financeapi/forcetrigger?t=amg452&amp;q=BMEX%3aTRG&amp;form=skydnc</v>
    <v>Learn more on Bing</v>
  </rv>
  <rv s="33">
    <v>pt-BR</v>
    <v>amg452</v>
    <v>268435456</v>
    <v>1</v>
    <v>Da plataforma Refinitiv</v>
    <v>93</v>
    <v>94</v>
    <v>Tubos Reunidos (BMEX:TRG)</v>
    <v>3</v>
    <v>95</v>
    <v>Finance</v>
    <v>11</v>
    <v>0.56000000000000005</v>
    <v>0.13300000000000001</v>
    <v>BMEX</v>
    <v>174680900</v>
    <v>0.14599999999999999</v>
    <v>0.13639999999999999</v>
    <v>0.66820000000000002</v>
    <v>Bolsas y Mercados Espanoles</v>
    <v>25119110</v>
    <v>Tubos Reunidos SA is a Spain-based company primarily engaged in the steel industry. The Company specializes in the production, distribution and sale of seamless pipes used in the chemical, petrochemical, automotive, gas and construction industries. The Company’s facilities include steel mills, as well as three production plants, which are located in Amurrio, Pamplona and Trapagaran. The Company offers tubular solutions in a loyal and competitive way, with the advanced R&amp;D&amp;I technology, the knowledge of more than 130 years of history and an environmental commitment. It also develops and manufacture seamless steel tubes in stainless steel, high-alloy and carbon grades for all processes and requirements.</v>
    <v>BMEX</v>
    <v>0.14399999999999999</v>
    <v>1287</v>
    <v>46146.666666666664</v>
    <v>480</v>
    <v>EUR</v>
    <v>Tubos Reunidos</v>
    <v>Tubos Reunidos</v>
    <v>0.14399999999999999</v>
    <v>0.14380000000000001</v>
    <v>Barrio Sagarribai, Sn, AMURRIO, ALAVA, 01470 ES</v>
    <v>Metals &amp; Mining</v>
    <v>TRG</v>
    <v>Ações</v>
    <v>Tubos Reunidos (BMEX:TRG)</v>
    <v>-2.0000000000000001E-4</v>
    <v>-1.389E-3</v>
    <v>1115886</v>
  </rv>
  <rv s="2">
    <v>481</v>
  </rv>
  <rv s="0">
    <v>https://www.bing.com/financeapi/forcetrigger?t=c5esvh&amp;q=BMEX%3aENRS&amp;form=skydnc</v>
    <v>Learn more on Bing</v>
  </rv>
  <rv s="23">
    <v>pt-BR</v>
    <v>c5esvh</v>
    <v>268435456</v>
    <v>1</v>
    <v>Da plataforma Refinitiv</v>
    <v>67</v>
    <v>68</v>
    <v>Enerside Energy (BMEX:ENRS)</v>
    <v>3</v>
    <v>69</v>
    <v>Finance</v>
    <v>11</v>
    <v>BMEX</v>
    <v>43964280</v>
    <v>0.36</v>
    <v>2007</v>
    <v>0.35799999999999998</v>
    <v>0.31519999999999998</v>
    <v>Bolsas y Mercados Espanoles</v>
    <v>15211640</v>
    <v>Enerside Energy SA is a Spain-based company operating in the photovoltaic solar industry. The Company engages in manufacturing of electronic components and is present in all the different development stages of photovoltaic plants. The Company’s activities focus on 3 different business areas: Project development, which focuses on prospection, development, consultancy and engineering; Construction, engaged in engineering, procurement, logistics and construction; and Operations and maintenance, which includes asset management, plant control, their operating and maintenance. The Company, through its subsidiaries, is present in Chile and Brazil.</v>
    <v>BMEX</v>
    <v>0.34599999999999997</v>
    <v>50</v>
    <v>46237.666666666664</v>
    <v>483</v>
    <v>74380</v>
    <v>EUR</v>
    <v>Enerside Energy</v>
    <v>Enerside Energy</v>
    <v>0.35799999999999998</v>
    <v>0.36</v>
    <v>Paseo de la Castellana 163, 1a planta, Utopicus, MADRID, MADRID, 28046 ES</v>
    <v>Renewable Energy</v>
    <v>ENRS</v>
    <v>Ações</v>
    <v>Enerside Energy (BMEX:ENRS)</v>
    <v>1.4E-2</v>
    <v>4.0461999999999998E-2</v>
    <v>15600</v>
  </rv>
  <rv s="2">
    <v>484</v>
  </rv>
  <rv s="28">
    <v>pt-BR</v>
    <v>chlcur</v>
    <v>268435456</v>
    <v>1</v>
    <v>Da plataforma Refinitiv</v>
    <v>53</v>
    <v>81</v>
    <v>AP 67 (BMEX:SCAP7)</v>
    <v>18</v>
    <v>55</v>
    <v>Finance</v>
    <v>11</v>
    <v>BMEX</v>
    <v>7497350</v>
    <v>5.6</v>
    <v>2001</v>
    <v>5.6</v>
    <v>Bolsas y Mercados Espanoles</v>
    <v>41985180</v>
    <v xml:space="preserve">Ap 67 Socimi SA is a Spain-based real estate company. Its main business activity is related to the acquisition, development and management of different kind of real estate properties, for financial exploitation. Its portfolio includes both residential and commercial properties, offices and under development projects. The Company is active locally only. </v>
    <v>BMEX</v>
    <v>5.6</v>
    <v>7</v>
    <v>46224.416666678124</v>
    <v>320</v>
    <v>EUR</v>
    <v>AP 67</v>
    <v>AP 67</v>
    <v>37.358199999999997</v>
    <v>5.6</v>
    <v>5.6</v>
    <v>Calle Villaverde, 2 (local), LEGANES, MADRID, 28912 ES</v>
    <v>Residential &amp; Commercial REIT</v>
    <v>SCAP7</v>
    <v>Ações</v>
    <v>AP 67 (BMEX:SCAP7)</v>
    <v>0</v>
    <v>0</v>
    <v>3187</v>
  </rv>
  <rv s="2">
    <v>486</v>
  </rv>
  <rv s="0">
    <v>https://www.bing.com/financeapi/forcetrigger?t=bwjlvh&amp;q=BMEX%3a480S&amp;form=skydnc</v>
    <v>Learn more on Bing</v>
  </rv>
  <rv s="13">
    <v>pt-BR</v>
    <v>bwjlvh</v>
    <v>268435456</v>
    <v>1</v>
    <v>Da plataforma Refinitiv</v>
    <v>37</v>
    <v>38</v>
    <v>Cuatroochenta (BMEX:480S)</v>
    <v>3</v>
    <v>39</v>
    <v>Finance</v>
    <v>11</v>
    <v>BMEX</v>
    <v>2732360</v>
    <v>18.2</v>
    <v>2011</v>
    <v>18</v>
    <v>0.50609999999999999</v>
    <v>Bolsas y Mercados Espanoles</v>
    <v>49182520</v>
    <v>Soluciones Cuatroochenta SA is a Spain-based public technology company. The Company engages in developing and implementing digital cloud solutions responding to the challenges and objectives of its clients in Europe and Latin America. The Company's objectives of entering the market are access to financing to continue growing both organically and inorganically, improving in transparency both for shareholders and financial entities, employees and customers and opening company to allow more people and entities to participate in its project. The Company's goal is to help minimize the gap between what the clients do and what they are capable of doing.</v>
    <v>BMEX</v>
    <v>18</v>
    <v>250</v>
    <v>46234.666666666664</v>
    <v>488</v>
    <v>960</v>
    <v>EUR</v>
    <v>Cuatroochenta</v>
    <v>Cuatroochenta</v>
    <v>23.656199999999998</v>
    <v>18</v>
    <v>18.2</v>
    <v>Edificio Espaitec 2, Universitat Jaume I., Avda. Sos Baynat s/n, CASTELLON DE LA PLANA, CASTELLON ES</v>
    <v>Software &amp; IT Services</v>
    <v>480S</v>
    <v>Ações</v>
    <v>Cuatroochenta (BMEX:480S)</v>
    <v>0.2</v>
    <v>1.1110999999999999E-2</v>
    <v>604</v>
  </rv>
  <rv s="2">
    <v>489</v>
  </rv>
  <rv s="0">
    <v>https://www.bing.com/financeapi/forcetrigger?t=amfyvh&amp;q=BMEX%3aMDF&amp;form=skydnc</v>
    <v>Learn more on Bing</v>
  </rv>
  <rv s="9">
    <v>pt-BR</v>
    <v>amfyvh</v>
    <v>268435456</v>
    <v>1</v>
    <v>Da plataforma Refinitiv</v>
    <v>24</v>
    <v>25</v>
    <v>Duro Felguera (BMEX:MDF)</v>
    <v>3</v>
    <v>26</v>
    <v>Finance</v>
    <v>11</v>
    <v>0.33900000000000002</v>
    <v>0.14000000000000001</v>
    <v>BMEX</v>
    <v>97555610</v>
    <v>0.1978</v>
    <v>1990</v>
    <v>0.19339999999999999</v>
    <v>1.0315000000000001</v>
    <v>Bolsas y Mercados Espanoles</v>
    <v>18925790</v>
    <v>Duro Felguera SA is a Spain-based company primarily engaged in the electric construction sector. The Company's activities are divided into six business segments: Energy, which manages turnkey projects related to the construction of power generation facilities, biomass, cogeneration, desulphurization and denitrification plants, among others; Industrial Plants, which comprises activities related to the execution of turnkey projects in the mining and handling fields; Oil and Gas, which specializes in execution of oil and gas projects; Specialized Services, which offers electrical and mechanical erection, maintenance, as well as the supply of thermal, cryogenic and acoustic insulation, among others; Manufacturing, which produces pressure vessels, wind generator components, rail turnouts and crossings, among others, and others, which includes design and installation of integrated systems for the defense, communications, energy, environmental and civil infrastructure sectors, among others.</v>
    <v>BMEX</v>
    <v>0.19400000000000001</v>
    <v>496</v>
    <v>46237.666666666664</v>
    <v>491</v>
    <v>130850</v>
    <v>EUR</v>
    <v>Duro Felguera</v>
    <v>Duro Felguera</v>
    <v>0.1956</v>
    <v>0.19700000000000001</v>
    <v>Parque Cientifico Tecnologico, C/ Ada Byron, 90, GIJON, ASTURIAS, 33203 ES</v>
    <v>Construction &amp; Engineering</v>
    <v>MDF</v>
    <v>Ações</v>
    <v>Duro Felguera (BMEX:MDF)</v>
    <v>3.0000000000000001E-3</v>
    <v>1.5464E-2</v>
    <v>23465</v>
  </rv>
  <rv s="2">
    <v>492</v>
  </rv>
  <rv s="0">
    <v>https://www.bing.com/financeapi/forcetrigger?t=bu3l4c&amp;q=BMEX%3aYHCR&amp;form=skydnc</v>
    <v>Learn more on Bing</v>
  </rv>
  <rv s="21">
    <v>pt-BR</v>
    <v>bu3l4c</v>
    <v>268435456</v>
    <v>1</v>
    <v>Da plataforma Refinitiv</v>
    <v>61</v>
    <v>62</v>
    <v>Home Capital Ren (BMEX:YHCR)</v>
    <v>3</v>
    <v>63</v>
    <v>Finance</v>
    <v>11</v>
    <v>BMEX</v>
    <v>6003030</v>
    <v>6.15</v>
    <v>2017</v>
    <v>6.15</v>
    <v>5.4100000000000002E-2</v>
    <v>Bolsas y Mercados Espanoles</v>
    <v>36018150</v>
    <v>Home Capital Rentals Socimi SA is a Spain-based REIT. The Company's main purpose is the acquisition and development of urban real estates for their rental or leasing. The Company acquires residential assets in the main cities of the Iberian Peninsula with the potential to be adapted and operated in the mid-market.</v>
    <v>BMEX</v>
    <v>6.2</v>
    <v>2</v>
    <v>46192.421006944445</v>
    <v>494</v>
    <v>EUR</v>
    <v>Home Capital Ren</v>
    <v>Home Capital Ren</v>
    <v>6.15</v>
    <v>6.15</v>
    <v>Calle de Maria de Molina 1, 5 planta, MADRID, MADRID, 28006 ES</v>
    <v>Real Estate Operations</v>
    <v>YHCR</v>
    <v>Ações</v>
    <v>Home Capital Ren (BMEX:YHCR)</v>
    <v>-0.05</v>
    <v>-8.0649999999999993E-3</v>
    <v>32</v>
  </rv>
  <rv s="2">
    <v>495</v>
  </rv>
  <rv s="0">
    <v>https://www.bing.com/financeapi/forcetrigger?t=amfzgh&amp;q=BMEX%3aNBI&amp;form=skydnc</v>
    <v>Learn more on Bing</v>
  </rv>
  <rv s="23">
    <v>pt-BR</v>
    <v>amfzgh</v>
    <v>268435456</v>
    <v>1</v>
    <v>Da plataforma Refinitiv</v>
    <v>67</v>
    <v>68</v>
    <v>NBI Bearings Eur (BMEX:NBI)</v>
    <v>3</v>
    <v>69</v>
    <v>Finance</v>
    <v>11</v>
    <v>BMEX</v>
    <v>12330270</v>
    <v>3.06</v>
    <v>2002</v>
    <v>3.06</v>
    <v>0.33069999999999999</v>
    <v>Bolsas y Mercados Espanoles</v>
    <v>37730620</v>
    <v>NBI Bearings Europe SA is a Spain-based company engaged in the bearings production. The Company focuses on the design, development and manufacture of ball and roller bearings for various applications, such as cranes and offshore machinery; gear boxes; industrial machinery; agricultural equipment; tubular stranders, as well as pulleys and shear blocks. The Company's products range includes single row ball bearings; cylindrical, tapered, spherical and needle roller bearings; support rollers; cam followers, as well as cylindrical and spherical roller thrust bearings. In addition, it provides advisory related to bearing selection and dimensions; technical assistance; as well as tailor-made design, among others. The Company is controlled by Pakel Rmi Promocion de Empresas SL.</v>
    <v>BMEX</v>
    <v>3.06</v>
    <v>347</v>
    <v>46234.666666666664</v>
    <v>497</v>
    <v>410</v>
    <v>EUR</v>
    <v>NBI Bearings Eur</v>
    <v>NBI Bearings Eur</v>
    <v>3.06</v>
    <v>3.06</v>
    <v>Pol. Industrial Basauri, Nave 6-10., Oquendo, Oquendo, ALAVA, 01409 ES</v>
    <v>Machinery, Equipment &amp; Components</v>
    <v>NBI</v>
    <v>Ações</v>
    <v>NBI Bearings Eur (BMEX:NBI)</v>
    <v>0</v>
    <v>0</v>
    <v>940</v>
  </rv>
  <rv s="2">
    <v>498</v>
  </rv>
  <rv s="0">
    <v>https://www.bing.com/financeapi/forcetrigger?t=amg827&amp;q=BMEX%3aYQUO&amp;form=skydnc</v>
    <v>Learn more on Bing</v>
  </rv>
  <rv s="13">
    <v>pt-BR</v>
    <v>amg827</v>
    <v>268435456</v>
    <v>1</v>
    <v>Da plataforma Refinitiv</v>
    <v>37</v>
    <v>38</v>
    <v>Quonia Socimi (BMEX:YQUO)</v>
    <v>3</v>
    <v>39</v>
    <v>Finance</v>
    <v>11</v>
    <v>BMEX</v>
    <v>27301410</v>
    <v>1.18</v>
    <v>2010</v>
    <v>1.18</v>
    <v>1.44E-2</v>
    <v>Bolsas y Mercados Espanoles</v>
    <v>32215660</v>
    <v>Quonia SOCIMI SA, formerly Investmex Real Estate SL, is a Spain-based company engaged in the operation of diversified real estate investment trust (REIT). The Company mainly focuses on acquisition, management, leasing and sale of real estate assets. The Company's properties range includes commercial, residential and mixed-use buildings. It manages approximately five properties, which are located in various cities, such as Barcelona, Langreo and Seville, Spain. The Company operates over 12.100 square meters of leasing space.</v>
    <v>BMEX</v>
    <v>1.2</v>
    <v>1</v>
    <v>46233.666666666664</v>
    <v>500</v>
    <v>1250</v>
    <v>EUR</v>
    <v>Quonia Socimi</v>
    <v>Quonia Socimi</v>
    <v>19.062999999999999</v>
    <v>1.18</v>
    <v>1.18</v>
    <v>C/ Villarroel, 216-218, 5 4, BARCELONA, BARCELONA, 08036 ES</v>
    <v>Residential &amp; Commercial REIT</v>
    <v>YQUO</v>
    <v>Ações</v>
    <v>Quonia Socimi (BMEX:YQUO)</v>
    <v>-0.02</v>
    <v>-1.6667000000000001E-2</v>
    <v>8333</v>
  </rv>
  <rv s="2">
    <v>501</v>
  </rv>
  <rv s="0">
    <v>https://www.bing.com/financeapi/forcetrigger?t=bnaajc&amp;q=BMEX%3aYBAR&amp;form=skydnc</v>
    <v>Learn more on Bing</v>
  </rv>
  <rv s="11">
    <v>pt-BR</v>
    <v>bnaajc</v>
    <v>268435456</v>
    <v>1</v>
    <v>Da plataforma Refinitiv</v>
    <v>30</v>
    <v>31</v>
    <v>Barcino Property (BMEX:YBAR)</v>
    <v>3</v>
    <v>32</v>
    <v>Finance</v>
    <v>11</v>
    <v>BMEX</v>
    <v>22415170</v>
    <v>1.45</v>
    <v>2015</v>
    <v>1.45</v>
    <v>-3.0999999999999999E-3</v>
    <v>Bolsas y Mercados Espanoles</v>
    <v>32502000</v>
    <v>Barcino Property SOCIMI SA is a Spain-based real estate investment trust (REIT). The Company's main activity is the acquisition and rehabilitation of urban assets for lease. The Company invests primarily in residential real estate in central locations in metropolitan area of Barcelona. The Company's strategy consists of acquisition of buildings for adaptation and subsequent offer on the rental market. The Company holds more than 10 assets in Barcelona and L'Hospitalet de Llobregat. Property management services in the Company's buildings are handled by a third party.</v>
    <v>BMEX</v>
    <v>1.45</v>
    <v>4</v>
    <v>46182.666666666664</v>
    <v>503</v>
    <v>EUR</v>
    <v>Barcino Property</v>
    <v>Barcino Property</v>
    <v>14.4566</v>
    <v>1.45</v>
    <v>1.45</v>
    <v>Avinguda Diagonal 497, 5a, BARCELONA, BARCELONA, 08029 ES</v>
    <v>Residential &amp; Commercial REIT</v>
    <v>YBAR</v>
    <v>Ações</v>
    <v>Barcino Property (BMEX:YBAR)</v>
    <v>0</v>
    <v>0</v>
    <v>56896</v>
  </rv>
  <rv s="2">
    <v>504</v>
  </rv>
  <rv s="0">
    <v>https://www.bing.com/financeapi/forcetrigger?t=c66sdm&amp;q=BMEX%3aDESA&amp;form=skydnc</v>
    <v>Learn more on Bing</v>
  </rv>
  <rv s="6">
    <v>pt-BR</v>
    <v>c66sdm</v>
    <v>268435456</v>
    <v>1</v>
    <v>Da plataforma Refinitiv</v>
    <v>13</v>
    <v>14</v>
    <v>DESA (BMEX:DESA)</v>
    <v>3</v>
    <v>15</v>
    <v>Finance</v>
    <v>11</v>
    <v>28</v>
    <v>15.9</v>
    <v>BMEX</v>
    <v>1788180</v>
    <v>24.2</v>
    <v>24.2</v>
    <v>-0.12590000000000001</v>
    <v>Bolsas y Mercados Espanoles</v>
    <v>43273860</v>
    <v>Desarrollos Especiales de Sistemas de Anclaje SA (DESA) is a Spain-based company primarily engaged in the industrial equipment sector. The Company specializes in the production of fastening and fixing systems. It offers eight product families and over 50 ranges of products. Its products portfolio includes metallic, chemical and plastic anchors, installation systems, cable and pipe clamps, nailers, nails and accessories, screws and rivets, among others. Additionally, DESA offers logistics and post-sales services. The Company forms a group together with Sociedad Tecnicas de Anclaje SA and the Company's subsidiary Tecnicas de Anclaje Trading (Shanghai) Co. Ltd.</v>
    <v>BMEX</v>
    <v>24.2</v>
    <v>161</v>
    <v>46237.416863425926</v>
    <v>506</v>
    <v>30</v>
    <v>EUR</v>
    <v>DESA</v>
    <v>DESA</v>
    <v>10.390700000000001</v>
    <v>24.2</v>
    <v>24.2</v>
    <v>c/ Guitard, n 43, 2 3, BARCELONA, BARCELONA, 08014 ES</v>
    <v>Machinery, Equipment &amp; Components</v>
    <v>DESA</v>
    <v>Ações</v>
    <v>DESA (BMEX:DESA)</v>
    <v>0</v>
    <v>0</v>
    <v>169</v>
  </rv>
  <rv s="2">
    <v>507</v>
  </rv>
  <rv s="0">
    <v>https://www.bing.com/financeapi/forcetrigger?t=c2p8fr&amp;q=BMEX%3aEND&amp;form=skydnc</v>
    <v>Learn more on Bing</v>
  </rv>
  <rv s="23">
    <v>pt-BR</v>
    <v>c2p8fr</v>
    <v>268435456</v>
    <v>1</v>
    <v>Da plataforma Refinitiv</v>
    <v>67</v>
    <v>68</v>
    <v>Endurance Motive (BMEX:END)</v>
    <v>3</v>
    <v>69</v>
    <v>Finance</v>
    <v>11</v>
    <v>BMEX</v>
    <v>12488530</v>
    <v>3.5</v>
    <v>2018</v>
    <v>3.21</v>
    <v>0.97209999999999996</v>
    <v>Bolsas y Mercados Espanoles</v>
    <v>42835650</v>
    <v>Endurance Motive SA is a Spain-based company involved manufacture of lithium-based batteries and battery-related software. The Company is focused on battery supply for Industrial Traction, Marine and Urban sector. Batteries for industrial traction, Polaris Lithium range, have been implemented in the main industrial traction brands. The Company's marine division manufactures lithium batteries for new construction and/or refit projects, both for commercial and leisure boats. Urban division designs and manufactures batteries for urban electromobility devices. The batteries are provided with a monitoring software that allows fleet control real time. The batteries are also equipped with an acceleration recording system for measuring impacts. This accelerometer allows recording and storing the information to later analyze the impacts and accelerations of use of every vehicle.</v>
    <v>BMEX</v>
    <v>3.43</v>
    <v>81</v>
    <v>46237.666666666664</v>
    <v>509</v>
    <v>24260</v>
    <v>EUR</v>
    <v>Endurance Motive</v>
    <v>Endurance Motive</v>
    <v>3.45</v>
    <v>3.35</v>
    <v>C/ de la Bernia, 1, Canet d en Berenguer, VALENCIA, VALENCIA ES</v>
    <v>Machinery, Equipment &amp; Components</v>
    <v>END</v>
    <v>Ações</v>
    <v>Endurance Motive (BMEX:END)</v>
    <v>-0.08</v>
    <v>-2.3323999999999998E-2</v>
    <v>41222</v>
  </rv>
  <rv s="2">
    <v>510</v>
  </rv>
  <rv s="0">
    <v>https://www.bing.com/financeapi/forcetrigger?t=amg3ec&amp;q=BMEX%3aISE&amp;form=skydnc</v>
    <v>Learn more on Bing</v>
  </rv>
  <rv s="34">
    <v>pt-BR</v>
    <v>amg3ec</v>
    <v>268435456</v>
    <v>1</v>
    <v>Da plataforma Refinitiv</v>
    <v>96</v>
    <v>97</v>
    <v>Innovative Solns (BMEX:ISE)</v>
    <v>3</v>
    <v>98</v>
    <v>Finance</v>
    <v>11</v>
    <v>0.59799999999999998</v>
    <v>0.56200000000000006</v>
    <v>BMEX</v>
    <v>57688130</v>
    <v>0.18079999999999999</v>
    <v>Bolsas y Mercados Espanoles</v>
    <v>Innovative Solutions Ecosystem SA, formerly known as Service Point Solutions SA, is a Spain-based company primarily engaged in the provision of commercial printing services. The Company is structured into four business lines: Digital Reprographics, which operates approximately 100 service centers specializing in printing and reproducing documents digitally; Document Management, which is mainly engaged in archiving digital documents and offering computer applications aimed to optimize operational costs related to the document flow; Postage, which provides distribution and mail delivery services, and Mailroom, which offers outsourcing services of mail-related activities.</v>
    <v>BMEX</v>
    <v>0.56499999999999995</v>
    <v>90</v>
    <v>44890</v>
    <v>512</v>
    <v>EUR</v>
    <v>Innovative Solns</v>
    <v>Innovative Solns</v>
    <v>0.56499999999999995</v>
    <v>c/ Salcedo 6, MADRID, MADRID, 28034 ES</v>
    <v>Professional &amp; Commercial Services</v>
    <v>ISE</v>
    <v>Ações</v>
    <v>Innovative Solns (BMEX:ISE)</v>
    <v>0</v>
    <v>0</v>
  </rv>
  <rv s="2">
    <v>513</v>
  </rv>
  <rv s="0">
    <v>https://www.bing.com/financeapi/forcetrigger?t=c6jkmw&amp;q=BMEX%3aLAB&amp;form=skydnc</v>
    <v>Learn more on Bing</v>
  </rv>
  <rv s="13">
    <v>pt-BR</v>
    <v>c6jkmw</v>
    <v>268435456</v>
    <v>1</v>
    <v>Da plataforma Refinitiv</v>
    <v>37</v>
    <v>38</v>
    <v>Labiana Health (BMEX:LAB)</v>
    <v>3</v>
    <v>39</v>
    <v>Finance</v>
    <v>11</v>
    <v>BMEX</v>
    <v>8489260</v>
    <v>6.55</v>
    <v>2017</v>
    <v>6.3</v>
    <v>-4.0800000000000003E-2</v>
    <v>Bolsas y Mercados Espanoles</v>
    <v>53482310</v>
    <v xml:space="preserve">Labiana Health SA is a Spain-based holding company involved in the pharmaceuticals sector. The Company, through its subsidiaries, is engaged in the development, manufacturing and marketing of animal and human medicines. The Company’s main activities are: Drug research and development (R&amp;D), which includes galenic and analytical development; Drug manufacturing, which focuses on formulation development, formulation optimization, bacterial vaccine manufacturing, among others; Regulatory services, which carries out registration procedures for pharmaceutical products in world markets. The Company, through its subsidiaries, is present in Ecuador, Mexico, Serbia and Turkey. </v>
    <v>BMEX</v>
    <v>6.3</v>
    <v>401</v>
    <v>46237.666666666664</v>
    <v>515</v>
    <v>6790</v>
    <v>EUR</v>
    <v>Labiana Health</v>
    <v>Labiana Health</v>
    <v>18.497599999999998</v>
    <v>6.3</v>
    <v>6.55</v>
    <v>Av. Europa, 34, D - Planta 1, POZUELO DE ALARCON, MADRID, 28023 ES</v>
    <v>Pharmaceuticals</v>
    <v>LAB</v>
    <v>Ações</v>
    <v>Labiana Health (BMEX:LAB)</v>
    <v>0.25</v>
    <v>3.9683000000000003E-2</v>
    <v>3862</v>
  </rv>
  <rv s="2">
    <v>516</v>
  </rv>
  <rv s="0">
    <v>https://www.bing.com/financeapi/forcetrigger?t=awnvtc&amp;q=BMEX%3aYNUM&amp;form=skydnc</v>
    <v>Learn more on Bing</v>
  </rv>
  <rv s="13">
    <v>pt-BR</v>
    <v>awnvtc</v>
    <v>268435456</v>
    <v>1</v>
    <v>Da plataforma Refinitiv</v>
    <v>37</v>
    <v>38</v>
    <v>Numulae Gestion (BMEX:YNUM)</v>
    <v>3</v>
    <v>39</v>
    <v>Finance</v>
    <v>11</v>
    <v>BMEX</v>
    <v>15018110</v>
    <v>2.36</v>
    <v>2009</v>
    <v>2.36</v>
    <v>4.6199999999999998E-2</v>
    <v>Bolsas y Mercados Espanoles</v>
    <v>34842020</v>
    <v>Numulae Gestion de Servicios Socimi SA is a Spain-based company engaged in the operation of real estate investment trust (REIT). The Company focuses on the acquisition, development and management of retail real estate assets. The Company’s portfolio consists of the Arcangel Shopping Center, located in Cordoba, Spain. The Arcangel Shopping Center includes approximately 7.000 square meters of rental space, which is leased to tenants active in the shopping, service, fashion, gastronomy and leisure areas. The Company's subsidiaries include Andromeda Capman Propiedad SLU. The Company is a Spanish real estate company focused on commercial premises operations with the vision of the promotion and investment of property in all types of real estate assets under a leasing regime.</v>
    <v>BMEX</v>
    <v>2.3199999999999998</v>
    <v>3</v>
    <v>46237.583483796298</v>
    <v>518</v>
    <v>700</v>
    <v>EUR</v>
    <v>Numulae Gestion</v>
    <v>Numulae Gestion</v>
    <v>28.365400000000001</v>
    <v>2.36</v>
    <v>2.36</v>
    <v>C/Goya N 23 1 Planta, MADRID, MADRID, 28001 ES</v>
    <v>Residential &amp; Commercial REIT</v>
    <v>YNUM</v>
    <v>Ações</v>
    <v>Numulae Gestion (BMEX:YNUM)</v>
    <v>0.04</v>
    <v>1.7240999999999999E-2</v>
    <v>60746</v>
  </rv>
  <rv s="2">
    <v>519</v>
  </rv>
  <rv s="0">
    <v>https://www.bing.com/financeapi/forcetrigger?t=bsue4c&amp;q=BMEX%3aHLZ&amp;form=skydnc</v>
    <v>Learn more on Bing</v>
  </rv>
  <rv s="21">
    <v>pt-BR</v>
    <v>bsue4c</v>
    <v>268435456</v>
    <v>1</v>
    <v>Da plataforma Refinitiv</v>
    <v>61</v>
    <v>62</v>
    <v>Holaluz Clidom (BMEX:HLZ)</v>
    <v>3</v>
    <v>63</v>
    <v>Finance</v>
    <v>11</v>
    <v>BMEX</v>
    <v>32879200</v>
    <v>0.82</v>
    <v>2010</v>
    <v>0.82</v>
    <v>-0.29420000000000002</v>
    <v>Bolsas y Mercados Espanoles</v>
    <v>27158220</v>
    <v>Holaluz Clidom SA, formerly Clidom Energy SL, is a Spain-based company primarily engaged in the electric power sector. The Company sells electric energy solely from renewable resources and natural gas to both private and corporate consumers. The Company focuses on purchase and sale, at an international level, production, and marketing of energy, natural gas and telecommunications and their transfer. The Company offers power stations that produce electricity under a special regime applicable to electricity produced from renewable energy sources, as well as the installation of solar panels. The Company also provides energy, environment, and telecommunications advisory and engineering services.</v>
    <v>BMEX</v>
    <v>0.82599999999999996</v>
    <v>167</v>
    <v>46220.666666666664</v>
    <v>521</v>
    <v>EUR</v>
    <v>Holaluz Clidom</v>
    <v>Holaluz Clidom</v>
    <v>0.82</v>
    <v>0.82</v>
    <v>Passeig Joan de Borbo 99-101, BARCELONA, BARCELONA, 08039 ES</v>
    <v>Electrical Utilities &amp; IPPs</v>
    <v>HLZ</v>
    <v>Ações</v>
    <v>Holaluz Clidom (BMEX:HLZ)</v>
    <v>-6.0000000000000001E-3</v>
    <v>-7.2640000000000005E-3</v>
    <v>240</v>
  </rv>
  <rv s="2">
    <v>522</v>
  </rv>
  <rv s="28">
    <v>pt-BR</v>
    <v>cere1h</v>
    <v>268435456</v>
    <v>1</v>
    <v>Da plataforma Refinitiv</v>
    <v>53</v>
    <v>81</v>
    <v>Optare Solutions (BMEX:OPTS)</v>
    <v>18</v>
    <v>55</v>
    <v>Finance</v>
    <v>11</v>
    <v>BMEX</v>
    <v>3523560</v>
    <v>7.15</v>
    <v>2002</v>
    <v>7.15</v>
    <v>Bolsas y Mercados Espanoles</v>
    <v>25721950</v>
    <v>Optare Solutions SA is a Spain-based company. The Company focuses on IT consulting, as well as engineering services specifically for the Telecommunications sector. Through its technologies, the Company aims to to help operators and service providers design, build and implement systems to support their operations. It operates through three segments: Consultoria y Arquitectura, Desarrollo e Implementacion, and Mantenimiento y Operacion. The Consultoria y Arquitectura segment specializes in defining and the business needs and analyzing existing processes in the client's systems. The Desarrollo e Implementacion segment focuses on solution design and configuration, integration with existing processes and systems, acceptance testing, release and post-production support. Lastly, the Mantenimiento y Operacion segment includes evaluation of the impact and feasibility of the developments, while at the same time designing and implementing new functionalities and required processes.</v>
    <v>BMEX</v>
    <v>7.3</v>
    <v>171</v>
    <v>46237.666666666664</v>
    <v>30</v>
    <v>EUR</v>
    <v>Optare Solutions</v>
    <v>Optare Solutions</v>
    <v>88.930300000000003</v>
    <v>7.15</v>
    <v>7.15</v>
    <v>Parque Tecnologico y Logistico de Vigo, Calle C, Nave C-7, VIGO, PONTEVEDRA, 36315 ES</v>
    <v>Telecommunications Services</v>
    <v>OPTS</v>
    <v>Ações</v>
    <v>Optare Solutions (BMEX:OPTS)</v>
    <v>-0.15</v>
    <v>-2.0548E-2</v>
    <v>287</v>
  </rv>
  <rv s="2">
    <v>524</v>
  </rv>
  <rv s="0">
    <v>https://www.bing.com/financeapi/forcetrigger?t=amg29c&amp;q=BMEX%3aREN&amp;form=skydnc</v>
    <v>Learn more on Bing</v>
  </rv>
  <rv s="9">
    <v>pt-BR</v>
    <v>amg29c</v>
    <v>268435456</v>
    <v>1</v>
    <v>Da plataforma Refinitiv</v>
    <v>24</v>
    <v>25</v>
    <v>Renta Corp Rl Es (BMEX:REN)</v>
    <v>3</v>
    <v>26</v>
    <v>Finance</v>
    <v>11</v>
    <v>0.93799999999999994</v>
    <v>0.67</v>
    <v>BMEX</v>
    <v>32888510</v>
    <v>0.72</v>
    <v>2000</v>
    <v>0.71</v>
    <v>0.6452</v>
    <v>Bolsas y Mercados Espanoles</v>
    <v>23613950</v>
    <v>Renta Corporacion Real Estate SA is a Spain-based company engaged in the real estate sector. The Company main activities comprise the acquisition, rehabilitation and sale of real estate properties in central locations of major cities. Its properties portfolio includes residential and urban buildings, as well as offices and large-scale property complexes. The Company is a parent of Grupo Renta Corporacion, a group which comprises such entities as Renta Corporacion Real Estate Finance SL, RC Real Estate Deutschland GmbH, Renta Properties (UK) LTD and Medas Corporacion Sarl, among others. On March 27, 2013, the Company entered bankruptcy proceedings. In December 2013, the Commercial Court No. 9 9 declared that the common phase of the proceedings 203/2013, 204/2013, 205/2013 and 206/2013 of the Company, Renta Corporacion Real Estate Finance, Renta Corporacion Real Estate and Renta Corporacion Core Business, was completed. In July 2014, it emerged from insolvency.</v>
    <v>BMEX</v>
    <v>0.71799999999999997</v>
    <v>36</v>
    <v>46237.666666666664</v>
    <v>526</v>
    <v>86720</v>
    <v>EUR</v>
    <v>Renta Corp Rl Es</v>
    <v>Renta Corp Rl Es</v>
    <v>0.72</v>
    <v>0.71</v>
    <v>Velazquez 24, 3 Izqda, MADRID, MADRID, 28001 ES</v>
    <v>Real Estate Operations</v>
    <v>REN</v>
    <v>Ações</v>
    <v>Renta Corp Rl Es (BMEX:REN)</v>
    <v>-8.0000000000000002E-3</v>
    <v>-1.1142000000000001E-2</v>
    <v>128919</v>
  </rv>
  <rv s="2">
    <v>527</v>
  </rv>
  <rv s="0">
    <v>https://www.bing.com/financeapi/forcetrigger?t=aypc5r&amp;q=BMEX%3aNYE&amp;form=skydnc</v>
    <v>Learn more on Bing</v>
  </rv>
  <rv s="6">
    <v>pt-BR</v>
    <v>aypc5r</v>
    <v>268435456</v>
    <v>1</v>
    <v>Da plataforma Refinitiv</v>
    <v>13</v>
    <v>14</v>
    <v>Nyesa Valores (BMEX:NYE)</v>
    <v>3</v>
    <v>15</v>
    <v>Finance</v>
    <v>11</v>
    <v>1.0999999999999999E-2</v>
    <v>3.0000000000000001E-3</v>
    <v>BMEX</v>
    <v>4624264000</v>
    <v>4.0000000000000001E-3</v>
    <v>3.3999999999999998E-3</v>
    <v>1.4963</v>
    <v>Bolsas y Mercados Espanoles</v>
    <v>15722500</v>
    <v>Nyesa Valores Corporacion SA is a Spain-based company primarily engaged in the real estate sector. The Company’s activities include the acquisition and development of land, as well as the promotion and construction of non-residential properties, such as hotels, office buildings, shopping centers, senior residences, as well as logistics and industrial properties. The Company owns such companies as Gestora Inmobiliaria Besos SA, Edutaimet Sant Adria de Besos SA, Promociones Industriales y Financieras SA, Constructora Inbesos SA, Inbesos Sur SA and Nalcar 2000 SL, among others.</v>
    <v>BMEX</v>
    <v>3.3999999999999998E-3</v>
    <v>79</v>
    <v>46237.666666666664</v>
    <v>529</v>
    <v>144063500</v>
    <v>EUR</v>
    <v>Nyesa Valores</v>
    <v>Nyesa Valores</v>
    <v>19</v>
    <v>3.5000000000000001E-3</v>
    <v>3.8E-3</v>
    <v>Calle Alfonso Gomez, 30, 3a planta, MADRID, MADRID, 28037 ES</v>
    <v>Real Estate Operations</v>
    <v>NYE</v>
    <v>Ações</v>
    <v>Nyesa Valores (BMEX:NYE)</v>
    <v>4.0000000000000002E-4</v>
    <v>0.117647</v>
    <v>172486310</v>
  </rv>
  <rv s="2">
    <v>530</v>
  </rv>
  <rv s="0">
    <v>https://www.bing.com/financeapi/forcetrigger?t=bsh8xm&amp;q=BMEX%3aYMIB&amp;form=skydnc</v>
    <v>Learn more on Bing</v>
  </rv>
  <rv s="13">
    <v>pt-BR</v>
    <v>bsh8xm</v>
    <v>268435456</v>
    <v>1</v>
    <v>Da plataforma Refinitiv</v>
    <v>37</v>
    <v>38</v>
    <v>Mistral Ib Real (BMEX:YMIB)</v>
    <v>3</v>
    <v>39</v>
    <v>Finance</v>
    <v>11</v>
    <v>BMEX</v>
    <v>22011620</v>
    <v>0.995</v>
    <v>2018</v>
    <v>0.995</v>
    <v>2.1499999999999998E-2</v>
    <v>Bolsas y Mercados Espanoles</v>
    <v>21901560</v>
    <v>Mistral Iberia Real Estate SOCIMI SA is the Spain-based company. The Company act as a real estate investment trust for other Real Estate Investment Trusts in Spain. The Company's management team analyzes investment opportunities in other Real Estate Investment Trusts and allows investors to access a diversified portfolio with positions in various Real Investment Trusts throughout the Iberian region. The Company invests directly in real estate or other assets at prices below their intrinsic value. The Company has a diversified portfolio with positions in various SOCIMIs throughout the Iberian region. The Company also engages in the acquisition and promotion of real estate of an urban nature for leasing.</v>
    <v>BMEX</v>
    <v>0.995</v>
    <v>0</v>
    <v>46234.419953703706</v>
    <v>532</v>
    <v>2500</v>
    <v>EUR</v>
    <v>Mistral Ib Real</v>
    <v>Mistral Ib Real</v>
    <v>25.447600000000001</v>
    <v>0.995</v>
    <v>0.995</v>
    <v>Calle Serrano, 84 1B, MADRID, 28001 ES</v>
    <v>Real Estate Operations</v>
    <v>YMIB</v>
    <v>Ações</v>
    <v>Mistral Ib Real (BMEX:YMIB)</v>
    <v>0</v>
    <v>0</v>
    <v>4200</v>
  </rv>
  <rv s="2">
    <v>533</v>
  </rv>
  <rv s="35">
    <v>pt-BR</v>
    <v>c6zgh7</v>
    <v>268435456</v>
    <v>1</v>
    <v>Da plataforma Refinitiv</v>
    <v>99</v>
    <v>100</v>
    <v>Matritense RE (BMEX:YMAT)</v>
    <v>18</v>
    <v>63</v>
    <v>Finance</v>
    <v>11</v>
    <v>BMEX</v>
    <v>20275820</v>
    <v>1.02</v>
    <v>2020</v>
    <v>1.01</v>
    <v>-2.7300000000000001E-2</v>
    <v>Bolsas y Mercados Espanoles</v>
    <v>20478580</v>
    <v>Matritense Real Estate SOCIMI SA is a Spain-based real estate investment trust. The Company is mainly focused on the acquisition and development of residential real estate, with the purpose of being exploited on a rental basis. As a diversification the Entity also owns and operates commercial premises. The Company aims to hold shares in the capital of other entities that have the same corporate purpose. It is dedicated to the acquisition and promotion of residential properties in the city of Madrid, for rental purposes. The Company's main objective is to generate recurring income from its activity in order to remunerate shareholders on a quarterly basis. It aims to grow progressively through capital increases with assets invested in real estate.</v>
    <v>BMEX</v>
    <v>1.01</v>
    <v>3</v>
    <v>45868.667581018519</v>
    <v>EUR</v>
    <v>Matritense RE</v>
    <v>Matritense RE</v>
    <v>1.02</v>
    <v>1.01</v>
    <v>Sagasta, 15, 6 izqda, MADRID, MADRID, 28004 ES</v>
    <v>Residential &amp; Commercial REIT</v>
    <v>YMAT</v>
    <v>Ações</v>
    <v>Matritense RE (BMEX:YMAT)</v>
    <v>0</v>
    <v>0</v>
    <v>200</v>
  </rv>
  <rv s="2">
    <v>535</v>
  </rv>
  <rv s="36">
    <v>pt-BR</v>
    <v>cj3827</v>
    <v>268435456</v>
    <v>1</v>
    <v>Da plataforma Refinitiv</v>
    <v>101</v>
    <v>102</v>
    <v>Grandvoyage Trav (BMEX:SCGV)</v>
    <v>18</v>
    <v>103</v>
    <v>Finance</v>
    <v>11</v>
    <v>BMEX</v>
    <v>2.6</v>
    <v>2012</v>
    <v>2.6</v>
    <v>Bolsas y Mercados Espanoles</v>
    <v>Grandvoyage Travel SL is a Spain-based luxury travel e-commerce company that specializes in designing and selling tailor-made travel experiences. The Company operates through a fully digital platform, offering curated itineraries for high-end destinations and personalized services such as ones guided by local experts, with the proximity and personalized services of a traditional agency. Also known as GrandVoyage targets tge travel segments and medium-high profile travelers who are looking to avoid the mass-market or standardized offerings of the sector.</v>
    <v>BMEX</v>
    <v>2.7</v>
    <v>46234.666666666664</v>
    <v>EUR</v>
    <v>Grandvoyage Trav</v>
    <v>Grandvoyage Trav</v>
    <v>2.6</v>
    <v>2.6</v>
    <v>CL CARBONELL Num.1, BARCELONA, 08003 ES</v>
    <v>Hotels &amp; Entertainment Services</v>
    <v>SCGV</v>
    <v>Ações</v>
    <v>Grandvoyage Trav (BMEX:SCGV)</v>
    <v>-0.1</v>
    <v>-3.7037E-2</v>
    <v>1350</v>
  </rv>
  <rv s="2">
    <v>537</v>
  </rv>
  <rv s="0">
    <v>https://www.bing.com/financeapi/forcetrigger?t=amfybh&amp;q=BMEX%3aLLN&amp;form=skydnc</v>
    <v>Learn more on Bing</v>
  </rv>
  <rv s="13">
    <v>pt-BR</v>
    <v>amfybh</v>
    <v>268435456</v>
    <v>1</v>
    <v>Da plataforma Refinitiv</v>
    <v>37</v>
    <v>38</v>
    <v>Lleidanetworks (BMEX:LLN)</v>
    <v>3</v>
    <v>39</v>
    <v>Finance</v>
    <v>11</v>
    <v>BMEX</v>
    <v>16049940</v>
    <v>1.35</v>
    <v>1995</v>
    <v>1.22</v>
    <v>0.92910000000000004</v>
    <v>Bolsas y Mercados Espanoles</v>
    <v>20383430</v>
    <v xml:space="preserve">Lleidanetworks Serveis Telematics SA is a Spain-based company principally engaged in the telecommunications services. The Company offers short message services (SMS) and multimedia message services, such as e-mails. The Firm’s portfolio of offered solutions are related to, for instance, registered electronic contracting, data validation, electronic registered communications, services for telecommunication operators, as well as unregistered electronic communications. The Company offers its services to other companies, as well as councils and public administrations. What is more, the Firm conducts various telecommunications-related activities through an owned subsidiary group, which includes companies such as Lleidanetworks Serveis Telematics Ltd, Lleida SAS, Portabilidades Espanolas SLU, and more. </v>
    <v>BMEX</v>
    <v>1.27</v>
    <v>129</v>
    <v>46237.666666666664</v>
    <v>539</v>
    <v>61510</v>
    <v>EUR</v>
    <v>Lleidanetworks</v>
    <v>Lleidanetworks</v>
    <v>17.0886</v>
    <v>1.29</v>
    <v>1.35</v>
    <v>Calle Tellez 56 local C., MADRID, MADRID, 28007 ES</v>
    <v>Telecommunications Services</v>
    <v>LLN</v>
    <v>Ações</v>
    <v>Lleidanetworks (BMEX:LLN)</v>
    <v>0.08</v>
    <v>6.2991999999999992E-2</v>
    <v>48432</v>
  </rv>
  <rv s="2">
    <v>540</v>
  </rv>
  <rv s="0">
    <v>https://www.bing.com/financeapi/forcetrigger?t=amftw7&amp;q=BMEX%3aCOM&amp;form=skydnc</v>
    <v>Learn more on Bing</v>
  </rv>
  <rv s="8">
    <v>pt-BR</v>
    <v>amftw7</v>
    <v>268435456</v>
    <v>1</v>
    <v>Da plataforma Refinitiv</v>
    <v>19</v>
    <v>20</v>
    <v>Catenon (BMEX:COM)</v>
    <v>3</v>
    <v>21</v>
    <v>Finance</v>
    <v>11</v>
    <v>1.45</v>
    <v>0.49</v>
    <v>BMEX</v>
    <v>18733850</v>
    <v>0.97599999999999998</v>
    <v>2000</v>
    <v>0.93600000000000005</v>
    <v>0.51849999999999996</v>
    <v>Bolsas y Mercados Espanoles</v>
    <v>18171830</v>
    <v>Catenon SA, also known as Catenon, is a Spain-based holding company engaged in the provision of Information Technology (IT) services in the field of human resources, and specifically in the processes of searching, selection and screening of personnel, training, recruitment and motivation. The Company operates on five continents in over 100 countries.</v>
    <v>BMEX</v>
    <v>0.97</v>
    <v>137</v>
    <v>46237.666666666664</v>
    <v>542</v>
    <v>15760</v>
    <v>EUR</v>
    <v>Catenon</v>
    <v>Catenon</v>
    <v>11.543100000000001</v>
    <v>0.97</v>
    <v>0.95</v>
    <v>Paseo De La Castellana 259C, Planta 20, Oficina Sur, MADRID, MADRID, 28046 ES</v>
    <v>Professional &amp; Commercial Services</v>
    <v>COM</v>
    <v>Ações</v>
    <v>Catenon (BMEX:COM)</v>
    <v>-0.02</v>
    <v>-2.0619000000000002E-2</v>
    <v>19966</v>
  </rv>
  <rv s="2">
    <v>543</v>
  </rv>
  <rv s="28">
    <v>pt-BR</v>
    <v>cdihrw</v>
    <v>268435456</v>
    <v>1</v>
    <v>Da plataforma Refinitiv</v>
    <v>53</v>
    <v>81</v>
    <v>Nzi Techn Protec (BMEX:NZI)</v>
    <v>18</v>
    <v>55</v>
    <v>Finance</v>
    <v>11</v>
    <v>BMEX</v>
    <v>16490100</v>
    <v>1.02</v>
    <v>2006</v>
    <v>1.02</v>
    <v>Bolsas y Mercados Espanoles</v>
    <v>16819900</v>
    <v>Nzi Technical Protection SL, also known as NZI, is a Spain-based company engaged in cyclical consumer products sector. The Company is involved in developing technologies that ensure safety, comfort and style. NZI Helmets is a brand of road safety and personal protection, and is involved in motorcycle helmets manufacture. NZI's line of helmets offers a range of options to meet the needs and preferences of all types of motorcyclists. From high-end full face helmets to more urban and casual designs, NZI offers an option for every style and activity. Moreover NZI also focuses on research and development. The team of engineering and design experts works to create helmets that meet and exceed the highest global safety standards. The Company is a part of the Group of Experts developing the rescue call for motorcyclists.</v>
    <v>BMEX</v>
    <v>1.04</v>
    <v>33</v>
    <v>46226.666666666664</v>
    <v>270</v>
    <v>EUR</v>
    <v>Nzi Techn Protec</v>
    <v>Nzi Techn Protec</v>
    <v>106.25</v>
    <v>1.02</v>
    <v>1.02</v>
    <v>Avda. de la Paz, s/n. Aptdo. 276, YECLA, MURCIA, 30510 ES</v>
    <v>Leisure Products</v>
    <v>NZI</v>
    <v>Ações</v>
    <v>Nzi Techn Protec (BMEX:NZI)</v>
    <v>-0.02</v>
    <v>-1.9231000000000002E-2</v>
    <v>250</v>
  </rv>
  <rv s="2">
    <v>545</v>
  </rv>
  <rv s="28">
    <v>pt-BR</v>
    <v>cbp8z2</v>
    <v>268435456</v>
    <v>1</v>
    <v>Da plataforma Refinitiv</v>
    <v>53</v>
    <v>81</v>
    <v>Iflex Flex Pack (BMEX:IFLEX)</v>
    <v>18</v>
    <v>55</v>
    <v>Finance</v>
    <v>11</v>
    <v>BMEX</v>
    <v>10849580</v>
    <v>1.57</v>
    <v>1998</v>
    <v>1.57</v>
    <v>Bolsas y Mercados Espanoles</v>
    <v>17033840</v>
    <v>Iflex Flexible Packaging SA is a Spain-based company primarily engaged in the packaging industry. The Company's principal purpose is printing flexible films for the packaging of all types of products by rotogravure or other printing systems. The printing includes graphic arts and their design applicable across multiple business sectors such as pharmaceutical, food and cosmetics, consumables and various industries requiring flexible packaging, preformed bags, sleeves or labels. The productive machinery, and all slitting and laminating machines offer technology, which allows customers to modify packaging already printed. The Company market geographic areas include Belgium, France and North Africa.</v>
    <v>BMEX</v>
    <v>1.59</v>
    <v>98</v>
    <v>46233.666666666664</v>
    <v>1020</v>
    <v>EUR</v>
    <v>Iflex Flex Pack</v>
    <v>Iflex Flex Pack</v>
    <v>18.298400000000001</v>
    <v>1.57</v>
    <v>1.57</v>
    <v>Pol.Ind.Depal, GIRONA, 17140 ES</v>
    <v>Containers &amp; Packaging</v>
    <v>IFLEX</v>
    <v>Ações</v>
    <v>Iflex Flex Pack (BMEX:IFLEX)</v>
    <v>-0.02</v>
    <v>-1.2579E-2</v>
    <v>3078</v>
  </rv>
  <rv s="2">
    <v>547</v>
  </rv>
  <rv s="37">
    <v>pt-BR</v>
    <v>chlcrw</v>
    <v>268435456</v>
    <v>1</v>
    <v>Da plataforma Refinitiv</v>
    <v>104</v>
    <v>105</v>
    <v>Redegal (BMEX:RDG)</v>
    <v>18</v>
    <v>106</v>
    <v>Finance</v>
    <v>11</v>
    <v>BMEX</v>
    <v>0.89500000000000002</v>
    <v>2004</v>
    <v>0.89500000000000002</v>
    <v>Bolsas y Mercados Espanoles</v>
    <v>Redegal SL is a Spain-based, digital marketing and engineering agency specializing in the development and generation of online business. With more than 17 years of experience in the information technology sector, The Company develops Internet projects including e-commerce projects, offering a list of services that fully covers all the short, medium and long-term needs of a brand that wants to create or grow its business on the Internet: consulting, development of projects with Online technologies and online platforms, development of mobile applications, management of presence in marketplaces, digital marketing services, integrations, cloud computing, innovation and development of similar tools.</v>
    <v>BMEX</v>
    <v>0.91</v>
    <v>123</v>
    <v>46237.666666666664</v>
    <v>EUR</v>
    <v>Redegal</v>
    <v>Redegal</v>
    <v>0.89500000000000002</v>
    <v>0.89500000000000002</v>
    <v>Avenida de Santiago 9-bajo, OURENSE, OURENSE, 32001 ES</v>
    <v>Software &amp; IT Services</v>
    <v>RDG</v>
    <v>Ações</v>
    <v>Redegal (BMEX:RDG)</v>
    <v>-1.4999999999999999E-2</v>
    <v>-1.6484000000000002E-2</v>
    <v>4280</v>
  </rv>
  <rv s="2">
    <v>549</v>
  </rv>
  <rv s="0">
    <v>https://www.bing.com/financeapi/forcetrigger?t=b135m7&amp;q=BMEX%3aADL&amp;form=skydnc</v>
    <v>Learn more on Bing</v>
  </rv>
  <rv s="9">
    <v>pt-BR</v>
    <v>b135m7</v>
    <v>268435456</v>
    <v>1</v>
    <v>Da plataforma Refinitiv</v>
    <v>24</v>
    <v>25</v>
    <v>BioTech Assets (BMEX:BST)</v>
    <v>3</v>
    <v>26</v>
    <v>Finance</v>
    <v>11</v>
    <v>2.39</v>
    <v>0.215</v>
    <v>BMEX</v>
    <v>75074890</v>
    <v>0.23200000000000001</v>
    <v>2005</v>
    <v>0.215</v>
    <v>1.2002999999999999</v>
    <v>Bolsas y Mercados Espanoles</v>
    <v>16291250</v>
    <v xml:space="preserve">Biotechnology Assets SA, formerly known as ADL Bionatur Solutions SA, is a Spain-based biotech company. The Company's main activities are: Research, development and production of biotechnological solutions aimed at improving the health and welfare of people and animals; Development, acquisition, transfer and exploitation of industrial and intellectual property rights; Distribution, marketing, export and import of the previously mentioned products. The Company's purpose is the acquisition and promotion of real estate of an urban nature for lease through the ownership of assets directly, through companies with this purpose, with the holding of shares in the capital of other entities, resident or not in the Spanish territory, or through collective investment vehicles. </v>
    <v>BMEX</v>
    <v>0.217</v>
    <v>26</v>
    <v>46237.666666666664</v>
    <v>551</v>
    <v>96440</v>
    <v>EUR</v>
    <v>BioTech Assets</v>
    <v>BioTech Assets</v>
    <v>0.22600000000000001</v>
    <v>0.22800000000000001</v>
    <v>Av. del Desarrollo Tecnologico, 11, JEREZ DE LA FRONTERA, CADIZ, 11591 ES</v>
    <v>Biotechnology &amp; Medical Research</v>
    <v>BST</v>
    <v>Ações</v>
    <v>BioTech Assets (BMEX:BST)</v>
    <v>1.0999999999999999E-2</v>
    <v>5.0691E-2</v>
    <v>164945</v>
  </rv>
  <rv s="2">
    <v>552</v>
  </rv>
  <rv s="0">
    <v>https://www.bing.com/financeapi/forcetrigger?t=bn136h&amp;q=BMEX%3aDOMO&amp;form=skydnc</v>
    <v>Learn more on Bing</v>
  </rv>
  <rv s="21">
    <v>pt-BR</v>
    <v>bn136h</v>
    <v>268435456</v>
    <v>1</v>
    <v>Da plataforma Refinitiv</v>
    <v>61</v>
    <v>62</v>
    <v>Domo Activos (BMEX:DOMO)</v>
    <v>3</v>
    <v>63</v>
    <v>Finance</v>
    <v>11</v>
    <v>BMEX</v>
    <v>11455010</v>
    <v>1.38</v>
    <v>2015</v>
    <v>1.38</v>
    <v>-5.7000000000000002E-2</v>
    <v>Bolsas y Mercados Espanoles</v>
    <v>15922470</v>
    <v>Domo Activos SA is a Spain-based real estate investment trust (REIT). The Company’s main activity is the acquisition and promotion of real estate of urban nature for its lease, as well as the renovation of those buildings; the holding of shares in the capital of REIT or in the capital of other entities; and the holding of shares or participations of real estate investment institutions. The Company holds the investment project of Ensanche de Vallecas, an urban development located in Madrid. The Issuer’s business model involves the acquisition and development of real estate for lease and sale, the purchase of land for the construction of houses, hotels, tourist apartments, for lease or sale, the purchase and development of urban real estate for lease and/or sale, specializing in the development of residential buildings for Build-to-Rent (BTR) operations.</v>
    <v>BMEX</v>
    <v>1.39</v>
    <v>0</v>
    <v>46237.666666666664</v>
    <v>554</v>
    <v>EUR</v>
    <v>Domo Activos</v>
    <v>Domo Activos</v>
    <v>1.38</v>
    <v>1.38</v>
    <v>CC La Ermita, P de la Ermita del Santo, 48. Area de oficinas, 2a y 3a planta, MADRID, MADRID, 28011 ES</v>
    <v>Residential &amp; Commercial REIT</v>
    <v>DOMO</v>
    <v>Ações</v>
    <v>Domo Activos (BMEX:DOMO)</v>
    <v>-0.01</v>
    <v>-7.1940000000000007E-3</v>
    <v>3</v>
  </rv>
  <rv s="2">
    <v>555</v>
  </rv>
  <rv s="38">
    <v>pt-BR</v>
    <v>c9d4ur</v>
    <v>268435456</v>
    <v>1</v>
    <v>Da plataforma Refinitiv</v>
    <v>107</v>
    <v>108</v>
    <v>Substrate AI (BMEX:SAI.B)</v>
    <v>18</v>
    <v>69</v>
    <v>Finance</v>
    <v>11</v>
    <v>BMEX</v>
    <v>464167400</v>
    <v>0.12</v>
    <v>2011</v>
    <v>0.12</v>
    <v>-0.1016</v>
    <v>Bolsas y Mercados Espanoles</v>
    <v>40042150</v>
    <v>Substrate Artificial Inteligence SA is a Spain-based digital solutions provider. The Company's activities include Computer programming, The design of structures and the content and the writing of the computer code necessary to create and implement: Programs for systems, Computer applications, Databases, Web pages (including patches and updates). The Company works towards client's customized software requirements. Furthermore The Company provides preparation of investment reports and financial analyses or other forms of general, non-customized recommendations relating to transactions in financial instruments, and financial mediation services, including the channeling of such transactions, taking all the necessary steps with the authorities, entities, financial intermediaries and notaries that must intervene, including the control and follow-up of the actions.</v>
    <v>BMEX</v>
    <v>0.12</v>
    <v>251</v>
    <v>46234.666666666664</v>
    <v>16749740</v>
    <v>EUR</v>
    <v>Substrate AI</v>
    <v>Substrate AI</v>
    <v>0.12</v>
    <v>0.12</v>
    <v>C/ Maria de Molina, 41, Oficina 503, MADRID, MADRID, 28006 ES</v>
    <v>Healthcare Equipment &amp; Supplies</v>
    <v>SAI.B</v>
    <v>Ações</v>
    <v>Substrate AI (BMEX:SAI.B)</v>
    <v>0</v>
    <v>0</v>
    <v>100000</v>
  </rv>
  <rv s="2">
    <v>557</v>
  </rv>
  <rv s="0">
    <v>https://www.bing.com/financeapi/forcetrigger?t=amfv27&amp;q=BMEX%3aELZ&amp;form=skydnc</v>
    <v>Learn more on Bing</v>
  </rv>
  <rv s="13">
    <v>pt-BR</v>
    <v>amfv27</v>
    <v>268435456</v>
    <v>1</v>
    <v>Da plataforma Refinitiv</v>
    <v>37</v>
    <v>38</v>
    <v>Asturiana de Lam (BMEX:ELZ)</v>
    <v>3</v>
    <v>39</v>
    <v>Finance</v>
    <v>11</v>
    <v>BMEX</v>
    <v>128551700</v>
    <v>7.5999999999999998E-2</v>
    <v>2006</v>
    <v>7.4999999999999997E-2</v>
    <v>0.68979999999999997</v>
    <v>Bolsas y Mercados Espanoles</v>
    <v>9667090</v>
    <v xml:space="preserve">Asturiana de Laminados SA is a Spain-based company active in the construction supplies industry. Its main activity is to transform zinc ingots into coils and sheets of different sizes and thicknesses according to customer orders, in addition to the design, manufacture, marketing and logistics management of the components developed in their own production plants. The Company’s product lines are Spherical anodes, Coils and sheets, Profiled products and Other products and zinc foams. The Company’s geographic zones are Europe, North America, Australia, Asia and Africa and Middle East, where the biggest markets are in Europe and the emerging markets are China, South Korea, The United States, The United Kingdom and Russia, among others. The Company is part of a group, whose parent is Laminados del Principado. </v>
    <v>BMEX</v>
    <v>7.5200000000000003E-2</v>
    <v>146</v>
    <v>46237.666666666664</v>
    <v>559</v>
    <v>34960</v>
    <v>EUR</v>
    <v>Asturiana de Lam</v>
    <v>Asturiana de Lam</v>
    <v>0.46260000000000001</v>
    <v>7.4999999999999997E-2</v>
    <v>7.5999999999999998E-2</v>
    <v>Poligono Industrial de Villallana, Parcela 1, Pola de Lena, ASTURIAS, 33695 ES</v>
    <v>Metals &amp; Mining</v>
    <v>ELZ</v>
    <v>Ações</v>
    <v>Asturiana de Lam (BMEX:ELZ)</v>
    <v>8.0000000000000004E-4</v>
    <v>1.0638000000000002E-2</v>
    <v>3521</v>
  </rv>
  <rv s="2">
    <v>560</v>
  </rv>
  <rv s="0">
    <v>https://www.bing.com/financeapi/forcetrigger?t=amg2f2&amp;q=BMEX%3aRIO&amp;form=skydnc</v>
    <v>Learn more on Bing</v>
  </rv>
  <rv s="16">
    <v>pt-BR</v>
    <v>amg2f2</v>
    <v>268435456</v>
    <v>1</v>
    <v>Da plataforma Refinitiv</v>
    <v>45</v>
    <v>46</v>
    <v>Bodegas Riojanas (BMEX:RIO)</v>
    <v>3</v>
    <v>47</v>
    <v>Finance</v>
    <v>11</v>
    <v>3.36</v>
    <v>0.88</v>
    <v>BMEX</v>
    <v>5057310</v>
    <v>0.995</v>
    <v>0.94</v>
    <v>5.0299999999999997E-2</v>
    <v>Bolsas y Mercados Espanoles</v>
    <v>4779160</v>
    <v xml:space="preserve">Bodegas Riojanas SA is a Spain-based company engaged in the production and distribution of wine. The Company’s activities include viticulture, as well as the production, ageing and sale of wines. Bodegas Riojanas SA operates two production centers in the municipalities of Cenicero and San Vincente de la Sonsierra, both located in the autonomous community of La Rioja . The Company’s brand portfolio includes Azuel, Viore, Penamonte, Monte Real, Veiga Naum, Cruceiro Vello and Vina Albina, among others. Its products are exported to Switzerland, Germany, Denmark and Mexico, among others. The Company operates through subsidiaries, including Bodegas Torreduero SA and Bodegas Riojanas USA Corporation. </v>
    <v>BMEX</v>
    <v>0.94499999999999995</v>
    <v>72</v>
    <v>46237.666666666664</v>
    <v>562</v>
    <v>26760</v>
    <v>EUR</v>
    <v>Bodegas Riojanas</v>
    <v>Bodegas Riojanas</v>
    <v>0.94</v>
    <v>0.98499999999999999</v>
    <v>AVDA DEL DOCTOR RICARDO RUIZ DE AZCARRAGA 1, LA RIOJA, 26350 ES</v>
    <v>Beverages</v>
    <v>RIO</v>
    <v>Ações</v>
    <v>Bodegas Riojanas (BMEX:RIO)</v>
    <v>0.04</v>
    <v>4.2328000000000005E-2</v>
    <v>6145</v>
  </rv>
  <rv s="2">
    <v>563</v>
  </rv>
  <rv s="0">
    <v>https://www.bing.com/financeapi/forcetrigger?t=brkxr7&amp;q=BMEX%3aYGO2&amp;form=skydnc</v>
    <v>Learn more on Bing</v>
  </rv>
  <rv s="21">
    <v>pt-BR</v>
    <v>brkxr7</v>
    <v>268435456</v>
    <v>1</v>
    <v>Da plataforma Refinitiv</v>
    <v>61</v>
    <v>62</v>
    <v>Greenoak Socmi (BMEX:YGO2)</v>
    <v>3</v>
    <v>63</v>
    <v>Finance</v>
    <v>11</v>
    <v>BMEX</v>
    <v>6595010</v>
    <v>1.65</v>
    <v>2016</v>
    <v>1.65</v>
    <v>3.1099999999999999E-2</v>
    <v>Bolsas y Mercados Espanoles</v>
    <v>10947710</v>
    <v>Greenoak Spain Holdings Socimi II SA, also known as Go II Spain, is a Spain-based real estate investment trust (REIT). The Company is engaged in the acquisition, management and lease of real estate, holding interests mainly in logistic, office and commercial units, located in different cities, such as Madrid, Guadalajara, Barcelona and Valencia, among others.</v>
    <v>BMEX</v>
    <v>1.66</v>
    <v>0</v>
    <v>45919.668032407404</v>
    <v>565</v>
    <v>EUR</v>
    <v>Greenoak Socmi</v>
    <v>Greenoak Socmi</v>
    <v>1.65</v>
    <v>1.65</v>
    <v>Calle Pinar, 7, 1 Planta, MADRID, MADRID, 28006 ES</v>
    <v>Residential &amp; Commercial REIT</v>
    <v>YGO2</v>
    <v>Ações</v>
    <v>Greenoak Socmi (BMEX:YGO2)</v>
    <v>-0.01</v>
    <v>-6.0240000000000007E-3</v>
    <v>49</v>
  </rv>
  <rv s="2">
    <v>566</v>
  </rv>
  <rv s="0">
    <v>https://www.bing.com/financeapi/forcetrigger?t=bn139c&amp;q=BMEX%3aYEIS&amp;form=skydnc</v>
    <v>Learn more on Bing</v>
  </rv>
  <rv s="11">
    <v>pt-BR</v>
    <v>bn139c</v>
    <v>268435456</v>
    <v>1</v>
    <v>Da plataforma Refinitiv</v>
    <v>30</v>
    <v>31</v>
    <v>Elaia Investment (BMEX:YEIS)</v>
    <v>3</v>
    <v>32</v>
    <v>Finance</v>
    <v>11</v>
    <v>BMEX</v>
    <v>11292420</v>
    <v>0.91</v>
    <v>2015</v>
    <v>0.87</v>
    <v>-0.42180000000000001</v>
    <v>Bolsas y Mercados Espanoles</v>
    <v>9203320</v>
    <v>Elaia Investment Spain Socimi SA is a Spain-based company engaged in the operation of real estate investment trust (REIT). The Company focuses on the acquisition, development and management of tourism and residential real estate assets in Spain. The Company's portfolio consists of three and four-star hotels located in the sea-front areas of Costa del Sol, Balearic Islands and Costa Brava; touristic apartments, located in Barcelona, Costa del Sol, Balearic Islands and Costa Brava; and residential properties located in a number of Spanish cities. The Company cooperates with entities active in the tourism sector in order to promote and operate its assets. It is controlled by Batipart Invest SA.</v>
    <v>BMEX</v>
    <v>0.85</v>
    <v>0</v>
    <v>46195.666666666664</v>
    <v>568</v>
    <v>EUR</v>
    <v>Elaia Investment</v>
    <v>Elaia Investment</v>
    <v>2.0074000000000001</v>
    <v>0.87</v>
    <v>0.91</v>
    <v>Calle Serrano n 16 - 5 dcha, MADRID, MADRID, 28010 ES</v>
    <v>Residential &amp; Commercial REIT</v>
    <v>YEIS</v>
    <v>Ações</v>
    <v>Elaia Investment (BMEX:YEIS)</v>
    <v>0.06</v>
    <v>7.0587999999999998E-2</v>
    <v>11398</v>
  </rv>
  <rv s="2">
    <v>569</v>
  </rv>
  <rv s="39">
    <v>pt-BR</v>
    <v>chahdm</v>
    <v>268435456</v>
    <v>1</v>
    <v>Da plataforma Refinitiv</v>
    <v>109</v>
    <v>110</v>
    <v>CommCenter (BMEX:SCCMM)</v>
    <v>18</v>
    <v>111</v>
    <v>Finance</v>
    <v>11</v>
    <v>2.86</v>
    <v>1.64</v>
    <v>BMEX</v>
    <v>6456440</v>
    <v>1.64</v>
    <v>1998</v>
    <v>1.64</v>
    <v>Bolsas y Mercados Espanoles</v>
    <v>9942920</v>
    <v>Commcenter SA is a Spain-based company primarily engaged in the telecommunications sector. The Company focuses on the distribution of products and services offered by Movistar, a Spanish mobile phone operator. The Company's offer comprises various wired and wireless services, such as renewal of customer's mobile phone, mobile and broadband Internet access, mobile and fixed-line telephony, as well as cable television. In addition, the Company provides maintenance of local area network (LAN), asymmetric digital subscriber line (ADSL) and personal computer (PC), as well as distributes firewall software. It operates a number of stores across Spain. The Company’s subsidiaries include Commcenter Top SLU.</v>
    <v>BMEX</v>
    <v>1.68</v>
    <v>669</v>
    <v>45898.66715277778</v>
    <v>EUR</v>
    <v>CommCenter</v>
    <v>CommCenter</v>
    <v>1.64</v>
    <v>1.64</v>
    <v>Avda. Ferrocarril, 74, LA CORUNA, LA CORUNA, 15008 ES</v>
    <v>Telecommunications Services</v>
    <v>SCCMM</v>
    <v>Ações</v>
    <v>CommCenter (BMEX:SCCMM)</v>
    <v>-0.04</v>
    <v>-2.3809999999999998E-2</v>
    <v>152439</v>
  </rv>
  <rv s="2">
    <v>571</v>
  </rv>
  <rv s="24">
    <v>pt-BR</v>
    <v>cg5527</v>
    <v>268435456</v>
    <v>1</v>
    <v>Da plataforma Refinitiv</v>
    <v>70</v>
    <v>71</v>
    <v>Better Consultan (BMEX:SCBTT)</v>
    <v>18</v>
    <v>72</v>
    <v>Finance</v>
    <v>11</v>
    <v>BMEX</v>
    <v>4.5999999999999996</v>
    <v>4.5999999999999996</v>
    <v>Bolsas y Mercados Espanoles</v>
    <v>BMEX</v>
    <v>4.5999999999999996</v>
    <v>46210.416805566405</v>
    <v>EUR</v>
    <v>Better Consultan</v>
    <v>Better Consultan</v>
    <v>4.5999999999999996</v>
    <v>4.5999999999999996</v>
    <v>CL ARIBAU Num.262 P.EN PTA.2, BARCELONA, BARCELONA ES</v>
    <v>SCBTT</v>
    <v>Ações</v>
    <v>Better Consultan (BMEX:SCBTT)</v>
    <v>0</v>
    <v>0</v>
    <v>1250</v>
  </rv>
  <rv s="2">
    <v>573</v>
  </rv>
  <rv s="0">
    <v>https://www.bing.com/financeapi/forcetrigger?t=br79kr&amp;q=BMEX%3aKOM&amp;form=skydnc</v>
    <v>Learn more on Bing</v>
  </rv>
  <rv s="21">
    <v>pt-BR</v>
    <v>br79kr</v>
    <v>268435456</v>
    <v>1</v>
    <v>Da plataforma Refinitiv</v>
    <v>61</v>
    <v>62</v>
    <v>Plasticos Compd (BMEX:KOM)</v>
    <v>3</v>
    <v>63</v>
    <v>Finance</v>
    <v>11</v>
    <v>BMEX</v>
    <v>13498900</v>
    <v>0.83</v>
    <v>1987</v>
    <v>0.83</v>
    <v>0.73660000000000003</v>
    <v>Bolsas y Mercados Espanoles</v>
    <v>11204090</v>
    <v xml:space="preserve">Plasticos Compuestos SA is a Spain-based company that produces plastic compounds. Its products are used as a raw material in multiple industries around the world. Its offering includes mineral concentrates, compostable resins, biodegradable in water, color, black and white masterbatches and additives. It works in favor of the circular economy of plastic and commits to sustainable innovation to develop biodegradable products and composites, as well as having a range of products that improve carbon footprint of the final products. </v>
    <v>BMEX</v>
    <v>0.84</v>
    <v>77</v>
    <v>46212.583495370367</v>
    <v>575</v>
    <v>EUR</v>
    <v>Plasticos Compd</v>
    <v>Plasticos Compd</v>
    <v>0.83</v>
    <v>0.83</v>
    <v>Carrer de l'Orfebreria 3, PALAU SOLITA I PLEGAMANS, BARCELONA, 08184 ES</v>
    <v>Chemicals</v>
    <v>KOM</v>
    <v>Ações</v>
    <v>Plasticos Compd (BMEX:KOM)</v>
    <v>-0.01</v>
    <v>-1.1904999999999999E-2</v>
    <v>1445</v>
  </rv>
  <rv s="2">
    <v>576</v>
  </rv>
  <rv s="0">
    <v>https://www.bing.com/financeapi/forcetrigger?t=bjsic7&amp;q=BMEX%3aRBT&amp;form=skydnc</v>
    <v>Learn more on Bing</v>
  </rv>
  <rv s="13">
    <v>pt-BR</v>
    <v>bjsic7</v>
    <v>268435456</v>
    <v>1</v>
    <v>Da plataforma Refinitiv</v>
    <v>37</v>
    <v>38</v>
    <v>Robot (BMEX:RBT)</v>
    <v>3</v>
    <v>39</v>
    <v>Finance</v>
    <v>11</v>
    <v>BMEX</v>
    <v>2779310</v>
    <v>4.5999999999999996</v>
    <v>1983</v>
    <v>4.5999999999999996</v>
    <v>0.4042</v>
    <v>Bolsas y Mercados Espanoles</v>
    <v>13340710</v>
    <v xml:space="preserve">Robot SA is a Spain-based technology company. It designs, manufactures, installs and maintains systems for the automation and control of technical installations of buildings and energy savings, also known as Building Automation Systems (BAS). The Company focuses on all elements of the value chain with a focus on both the product and the service provided to its customers. It has carried out more than 600 installations in any type of building, including hotels, offices, shopping centers, universities and hospitals, among others, specializing in the hotel industry. The Company is active globally. </v>
    <v>BMEX</v>
    <v>4.8</v>
    <v>58</v>
    <v>46237.583483796298</v>
    <v>578</v>
    <v>930</v>
    <v>EUR</v>
    <v>Robot</v>
    <v>Robot</v>
    <v>8.1748999999999992</v>
    <v>4.5999999999999996</v>
    <v>4.5999999999999996</v>
    <v>C/ Gremi de Cirurgians i Barbers, 22, PALMA DE MALLORCA, ILLES BALEARS, 07009 ES</v>
    <v>Machinery, Equipment &amp; Components</v>
    <v>RBT</v>
    <v>Ações</v>
    <v>Robot (BMEX:RBT)</v>
    <v>-0.2</v>
    <v>-4.1666999999999996E-2</v>
    <v>200</v>
  </rv>
  <rv s="2">
    <v>579</v>
  </rv>
  <rv s="40">
    <v>pt-BR</v>
    <v>cb2b7w</v>
    <v>268435456</v>
    <v>1</v>
    <v>Da plataforma Refinitiv</v>
    <v>112</v>
    <v>113</v>
    <v>Revenga Ingenier (BMEX:RSS)</v>
    <v>18</v>
    <v>114</v>
    <v>Finance</v>
    <v>11</v>
    <v>BMEX</v>
    <v>11055970</v>
    <v>0.75</v>
    <v>1972</v>
    <v>0.75</v>
    <v>Bolsas y Mercados Espanoles</v>
    <v>8291980</v>
    <v>Revenga Ingenieros SA is a Spain-based company. The Company provides consultancy services and solutions provider for mobility improvements. The Company, also knows as Revenga Smart Solutions, offers technological solutions partnering with infrastructure managers and operators, from railways, subways and trams; roads and highways; bus fleets, to stations and terminals (airports, ports, train and bus stations) in over 30 countries. It provides technology solutions that make mobility safer, more sustainable, easier and more satisfying for the end user. The Company is a technological partner of infrastructure managers and operators, from railways, metros and trams; expressways and highways; bus fleets, to stations and terminals (airports, ports, train and bus stations).</v>
    <v>BMEX</v>
    <v>0.75</v>
    <v>196</v>
    <v>45973.710532407407</v>
    <v>EUR</v>
    <v>Revenga Ingenier</v>
    <v>Revenga Ingenier</v>
    <v>0.75</v>
    <v>0.75</v>
    <v>Calle Fragua, 6, TRES CANTOS, MADRID, 28760 ES</v>
    <v>Professional &amp; Commercial Services</v>
    <v>RSS</v>
    <v>Ações</v>
    <v>Revenga Ingenier (BMEX:RSS)</v>
    <v>0</v>
    <v>0</v>
    <v>1400</v>
  </rv>
  <rv s="2">
    <v>581</v>
  </rv>
  <rv s="36">
    <v>pt-BR</v>
    <v>caek27</v>
    <v>268435456</v>
    <v>1</v>
    <v>Da plataforma Refinitiv</v>
    <v>101</v>
    <v>102</v>
    <v>Vanadi Coffee (BMEX:VANA)</v>
    <v>18</v>
    <v>103</v>
    <v>Finance</v>
    <v>11</v>
    <v>BMEX</v>
    <v>2.47E-2</v>
    <v>2021</v>
    <v>2.06E-2</v>
    <v>Bolsas y Mercados Espanoles</v>
    <v>Vanadi Coffee SA is a Spain-based company engaged in consumer cyclicals sector. The Company's operations consist of the bar, restaurant, food delivery services, catering for any type of event and any other services related to the hotel and lodging business. The business model is based on organic growth through its own coffee shops in areas where there is a demand for consumption of healthy food. In addition, the Company acquires real estate for the development and promotion of the activities of the corporate purpose, being able to exploit them directly or lease them. The Company also provides the activities such as constitution, subscription, acquisition and sale of shares, obligations or participations in other companies and foundations. The Company is located in the region of Alicante.</v>
    <v>BMEX</v>
    <v>2.1499999999999998E-2</v>
    <v>46237.666666666664</v>
    <v>EUR</v>
    <v>Vanadi Coffee</v>
    <v>Vanadi Coffee</v>
    <v>2.2499999999999999E-2</v>
    <v>2.41E-2</v>
    <v>Calle Mexico 20, 5, ALICANTE, ALICANTE, 03008 ES</v>
    <v>Hotels &amp; Entertainment Services</v>
    <v>VANA</v>
    <v>Ações</v>
    <v>Vanadi Coffee (BMEX:VANA)</v>
    <v>2.5999999999999999E-3</v>
    <v>0.12093</v>
    <v>7113684</v>
  </rv>
  <rv s="2">
    <v>583</v>
  </rv>
  <rv s="0">
    <v>https://www.bing.com/financeapi/forcetrigger?t=amg1u2&amp;q=BMEX%3aPVA&amp;form=skydnc</v>
    <v>Learn more on Bing</v>
  </rv>
  <rv s="9">
    <v>pt-BR</v>
    <v>amg1u2</v>
    <v>268435456</v>
    <v>1</v>
    <v>Da plataforma Refinitiv</v>
    <v>24</v>
    <v>25</v>
    <v>Pescanova (BMEX:PVA)</v>
    <v>3</v>
    <v>26</v>
    <v>Finance</v>
    <v>11</v>
    <v>0.316</v>
    <v>0.23</v>
    <v>BMEX</v>
    <v>28737720</v>
    <v>0.248</v>
    <v>1960</v>
    <v>0.23899999999999999</v>
    <v>0.55679999999999996</v>
    <v>Bolsas y Mercados Espanoles</v>
    <v>6868310</v>
    <v>Pescanova SA is a Spain-based company primarily engaged, through its subsidiaries, in the fishing industry. The Company comprises the farming, capturing, cleaning, cutting, freezing, processing and packaging onboard factory-ships, as well as the transport, distribution and marketing of a variety of fish products. The Company’s activities are structured in three business areas: Wild Catch, where fish and shellfish are processed and frozen immediately after being caught; Farmed Fish, mainly involved in aquaculture operations and the development of technology for the fishing activities, and Food Products, which offers deep-frozen fish and shellfish products. The Company is a parent of Grupo Pescanova, a group which comprises a number of controlled entities with operations established worldwide. In March 2013, the Company entered bankruptcy proceedings. In December, 2013, the Company completed the sale of a 50% stake in Austral Fisheries Pty Ltd to Maruha Nichiro Seafood Inc.</v>
    <v>BMEX</v>
    <v>0.23899999999999999</v>
    <v>0</v>
    <v>46237.666666666664</v>
    <v>585</v>
    <v>27290</v>
    <v>EUR</v>
    <v>Pescanova</v>
    <v>Pescanova</v>
    <v>0.23899999999999999</v>
    <v>0.23899999999999999</v>
    <v>Rua Jose Fernandez Lopez. s/n, Chapela, REDONDELA, PONTEVEDRA, 36320 ES</v>
    <v>Food &amp; Tobacco</v>
    <v>PVA</v>
    <v>Ações</v>
    <v>Pescanova (BMEX:PVA)</v>
    <v>0</v>
    <v>0</v>
    <v>18097</v>
  </rv>
  <rv s="2">
    <v>586</v>
  </rv>
  <rv s="0">
    <v>https://www.bing.com/financeapi/forcetrigger?t=c6l96h&amp;q=BMEX%3aHAN&amp;form=skydnc</v>
    <v>Learn more on Bing</v>
  </rv>
  <rv s="23">
    <v>pt-BR</v>
    <v>c6l96h</v>
    <v>268435456</v>
    <v>1</v>
    <v>Da plataforma Refinitiv</v>
    <v>67</v>
    <v>68</v>
    <v>Hannun (BMEX:HAN)</v>
    <v>3</v>
    <v>69</v>
    <v>Finance</v>
    <v>11</v>
    <v>BMEX</v>
    <v>50443680</v>
    <v>0.185</v>
    <v>2017</v>
    <v>0.185</v>
    <v>0.44080000000000003</v>
    <v>Bolsas y Mercados Espanoles</v>
    <v>9332080</v>
    <v>Hannun SA is a Spain-based company. The Company engages in the retail of home furniture and household items through online mail orders and ecommerce services. The Company's products includes Mirrors, Bedroom items, Shelves, Decor items, Chairs, Tables, Auxiliary Furniture, Lightning, Textile, Yard items, Sofas and Armchairs, among others.</v>
    <v>BMEX</v>
    <v>0.185</v>
    <v>30</v>
    <v>46227.666666666664</v>
    <v>588</v>
    <v>1000</v>
    <v>EUR</v>
    <v>Hannun</v>
    <v>Hannun</v>
    <v>0.185</v>
    <v>0.185</v>
    <v>Passeig del Pla, 30 A, Matadepera, BARCELONA, 08230 ES</v>
    <v>Diversified Retail</v>
    <v>HAN</v>
    <v>Ações</v>
    <v>Hannun (BMEX:HAN)</v>
    <v>0</v>
    <v>0</v>
    <v>5000</v>
  </rv>
  <rv s="2">
    <v>589</v>
  </rv>
  <rv s="41">
    <v>pt-BR</v>
    <v>cfc2oc</v>
    <v>268435456</v>
    <v>1</v>
    <v>Da plataforma Refinitiv</v>
    <v>115</v>
    <v>116</v>
    <v>ASAM (BMEX:SCASM)</v>
    <v>18</v>
    <v>117</v>
    <v>Finance</v>
    <v>BMEX</v>
    <v>Bolsas y Mercados Espanoles</v>
    <v>BMEX</v>
    <v>13.8</v>
    <v>EUR</v>
    <v>ASAM</v>
    <v>ASAM</v>
    <v>Avenida De America 18, MADRID, MADRID, 28028 ES</v>
    <v>SCASM</v>
    <v>Ações</v>
    <v>ASAM (BMEX:SCASM)</v>
  </rv>
  <rv s="2">
    <v>591</v>
  </rv>
  <rv s="42">
    <v>pt-BR</v>
    <v>cigqm7</v>
    <v>268435456</v>
    <v>1</v>
    <v>Da plataforma Refinitiv</v>
    <v>118</v>
    <v>119</v>
    <v>Trajano Iberia (BMEX:YTRA)</v>
    <v>18</v>
    <v>32</v>
    <v>Finance</v>
    <v>11</v>
    <v>BMEX</v>
    <v>14223840</v>
    <v>0.33600000000000002</v>
    <v>2015</v>
    <v>0.33600000000000002</v>
    <v>-8.7300000000000003E-2</v>
    <v>Bolsas y Mercados Espanoles</v>
    <v>4978340</v>
    <v>Trajano Iberia Socimi SA is a Spain-based company engaged in the operation of real estate investment trust (REIT). The Company focuses on the acquisition, management and rental of real estate assets located in Spain and Portugal. The Company mainly invests in commercial properties, including business offices, shopping malls, retail stores and logistics centers. The Company's real estate portfolio includes Echevarria, a mixed-use building located in Bilbao, Spain; Nosso Shopping Douro, a shopping center located in Vila Real, Portugal, and Manoteras 48, an office park located in Madrid, Spain.</v>
    <v>BMEX</v>
    <v>0.33600000000000002</v>
    <v>2</v>
    <v>46064.709317129629</v>
    <v>EUR</v>
    <v>Trajano Iberia</v>
    <v>Trajano Iberia</v>
    <v>0.73819999999999997</v>
    <v>0.33600000000000002</v>
    <v>0.33600000000000002</v>
    <v>Zurbano 49, oficina 10, MADRID, MADRID, 28010 ES</v>
    <v>Residential &amp; Commercial REIT</v>
    <v>YTRA</v>
    <v>Ações</v>
    <v>Trajano Iberia (BMEX:YTRA)</v>
    <v>0</v>
    <v>0</v>
    <v>200</v>
  </rv>
  <rv s="2">
    <v>593</v>
  </rv>
  <rv s="0">
    <v>https://www.bing.com/financeapi/forcetrigger?t=c4iqxm&amp;q=BMEX%3aSPH&amp;form=skydnc</v>
    <v>Learn more on Bing</v>
  </rv>
  <rv s="21">
    <v>pt-BR</v>
    <v>c4iqxm</v>
    <v>268435456</v>
    <v>1</v>
    <v>Da plataforma Refinitiv</v>
    <v>61</v>
    <v>62</v>
    <v>Profithol (BMEX:SPH)</v>
    <v>3</v>
    <v>63</v>
    <v>Finance</v>
    <v>11</v>
    <v>BMEX</v>
    <v>19629000</v>
    <v>0.57799999999999996</v>
    <v>2021</v>
    <v>0.45</v>
    <v>-1.4693000000000001</v>
    <v>Bolsas y Mercados Espanoles</v>
    <v>9814500</v>
    <v>Profithol SA is a Spanish-based holding company. The Company's purpose is investment, holding of shares, participations and financial assets for the purpose of manage them, as well as the advice and support of the investees, either by own account or through others, with the exception of activities reserved for entities of collective investment, broker-dealers and brokers, the acquisition, possession, administration, assignment, disposal and lease financing of real estate, rural and urban, as well as carrying out activities of real estate promotion. Its subsidiaries are dedicated to the design, promotion, construction, installation and maintenance of photovoltaic installations.</v>
    <v>BMEX</v>
    <v>0.47</v>
    <v>36</v>
    <v>46142.666666666664</v>
    <v>595</v>
    <v>EUR</v>
    <v>Profithol</v>
    <v>Profithol</v>
    <v>0.46400000000000002</v>
    <v>0.5</v>
    <v>Cl De La Tecnologia Num. 82, Pasaje C Num. 3, LLINARS DEL VALLES, BARCELONA ES</v>
    <v>Investment Banking &amp; Investment Services</v>
    <v>SPH</v>
    <v>Ações</v>
    <v>Profithol (BMEX:SPH)</v>
    <v>0.03</v>
    <v>6.3829999999999998E-2</v>
    <v>334325</v>
  </rv>
  <rv s="2">
    <v>596</v>
  </rv>
  <rv s="0">
    <v>https://www.bing.com/financeapi/forcetrigger?t=c3wm77&amp;q=BMEX%3aCITY&amp;form=skydnc</v>
    <v>Learn more on Bing</v>
  </rv>
  <rv s="43">
    <v>pt-BR</v>
    <v>c3wm77</v>
    <v>268435456</v>
    <v>1</v>
    <v>Da plataforma Refinitiv</v>
    <v>120</v>
    <v>121</v>
    <v>Intercity sad (BMEX:CITY)</v>
    <v>3</v>
    <v>72</v>
    <v>Finance</v>
    <v>11</v>
    <v>BMEX</v>
    <v>3.3500000000000002E-2</v>
    <v>2.9700000000000001E-2</v>
    <v>Bolsas y Mercados Espanoles</v>
    <v>BMEX</v>
    <v>2.9600000000000001E-2</v>
    <v>46237.666666666664</v>
    <v>598</v>
    <v>EUR</v>
    <v>Intercity sad</v>
    <v>Intercity sad</v>
    <v>3.0800000000000001E-2</v>
    <v>0.03</v>
    <v>C/ Mexico, 20 - 5 Planta, ALICANTE, ALICANTE, 03008 ES</v>
    <v>CITY</v>
    <v>Ações</v>
    <v>Intercity sad (BMEX:CITY)</v>
    <v>4.0000000000000002E-4</v>
    <v>1.3514E-2</v>
    <v>14724861</v>
  </rv>
  <rv s="2">
    <v>599</v>
  </rv>
  <rv s="0">
    <v>https://www.bing.com/financeapi/forcetrigger?t=amfusm&amp;q=BMEX%3aEEP&amp;form=skydnc</v>
    <v>Learn more on Bing</v>
  </rv>
  <rv s="44">
    <v>pt-BR</v>
    <v>amfusm</v>
    <v>268435456</v>
    <v>1</v>
    <v>Da plataforma Refinitiv</v>
    <v>122</v>
    <v>123</v>
    <v>EuroEspes (BMEX:EEP)</v>
    <v>3</v>
    <v>124</v>
    <v>Finance</v>
    <v>11</v>
    <v>1.34</v>
    <v>0.34</v>
    <v>BMEX</v>
    <v>11832910</v>
    <v>0.34</v>
    <v>0.34</v>
    <v>-0.1142</v>
    <v>Bolsas y Mercados Espanoles</v>
    <v>4023190</v>
    <v>Euroespes SA is a Spain-based company engaged in the healthcare sector. The Company operates a medical center, which focuses on the prevention, diagnosis and treatment of central nervous system disorders, such as Alzheimer and Parkinson, and other common diseases. The Company’s medical offer includes personalized treatment plans, genomic medicine, epigenetics, neuropsychology, neuro-ophthalmology, digital diagnosis, diagnostic imaging, clinical analysis and nursing services, among others. In addition, it provides pharmacogenetics services and Human Identification Genetics card, which identifies user's deoxyribonucleic acid (DNA) profile. The Company operates through a number of subsidiaries, such as in Euroespes Biotecnologia SA, Distribuidora de Productos SL and Ebiotec Pharma SL.</v>
    <v>BMEX</v>
    <v>0.34</v>
    <v>45198.583483796298</v>
    <v>601</v>
    <v>EUR</v>
    <v>EuroEspes</v>
    <v>EuroEspes</v>
    <v>3400</v>
    <v>0.34</v>
    <v>0.34</v>
    <v>Santa Marta de Babio S/N, BERGONDO, LA CORUNA ES</v>
    <v>Healthcare Providers &amp; Services</v>
    <v>EEP</v>
    <v>Ações</v>
    <v>EuroEspes (BMEX:EEP)</v>
    <v>0</v>
    <v>0</v>
    <v>188</v>
  </rv>
  <rv s="2">
    <v>602</v>
  </rv>
  <rv s="24">
    <v>pt-BR</v>
    <v>cgarcw</v>
    <v>268435456</v>
    <v>1</v>
    <v>Da plataforma Refinitiv</v>
    <v>70</v>
    <v>71</v>
    <v>Innovative Simpl (BMEX:SCSS)</v>
    <v>18</v>
    <v>72</v>
    <v>Finance</v>
    <v>11</v>
    <v>BMEX</v>
    <v>4.76</v>
    <v>4.76</v>
    <v>Bolsas y Mercados Espanoles</v>
    <v>BMEX</v>
    <v>5</v>
    <v>46157.666666666664</v>
    <v>EUR</v>
    <v>Innovative Simpl</v>
    <v>Innovative Simpl</v>
    <v>4.76</v>
    <v>4.76</v>
    <v>C/ Serrano 19 - 4 D, MADRID, MADRID, 28001 ES</v>
    <v>SCSS</v>
    <v>Ações</v>
    <v>Innovative Simpl (BMEX:SCSS)</v>
    <v>-0.24</v>
    <v>-4.8000000000000001E-2</v>
    <v>110</v>
  </rv>
  <rv s="2">
    <v>604</v>
  </rv>
</rvData>
</file>

<file path=xl/richData/rdrichvaluestructure.xml><?xml version="1.0" encoding="utf-8"?>
<rvStructures xmlns="http://schemas.microsoft.com/office/spreadsheetml/2017/richdata" count="45">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Preço (Horário prolongado)"/>
    <k n="Sede" t="s"/>
    <k n="Setor" t="s"/>
    <k n="Símbolo do ticker" t="s"/>
    <k n="Tipo de instrumento" t="s"/>
    <k n="UniqueName" t="s"/>
    <k n="Variação"/>
    <k n="Variação (%)"/>
    <k n="Volume"/>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Imagem" t="r"/>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Baixo"/>
    <k n="Beta"/>
    <k n="Bolsa" t="s"/>
    <k n="Capitalização de mercado"/>
    <k n="Descrição" t="s"/>
    <k n="ExchangeID" t="s"/>
    <k n="Fechamento anterior"/>
    <k n="Funcionários"/>
    <k n="Hora da última transação"/>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olsa" t="s"/>
    <k n="Capitalização de mercado"/>
    <k n="Descrição" t="s"/>
    <k n="ExchangeID" t="s"/>
    <k n="Fechamento anterior"/>
    <k n="Funcionários"/>
    <k n="Hora da última transação"/>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Hora da última transação"/>
    <k n="LearnMoreOnLink" t="r"/>
    <k n="Média de volume"/>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no de incorporação"/>
    <k n="Beta"/>
    <k n="Bolsa" t="s"/>
    <k n="Descrição" t="s"/>
    <k n="ExchangeID" t="s"/>
    <k n="Fechamento anterior"/>
    <k n="Funcionários"/>
    <k n="Hora da última transação"/>
    <k n="Moeda" t="s"/>
    <k n="Nome" t="s"/>
    <k n="Nome oficial" t="s"/>
    <k n="P/E"/>
    <k n="Sede" t="s"/>
    <k n="Setor" t="s"/>
    <k n="Símbolo do ticker" t="s"/>
    <k n="Tipo de instrumento" t="s"/>
    <k n="UniqueName" t="s"/>
  </s>
  <s t="_error">
    <k n="errorType" t="i"/>
    <k n="field" t="s"/>
    <k n="subType" t="i"/>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Baixo"/>
    <k n="Beta"/>
    <k n="Bolsa" t="s"/>
    <k n="Capitalização de mercado"/>
    <k n="Descrição" t="s"/>
    <k n="ExchangeID" t="s"/>
    <k n="Fechamento anterior"/>
    <k n="Funcionários"/>
    <k n="Hora da última transação"/>
    <k n="LearnMoreOnLink" t="r"/>
    <k n="Média de volume"/>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ções em circulação"/>
    <k n="Alto"/>
    <k n="Ano de incorporação"/>
    <k n="Baixo"/>
    <k n="Beta"/>
    <k n="Bolsa" t="s"/>
    <k n="Capitalização de mercado"/>
    <k n="Descrição" t="s"/>
    <k n="ExchangeID" t="s"/>
    <k n="Fechamento anterior"/>
    <k n="Hora da última transação"/>
    <k n="LearnMoreOnLink" t="r"/>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OutdatedReason" t="i"/>
    <k n="%ProviderInfo" t="s"/>
    <k n="_CanonicalPropertyNames" t="spb"/>
    <k n="_Display" t="spb"/>
    <k n="_DisplayString" t="s"/>
    <k n="_Flags" t="spb"/>
    <k n="_Format" t="spb"/>
    <k n="_Icon" t="s"/>
    <k n="_SubLabel" t="spb"/>
    <k n="Abreviatura do câmbio" t="s"/>
    <k n="Ações em circulação"/>
    <k n="Alto"/>
    <k n="Ano de incorporação"/>
    <k n="Baixo"/>
    <k n="Bolsa" t="s"/>
    <k n="Capitalização de mercado"/>
    <k n="Descrição" t="s"/>
    <k n="ExchangeID" t="s"/>
    <k n="Fechamento anterior"/>
    <k n="Funcionários"/>
    <k n="Hora da última transação"/>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ções em circulação"/>
    <k n="Alto"/>
    <k n="Baixo"/>
    <k n="Beta"/>
    <k n="Bolsa" t="s"/>
    <k n="Capitalização de mercado"/>
    <k n="Descrição" t="s"/>
    <k n="ExchangeID" t="s"/>
    <k n="Fechamento anterior"/>
    <k n="Funcionários"/>
    <k n="Hora da última transação"/>
    <k n="LearnMoreOnLink" t="r"/>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OutdatedReason" t="i"/>
    <k n="%ProviderInfo" t="s"/>
    <k n="_CanonicalPropertyNames" t="spb"/>
    <k n="_Display" t="spb"/>
    <k n="_DisplayString" t="s"/>
    <k n="_Flags" t="spb"/>
    <k n="_Format" t="spb"/>
    <k n="_Icon" t="s"/>
    <k n="_SubLabel" t="spb"/>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olsa" t="s"/>
    <k n="Capitalização de mercado"/>
    <k n="Descrição" t="s"/>
    <k n="ExchangeID" t="s"/>
    <k n="Fechamento anterior"/>
    <k n="Funcionários"/>
    <k n="Hora da última transação"/>
    <k n="Média de volume"/>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lto"/>
    <k n="Baixo"/>
    <k n="Bolsa" t="s"/>
    <k n="ExchangeID" t="s"/>
    <k n="Fechamento anterior"/>
    <k n="Hora da última transação"/>
    <k n="Moeda" t="s"/>
    <k n="Nome" t="s"/>
    <k n="Nome oficial" t="s"/>
    <k n="Pendência"/>
    <k n="Preço"/>
    <k n="Sede"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ções em circulação"/>
    <k n="Alt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lto"/>
    <k n="Baixo"/>
    <k n="Bolsa" t="s"/>
    <k n="ExchangeID" t="s"/>
    <k n="Fechamento anterior"/>
    <k n="Hora da última transação"/>
    <k n="LearnMoreOnLink" t="r"/>
    <k n="Moeda" t="s"/>
    <k n="Nome" t="s"/>
    <k n="Nome oficial" t="s"/>
    <k n="P/E"/>
    <k n="Pendência"/>
    <k n="Preço"/>
    <k n="Sede"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ções em circulação"/>
    <k n="Alto"/>
    <k n="Ano de incorporação"/>
    <k n="Baixo"/>
    <k n="Beta"/>
    <k n="Bolsa" t="s"/>
    <k n="Capitalização de mercado"/>
    <k n="Descrição" t="s"/>
    <k n="ExchangeID" t="s"/>
    <k n="Fechamento anterior"/>
    <k n="Funcionários"/>
    <k n="Hora da última transação"/>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ções em circulação"/>
    <k n="Alto"/>
    <k n="Ano de incorporação"/>
    <k n="Baixo"/>
    <k n="Bolsa" t="s"/>
    <k n="Capitalização de mercado"/>
    <k n="Descrição" t="s"/>
    <k n="ExchangeID" t="s"/>
    <k n="Fechamento anterior"/>
    <k n="Funcionários"/>
    <k n="Hora da última transação"/>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Abreviatura do câmbio" t="s"/>
    <k n="Ano de incorporação"/>
    <k n="Bolsa" t="s"/>
    <k n="Descrição" t="s"/>
    <k n="ExchangeID" t="s"/>
    <k n="Fechamento anterior"/>
    <k n="Moeda" t="s"/>
    <k n="Nome" t="s"/>
    <k n="Nome oficial" t="s"/>
    <k n="Sede" t="s"/>
    <k n="Setor" t="s"/>
    <k n="Símbolo do ticker" t="s"/>
    <k n="Tipo de instrumento" t="s"/>
    <k n="UniqueName"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Hora da última transação"/>
    <k n="LearnMoreOnLink" t="r"/>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Baixo"/>
    <k n="Beta"/>
    <k n="Bolsa" t="s"/>
    <k n="Capitalização de mercado"/>
    <k n="Descrição" t="s"/>
    <k n="ExchangeID" t="s"/>
    <k n="Fechamento anterior"/>
    <k n="Funcionários"/>
    <k n="Hora da última transação"/>
    <k n="LearnMoreOnLink" t="r"/>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Beta"/>
    <k n="Bolsa" t="s"/>
    <k n="Descrição" t="s"/>
    <k n="ExchangeID" t="s"/>
    <k n="Fechamento anterior"/>
    <k n="Funcionários"/>
    <k n="Hora da última transação"/>
    <k n="LearnMoreOnLink" t="r"/>
    <k n="Moeda" t="s"/>
    <k n="Nome" t="s"/>
    <k n="Nome oficial" t="s"/>
    <k n="Preço"/>
    <k n="Sede" t="s"/>
    <k n="Setor" t="s"/>
    <k n="Símbolo do ticker" t="s"/>
    <k n="Tipo de instrumento" t="s"/>
    <k n="UniqueName" t="s"/>
    <k n="Variação"/>
    <k n="Variação (%)"/>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ções em circulação"/>
    <k n="Alto"/>
    <k n="Ano de incorporação"/>
    <k n="Baixo"/>
    <k n="Beta"/>
    <k n="Bolsa" t="s"/>
    <k n="Capitalização de mercado"/>
    <k n="Descrição" t="s"/>
    <k n="ExchangeID" t="s"/>
    <k n="Fechamento anterior"/>
    <k n="Funcionários"/>
    <k n="Hora da última transação"/>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lto"/>
    <k n="Ano de incorporação"/>
    <k n="Baixo"/>
    <k n="Bolsa" t="s"/>
    <k n="Descrição" t="s"/>
    <k n="ExchangeID" t="s"/>
    <k n="Fechamento anterior"/>
    <k n="Hora da última transação"/>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lto"/>
    <k n="Ano de incorporação"/>
    <k n="Baixo"/>
    <k n="Bolsa" t="s"/>
    <k n="Descrição" t="s"/>
    <k n="ExchangeID" t="s"/>
    <k n="Fechamento anterior"/>
    <k n="Funcionários"/>
    <k n="Hora da última transação"/>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ções em circulação"/>
    <k n="Alto"/>
    <k n="Ano de incorporação"/>
    <k n="Baixo"/>
    <k n="Beta"/>
    <k n="Bolsa" t="s"/>
    <k n="Capitalização de mercado"/>
    <k n="Descrição" t="s"/>
    <k n="ExchangeID" t="s"/>
    <k n="Fechamento anterior"/>
    <k n="Funcionários"/>
    <k n="Hora da última transação"/>
    <k n="Média de volume"/>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olsa" t="s"/>
    <k n="Capitalização de mercado"/>
    <k n="Descrição" t="s"/>
    <k n="ExchangeID" t="s"/>
    <k n="Fechamento anterior"/>
    <k n="Funcionários"/>
    <k n="Hora da última transação"/>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ções em circulação"/>
    <k n="Alto"/>
    <k n="Ano de incorporação"/>
    <k n="Baixo"/>
    <k n="Bolsa" t="s"/>
    <k n="Capitalização de mercado"/>
    <k n="Descrição" t="s"/>
    <k n="ExchangeID" t="s"/>
    <k n="Fechamento anterior"/>
    <k n="Funcionários"/>
    <k n="Hora da última transação"/>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Abreviatura do câmbio" t="s"/>
    <k n="Bolsa" t="s"/>
    <k n="ExchangeID" t="s"/>
    <k n="Fechamento anterior"/>
    <k n="Moeda" t="s"/>
    <k n="Nome" t="s"/>
    <k n="Nome oficial" t="s"/>
    <k n="Sede" t="s"/>
    <k n="Símbolo do ticker" t="s"/>
    <k n="Tipo de instrumento" t="s"/>
    <k n="UniqueName" t="s"/>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ções em circulação"/>
    <k n="Alto"/>
    <k n="Ano de incorporação"/>
    <k n="Baixo"/>
    <k n="Beta"/>
    <k n="Bolsa" t="s"/>
    <k n="Capitalização de mercado"/>
    <k n="Descrição" t="s"/>
    <k n="ExchangeID" t="s"/>
    <k n="Fechamento anterior"/>
    <k n="Funcionários"/>
    <k n="Hora da última transação"/>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lto"/>
    <k n="Baixo"/>
    <k n="Bolsa" t="s"/>
    <k n="ExchangeID" t="s"/>
    <k n="Fechamento anterior"/>
    <k n="Hora da última transação"/>
    <k n="LearnMoreOnLink" t="r"/>
    <k n="Moeda" t="s"/>
    <k n="Nome" t="s"/>
    <k n="Nome oficial" t="s"/>
    <k n="Pendência"/>
    <k n="Preço"/>
    <k n="Sede"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Baixo"/>
    <k n="Beta"/>
    <k n="Bolsa" t="s"/>
    <k n="Capitalização de mercado"/>
    <k n="Descrição" t="s"/>
    <k n="ExchangeID" t="s"/>
    <k n="Fechamento anterior"/>
    <k n="Hora da última transação"/>
    <k n="LearnMoreOnLink" t="r"/>
    <k n="Moeda" t="s"/>
    <k n="Nome" t="s"/>
    <k n="Nome oficial" t="s"/>
    <k n="P/E"/>
    <k n="Pendência"/>
    <k n="Preço"/>
    <k n="Sede" t="s"/>
    <k n="Setor" t="s"/>
    <k n="Símbolo do ticker" t="s"/>
    <k n="Tipo de instrumento" t="s"/>
    <k n="UniqueName" t="s"/>
    <k n="Variação"/>
    <k n="Variação (%)"/>
    <k n="Volume"/>
  </s>
</rvStructures>
</file>

<file path=xl/richData/rdsupportingpropertybag.xml><?xml version="1.0" encoding="utf-8"?>
<supportingPropertyBags xmlns="http://schemas.microsoft.com/office/spreadsheetml/2017/richdata2">
  <spbArrays count="40">
    <a count="46">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4">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Imagem</v>
      <v t="s">ExchangeID</v>
      <v t="s">%ProviderInfo</v>
    </a>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_Flags</v>
      <v t="s">UniqueName</v>
      <v t="s">_DisplayString</v>
      <v t="s">LearnMoreOnLink</v>
      <v t="s">ExchangeID</v>
      <v t="s">%ProviderInfo</v>
    </a>
    <a count="4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_Flags</v>
      <v t="s">UniqueName</v>
      <v t="s">_DisplayString</v>
      <v t="s">ExchangeID</v>
      <v t="s">%ProviderInfo</v>
    </a>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a count="4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P/E</v>
      <v t="s">Ações em circulação</v>
      <v t="s">Descrição</v>
      <v t="s">Funcionários</v>
      <v t="s">Sede</v>
      <v t="s">Setor</v>
      <v t="s">Tipo de instrumento</v>
      <v t="s">Ano de incorporação</v>
      <v t="s">_Flags</v>
      <v t="s">UniqueName</v>
      <v t="s">_DisplayString</v>
      <v t="s">ExchangeID</v>
      <v t="s">%ProviderInfo</v>
    </a>
    <a count="40">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Sede</v>
      <v t="s">Setor</v>
      <v t="s">Tipo de instrumento</v>
      <v t="s">Ano de incorporação</v>
      <v t="s">_Flags</v>
      <v t="s">UniqueName</v>
      <v t="s">_DisplayString</v>
      <v t="s">LearnMoreOnLink</v>
      <v t="s">ExchangeID</v>
      <v t="s">%ProviderInfo</v>
    </a>
    <a count="4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33">
      <v t="s">%EntityServiceId</v>
      <v t="s">_Format</v>
      <v t="s">%IsRefreshable</v>
      <v t="s">_CanonicalPropertyNames</v>
      <v t="s">%EntityCulture</v>
      <v t="s">%EntityId</v>
      <v t="s">_Icon</v>
      <v t="s">_Display</v>
      <v t="s">Nome</v>
      <v t="s">Bolsa</v>
      <v t="s">Nome oficial</v>
      <v t="s">_SubLabel</v>
      <v t="s">Hora da última transação</v>
      <v t="s">Símbolo do ticker</v>
      <v t="s">Abreviatura do câmbio</v>
      <v t="s">Moeda</v>
      <v t="s">Fechamento anterior</v>
      <v t="s">52 semanas de alta</v>
      <v t="s">52 semanas de baixa</v>
      <v t="s">Beta</v>
      <v t="s">P/E</v>
      <v t="s">Ações em circulação</v>
      <v t="s">Descrição</v>
      <v t="s">Funcionários</v>
      <v t="s">Sede</v>
      <v t="s">Setor</v>
      <v t="s">Tipo de instrumento</v>
      <v t="s">Ano de incorporação</v>
      <v t="s">_Flags</v>
      <v t="s">UniqueName</v>
      <v t="s">_DisplayString</v>
      <v t="s">ExchangeID</v>
      <v t="s">%ProviderInfo</v>
    </a>
    <a count="4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_Flags</v>
      <v t="s">UniqueName</v>
      <v t="s">_DisplayString</v>
      <v t="s">LearnMoreOnLink</v>
      <v t="s">ExchangeID</v>
      <v t="s">%ProviderInfo</v>
    </a>
    <a count="39">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Capitalização de mercado</v>
      <v t="s">Beta</v>
      <v t="s">P/E</v>
      <v t="s">Ações em circulação</v>
      <v t="s">Descrição</v>
      <v t="s">Sede</v>
      <v t="s">Setor</v>
      <v t="s">Tipo de instrumento</v>
      <v t="s">Ano de incorporação</v>
      <v t="s">_Flags</v>
      <v t="s">UniqueName</v>
      <v t="s">_DisplayString</v>
      <v t="s">LearnMoreOnLink</v>
      <v t="s">ExchangeID</v>
      <v t="s">%ProviderInfo</v>
    </a>
    <a count="40">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Média de volume</v>
      <v t="s">Capitalização de mercado</v>
      <v t="s">P/E</v>
      <v t="s">Ações em circulação</v>
      <v t="s">Descrição</v>
      <v t="s">Funcionários</v>
      <v t="s">Sede</v>
      <v t="s">Setor</v>
      <v t="s">Tipo de instrumento</v>
      <v t="s">Ano de incorporação</v>
      <v t="s">_Flags</v>
      <v t="s">UniqueName</v>
      <v t="s">_DisplayString</v>
      <v t="s">ExchangeID</v>
      <v t="s">%ProviderInfo</v>
      <v t="s">%OutdatedReason</v>
    </a>
    <a count="39">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Capitalização de mercado</v>
      <v t="s">Beta</v>
      <v t="s">P/E</v>
      <v t="s">Ações em circulação</v>
      <v t="s">Descrição</v>
      <v t="s">Funcionários</v>
      <v t="s">Sede</v>
      <v t="s">Setor</v>
      <v t="s">Tipo de instrumento</v>
      <v t="s">_Flags</v>
      <v t="s">UniqueName</v>
      <v t="s">_DisplayString</v>
      <v t="s">LearnMoreOnLink</v>
      <v t="s">ExchangeID</v>
      <v t="s">%ProviderInfo</v>
    </a>
    <a count="4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v t="s">%OutdatedReason</v>
    </a>
    <a count="39">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a count="40">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Ações em circulação</v>
      <v t="s">Descrição</v>
      <v t="s">Funcionários</v>
      <v t="s">Sede</v>
      <v t="s">Setor</v>
      <v t="s">Tipo de instrumento</v>
      <v t="s">Ano de incorporação</v>
      <v t="s">_Flags</v>
      <v t="s">UniqueName</v>
      <v t="s">_DisplayString</v>
      <v t="s">ExchangeID</v>
      <v t="s">%ProviderInfo</v>
    </a>
    <a count="40">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a count="3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Sede</v>
      <v t="s">Tipo de instrumento</v>
      <v t="s">_Flags</v>
      <v t="s">UniqueName</v>
      <v t="s">_DisplayString</v>
      <v t="s">ExchangeID</v>
      <v t="s">%ProviderInfo</v>
    </a>
    <a count="40">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Média de volume</v>
      <v t="s">Capitalização de mercado</v>
      <v t="s">Beta</v>
      <v t="s">P/E</v>
      <v t="s">Ações em circulação</v>
      <v t="s">Descrição</v>
      <v t="s">Funcionários</v>
      <v t="s">Sede</v>
      <v t="s">Setor</v>
      <v t="s">Tipo de instrumento</v>
      <v t="s">_Flags</v>
      <v t="s">UniqueName</v>
      <v t="s">_DisplayString</v>
      <v t="s">LearnMoreOnLink</v>
      <v t="s">ExchangeID</v>
      <v t="s">%ProviderInfo</v>
    </a>
    <a count="35">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P/E</v>
      <v t="s">Sede</v>
      <v t="s">Tipo de instrumento</v>
      <v t="s">_Flags</v>
      <v t="s">UniqueName</v>
      <v t="s">_DisplayString</v>
      <v t="s">LearnMoreOnLink</v>
      <v t="s">ExchangeID</v>
      <v t="s">%ProviderInfo</v>
    </a>
    <a count="40">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Média de volume</v>
      <v t="s">Capitalização de mercado</v>
      <v t="s">Beta</v>
      <v t="s">P/E</v>
      <v t="s">Ações em circulação</v>
      <v t="s">Descrição</v>
      <v t="s">Funcionários</v>
      <v t="s">Sede</v>
      <v t="s">Setor</v>
      <v t="s">Tipo de instrumento</v>
      <v t="s">Ano de incorporação</v>
      <v t="s">_Flags</v>
      <v t="s">UniqueName</v>
      <v t="s">_DisplayString</v>
      <v t="s">ExchangeID</v>
      <v t="s">%ProviderInfo</v>
    </a>
    <a count="39">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Média de volume</v>
      <v t="s">Capitalização de mercado</v>
      <v t="s">P/E</v>
      <v t="s">Ações em circulação</v>
      <v t="s">Descrição</v>
      <v t="s">Funcionários</v>
      <v t="s">Sede</v>
      <v t="s">Setor</v>
      <v t="s">Tipo de instrumento</v>
      <v t="s">Ano de incorporação</v>
      <v t="s">_Flags</v>
      <v t="s">UniqueName</v>
      <v t="s">_DisplayString</v>
      <v t="s">ExchangeID</v>
      <v t="s">%ProviderInfo</v>
    </a>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ExchangeID</v>
      <v t="s">%ProviderInfo</v>
    </a>
    <a count="25">
      <v t="s">%EntityServiceId</v>
      <v t="s">_Format</v>
      <v t="s">%IsRefreshable</v>
      <v t="s">_CanonicalPropertyNames</v>
      <v t="s">%EntityCulture</v>
      <v t="s">%EntityId</v>
      <v t="s">_Icon</v>
      <v t="s">_Display</v>
      <v t="s">Nome</v>
      <v t="s">Bolsa</v>
      <v t="s">Nome oficial</v>
      <v t="s">Símbolo do ticker</v>
      <v t="s">Abreviatura do câmbio</v>
      <v t="s">Moeda</v>
      <v t="s">Fechamento anterior</v>
      <v t="s">Descrição</v>
      <v t="s">Sede</v>
      <v t="s">Setor</v>
      <v t="s">Tipo de instrumento</v>
      <v t="s">Ano de incorporação</v>
      <v t="s">_Flags</v>
      <v t="s">UniqueName</v>
      <v t="s">_DisplayString</v>
      <v t="s">ExchangeID</v>
      <v t="s">%ProviderInfo</v>
    </a>
    <a count="4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a count="40">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Capitalização de mercado</v>
      <v t="s">Beta</v>
      <v t="s">Ações em circulação</v>
      <v t="s">Descrição</v>
      <v t="s">Sede</v>
      <v t="s">Setor</v>
      <v t="s">Tipo de instrumento</v>
      <v t="s">Ano de incorporação</v>
      <v t="s">_Flags</v>
      <v t="s">UniqueName</v>
      <v t="s">_DisplayString</v>
      <v t="s">LearnMoreOnLink</v>
      <v t="s">ExchangeID</v>
      <v t="s">%ProviderInfo</v>
    </a>
    <a count="40">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Capitalização de mercado</v>
      <v t="s">Beta</v>
      <v t="s">Ações em circulação</v>
      <v t="s">Descrição</v>
      <v t="s">Funcionários</v>
      <v t="s">Sede</v>
      <v t="s">Setor</v>
      <v t="s">Tipo de instrumento</v>
      <v t="s">_Flags</v>
      <v t="s">UniqueName</v>
      <v t="s">_DisplayString</v>
      <v t="s">LearnMoreOnLink</v>
      <v t="s">ExchangeID</v>
      <v t="s">%ProviderInfo</v>
    </a>
    <a count="35">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52 semanas de alta</v>
      <v t="s">52 semanas de baixa</v>
      <v t="s">Beta</v>
      <v t="s">Ações em circulação</v>
      <v t="s">Descrição</v>
      <v t="s">Funcionários</v>
      <v t="s">Sede</v>
      <v t="s">Setor</v>
      <v t="s">Tipo de instrumento</v>
      <v t="s">_Flags</v>
      <v t="s">UniqueName</v>
      <v t="s">_DisplayString</v>
      <v t="s">LearnMoreOnLink</v>
      <v t="s">ExchangeID</v>
      <v t="s">%ProviderInfo</v>
    </a>
    <a count="38">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Capitalização de mercado</v>
      <v t="s">Beta</v>
      <v t="s">Ações em circulação</v>
      <v t="s">Descrição</v>
      <v t="s">Funcionários</v>
      <v t="s">Sede</v>
      <v t="s">Setor</v>
      <v t="s">Tipo de instrumento</v>
      <v t="s">Ano de incorporação</v>
      <v t="s">_Flags</v>
      <v t="s">UniqueName</v>
      <v t="s">_DisplayString</v>
      <v t="s">ExchangeID</v>
      <v t="s">%ProviderInfo</v>
    </a>
    <a count="34">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Descrição</v>
      <v t="s">Sede</v>
      <v t="s">Setor</v>
      <v t="s">Tipo de instrumento</v>
      <v t="s">Ano de incorporação</v>
      <v t="s">_Flags</v>
      <v t="s">UniqueName</v>
      <v t="s">_DisplayString</v>
      <v t="s">ExchangeID</v>
      <v t="s">%ProviderInfo</v>
    </a>
    <a count="35">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Descrição</v>
      <v t="s">Funcionários</v>
      <v t="s">Sede</v>
      <v t="s">Setor</v>
      <v t="s">Tipo de instrumento</v>
      <v t="s">Ano de incorporação</v>
      <v t="s">_Flags</v>
      <v t="s">UniqueName</v>
      <v t="s">_DisplayString</v>
      <v t="s">ExchangeID</v>
      <v t="s">%ProviderInfo</v>
    </a>
    <a count="39">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Média de volume</v>
      <v t="s">Capitalização de mercado</v>
      <v t="s">Beta</v>
      <v t="s">Ações em circulação</v>
      <v t="s">Descrição</v>
      <v t="s">Funcionários</v>
      <v t="s">Sede</v>
      <v t="s">Setor</v>
      <v t="s">Tipo de instrumento</v>
      <v t="s">Ano de incorporação</v>
      <v t="s">_Flags</v>
      <v t="s">UniqueName</v>
      <v t="s">_DisplayString</v>
      <v t="s">ExchangeID</v>
      <v t="s">%ProviderInfo</v>
    </a>
    <a count="39">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Capitalização de mercado</v>
      <v t="s">Ações em circulação</v>
      <v t="s">Descrição</v>
      <v t="s">Funcionários</v>
      <v t="s">Sede</v>
      <v t="s">Setor</v>
      <v t="s">Tipo de instrumento</v>
      <v t="s">Ano de incorporação</v>
      <v t="s">_Flags</v>
      <v t="s">UniqueName</v>
      <v t="s">_DisplayString</v>
      <v t="s">ExchangeID</v>
      <v t="s">%ProviderInfo</v>
    </a>
    <a count="37">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Capitalização de mercado</v>
      <v t="s">Ações em circulação</v>
      <v t="s">Descrição</v>
      <v t="s">Funcionários</v>
      <v t="s">Sede</v>
      <v t="s">Setor</v>
      <v t="s">Tipo de instrumento</v>
      <v t="s">Ano de incorporação</v>
      <v t="s">_Flags</v>
      <v t="s">UniqueName</v>
      <v t="s">_DisplayString</v>
      <v t="s">ExchangeID</v>
      <v t="s">%ProviderInfo</v>
    </a>
    <a count="22">
      <v t="s">%EntityServiceId</v>
      <v t="s">_Format</v>
      <v t="s">%IsRefreshable</v>
      <v t="s">_CanonicalPropertyNames</v>
      <v t="s">%EntityCulture</v>
      <v t="s">%EntityId</v>
      <v t="s">_Icon</v>
      <v t="s">_Display</v>
      <v t="s">Nome</v>
      <v t="s">Bolsa</v>
      <v t="s">Nome oficial</v>
      <v t="s">Símbolo do ticker</v>
      <v t="s">Abreviatura do câmbio</v>
      <v t="s">Moeda</v>
      <v t="s">Fechamento anterior</v>
      <v t="s">Sede</v>
      <v t="s">Tipo de instrumento</v>
      <v t="s">_Flags</v>
      <v t="s">UniqueName</v>
      <v t="s">_DisplayString</v>
      <v t="s">ExchangeID</v>
      <v t="s">%ProviderInfo</v>
    </a>
    <a count="39">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Capitalização de mercado</v>
      <v t="s">Beta</v>
      <v t="s">P/E</v>
      <v t="s">Ações em circulação</v>
      <v t="s">Descrição</v>
      <v t="s">Funcionários</v>
      <v t="s">Sede</v>
      <v t="s">Setor</v>
      <v t="s">Tipo de instrumento</v>
      <v t="s">Ano de incorporação</v>
      <v t="s">_Flags</v>
      <v t="s">UniqueName</v>
      <v t="s">_DisplayString</v>
      <v t="s">ExchangeID</v>
      <v t="s">%ProviderInfo</v>
    </a>
    <a count="3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Sede</v>
      <v t="s">Tipo de instrumento</v>
      <v t="s">_Flags</v>
      <v t="s">UniqueName</v>
      <v t="s">_DisplayString</v>
      <v t="s">LearnMoreOnLink</v>
      <v t="s">ExchangeID</v>
      <v t="s">%ProviderInfo</v>
    </a>
    <a count="40">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Capitalização de mercado</v>
      <v t="s">Beta</v>
      <v t="s">P/E</v>
      <v t="s">Ações em circulação</v>
      <v t="s">Descrição</v>
      <v t="s">Sede</v>
      <v t="s">Setor</v>
      <v t="s">Tipo de instrumento</v>
      <v t="s">_Flags</v>
      <v t="s">UniqueName</v>
      <v t="s">_DisplayString</v>
      <v t="s">LearnMoreOnLink</v>
      <v t="s">ExchangeID</v>
      <v t="s">%ProviderInfo</v>
    </a>
  </spbArrays>
  <spbData count="125">
    <spb s="0">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0</v>
      <v>Name</v>
      <v>LearnMoreOnLink</v>
    </spb>
    <spb s="2">
      <v>0</v>
      <v>0</v>
      <v>0</v>
    </spb>
    <spb s="3">
      <v>2</v>
      <v>2</v>
      <v>2</v>
      <v>2</v>
    </spb>
    <spb s="4">
      <v>1</v>
      <v>2</v>
      <v>1</v>
      <v>3</v>
      <v>2</v>
      <v>2</v>
      <v>4</v>
      <v>2</v>
      <v>2</v>
      <v>4</v>
      <v>5</v>
      <v>4</v>
      <v>6</v>
      <v>2</v>
      <v>2</v>
      <v>7</v>
      <v>4</v>
      <v>2</v>
      <v>8</v>
      <v>9</v>
      <v>2</v>
      <v>2</v>
      <v>5</v>
    </spb>
    <spb s="5">
      <v xml:space="preserve">no fechamento </v>
      <v xml:space="preserve">do fechamento anterior </v>
      <v xml:space="preserve">do fechamento anterior </v>
      <v>GMT</v>
      <v>Atraso de 15 minutos</v>
      <v xml:space="preserve">do fechamento </v>
      <v xml:space="preserve">do fechamento </v>
    </spb>
    <spb s="6">
      <v>P/E</v>
      <v>High</v>
      <v>Beta</v>
      <v>Name</v>
      <v>Headquarters</v>
      <v>Low</v>
      <v>Exchange</v>
      <v>Currency</v>
      <v>Price</v>
      <v>Industry</v>
      <v>Image</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1</v>
      <v>Name</v>
      <v>LearnMoreOnLink</v>
    </spb>
    <spb s="7">
      <v>0</v>
      <v>0</v>
    </spb>
    <spb s="8">
      <v>8</v>
      <v>2</v>
      <v>2</v>
      <v>2</v>
      <v>2</v>
    </spb>
    <spb s="9">
      <v>1</v>
      <v>2</v>
      <v>1</v>
      <v>3</v>
      <v>2</v>
      <v>2</v>
      <v>10</v>
      <v>4</v>
      <v>2</v>
      <v>2</v>
      <v>4</v>
      <v>5</v>
      <v>4</v>
      <v>6</v>
      <v>2</v>
      <v>2</v>
      <v>7</v>
      <v>4</v>
      <v>2</v>
      <v>8</v>
      <v>9</v>
    </spb>
    <spb s="10">
      <v>Atraso de 15 minutos</v>
      <v xml:space="preserve">do fechamento anterior </v>
      <v xml:space="preserve">do fechamento anterior </v>
      <v>GMT</v>
    </spb>
    <spb s="11">
      <v>Da plataforma Refinitiv</v>
    </spb>
    <spb s="12">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Shares outstanding</v>
      <v>Previous close</v>
      <v>Instrument type</v>
      <v>Exchange abbreviation</v>
      <v>Market cap</v>
      <v>Last trade time</v>
    </spb>
    <spb s="1">
      <v>2</v>
      <v>Name</v>
      <v>LearnMoreOnLink</v>
    </spb>
    <spb s="13">
      <v>1</v>
      <v>2</v>
      <v>1</v>
      <v>3</v>
      <v>2</v>
      <v>2</v>
      <v>4</v>
      <v>2</v>
      <v>2</v>
      <v>4</v>
      <v>5</v>
      <v>4</v>
      <v>6</v>
      <v>2</v>
      <v>2</v>
      <v>4</v>
      <v>2</v>
      <v>8</v>
      <v>9</v>
    </spb>
    <spb s="14">
      <v>P/E</v>
      <v>High</v>
      <v>Beta</v>
      <v>Name</v>
      <v>Headquarters</v>
      <v>Low</v>
      <v>Exchange</v>
      <v>Currency</v>
      <v>Price</v>
      <v>Industry</v>
      <v>Volume</v>
      <v>Change</v>
      <v>Description</v>
      <v>Open</v>
      <v>ExchangeID</v>
      <v>UniqueName</v>
      <v>Employees</v>
      <v>Official name</v>
      <v>Change (%)</v>
      <v>%ProviderInfo</v>
      <v>Volume average</v>
      <v>Ticker symbol</v>
      <v>52 week high</v>
      <v>52 week low</v>
      <v>Shares outstanding</v>
      <v>Previous close</v>
      <v>Instrument type</v>
      <v>Exchange abbreviation</v>
      <v>Market cap</v>
      <v>Last trade time</v>
    </spb>
    <spb s="15">
      <v>3</v>
      <v>Name</v>
    </spb>
    <spb s="16">
      <v>2</v>
      <v>2</v>
      <v>2</v>
    </spb>
    <spb s="17">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4</v>
      <v>Name</v>
      <v>LearnMoreOnLink</v>
    </spb>
    <spb s="18">
      <v>1</v>
      <v>2</v>
      <v>1</v>
      <v>3</v>
      <v>2</v>
      <v>2</v>
      <v>4</v>
      <v>2</v>
      <v>2</v>
      <v>4</v>
      <v>5</v>
      <v>4</v>
      <v>6</v>
      <v>2</v>
      <v>2</v>
      <v>7</v>
      <v>4</v>
      <v>2</v>
      <v>8</v>
      <v>9</v>
    </spb>
    <spb s="18">
      <v>1</v>
      <v>2</v>
      <v>1</v>
      <v>3</v>
      <v>2</v>
      <v>2</v>
      <v>4</v>
      <v>2</v>
      <v>2</v>
      <v>4</v>
      <v>5</v>
      <v>4</v>
      <v>6</v>
      <v>2</v>
      <v>2</v>
      <v>7</v>
      <v>4</v>
      <v>2</v>
      <v>11</v>
      <v>9</v>
    </spb>
    <spb s="4">
      <v>1</v>
      <v>2</v>
      <v>1</v>
      <v>3</v>
      <v>2</v>
      <v>2</v>
      <v>4</v>
      <v>2</v>
      <v>2</v>
      <v>4</v>
      <v>5</v>
      <v>4</v>
      <v>6</v>
      <v>2</v>
      <v>2</v>
      <v>7</v>
      <v>4</v>
      <v>2</v>
      <v>12</v>
      <v>9</v>
      <v>2</v>
      <v>2</v>
      <v>5</v>
    </spb>
    <spb s="19">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5</v>
      <v>Name</v>
      <v>LearnMoreOnLink</v>
    </spb>
    <spb s="20">
      <v>2</v>
      <v>1</v>
      <v>3</v>
      <v>2</v>
      <v>2</v>
      <v>4</v>
      <v>2</v>
      <v>2</v>
      <v>4</v>
      <v>5</v>
      <v>4</v>
      <v>6</v>
      <v>2</v>
      <v>2</v>
      <v>7</v>
      <v>4</v>
      <v>2</v>
      <v>8</v>
      <v>9</v>
    </spb>
    <spb s="21">
      <v>P/E</v>
      <v>High</v>
      <v>Name</v>
      <v>Headquarters</v>
      <v>Low</v>
      <v>Exchange</v>
      <v>Currency</v>
      <v>Price</v>
      <v>Industry</v>
      <v>Volume</v>
      <v>Change</v>
      <v>Description</v>
      <v>Open</v>
      <v>ExchangeID</v>
      <v>UniqueName</v>
      <v>Employees</v>
      <v>Official name</v>
      <v>Change (%)</v>
      <v>%ProviderInfo</v>
      <v>Volume average</v>
      <v>Ticker symbol</v>
      <v>52 week high</v>
      <v>52 week low</v>
      <v>Year incorporated</v>
      <v>Shares outstanding</v>
      <v>Previous close</v>
      <v>Instrument type</v>
      <v>Exchange abbreviation</v>
      <v>Market cap</v>
      <v>Last trade time</v>
    </spb>
    <spb s="15">
      <v>6</v>
      <v>Name</v>
    </spb>
    <spb s="22">
      <v>1</v>
      <v>2</v>
      <v>3</v>
      <v>2</v>
      <v>2</v>
      <v>4</v>
      <v>2</v>
      <v>2</v>
      <v>4</v>
      <v>5</v>
      <v>4</v>
      <v>6</v>
      <v>2</v>
      <v>2</v>
      <v>7</v>
      <v>4</v>
      <v>2</v>
      <v>8</v>
      <v>9</v>
    </spb>
    <spb s="23">
      <v>P/E</v>
      <v>High</v>
      <v>Beta</v>
      <v>Name</v>
      <v>Headquarters</v>
      <v>Low</v>
      <v>Exchange</v>
      <v>Currency</v>
      <v>Price</v>
      <v>Industry</v>
      <v>Volume</v>
      <v>Change</v>
      <v>Description</v>
      <v>Open</v>
      <v>ExchangeID</v>
      <v>UniqueName</v>
      <v>Employees</v>
      <v>Official name</v>
      <v>Change (%)</v>
      <v>%ProviderInfo</v>
      <v>LearnMoreOnLink</v>
      <v>Ticker symbol</v>
      <v>Year incorporated</v>
      <v>Shares outstanding</v>
      <v>Previous close</v>
      <v>Instrument type</v>
      <v>Exchange abbreviation</v>
      <v>Market cap</v>
      <v>Last trade time</v>
    </spb>
    <spb s="1">
      <v>7</v>
      <v>Name</v>
      <v>LearnMoreOnLink</v>
    </spb>
    <spb s="24">
      <v>1</v>
      <v>2</v>
      <v>1</v>
      <v>3</v>
      <v>2</v>
      <v>2</v>
      <v>4</v>
      <v>2</v>
      <v>2</v>
      <v>4</v>
      <v>5</v>
      <v>6</v>
      <v>7</v>
      <v>4</v>
      <v>2</v>
      <v>8</v>
      <v>9</v>
    </spb>
    <spb s="25">
      <v>High</v>
      <v>Beta</v>
      <v>Name</v>
      <v>Headquarters</v>
      <v>Low</v>
      <v>Exchange</v>
      <v>Currency</v>
      <v>Price</v>
      <v>Industry</v>
      <v>Volume</v>
      <v>Change</v>
      <v>Description</v>
      <v>Open</v>
      <v>ExchangeID</v>
      <v>UniqueName</v>
      <v>Official name</v>
      <v>Change (%)</v>
      <v>%ProviderInfo</v>
      <v>LearnMoreOnLink</v>
      <v>Volume average</v>
      <v>Ticker symbol</v>
      <v>52 week high</v>
      <v>52 week low</v>
      <v>Year incorporated</v>
      <v>Shares outstanding</v>
      <v>Previous close</v>
      <v>Instrument type</v>
      <v>Exchange abbreviation</v>
      <v>Market cap</v>
      <v>Last trade time</v>
    </spb>
    <spb s="1">
      <v>8</v>
      <v>Name</v>
      <v>LearnMoreOnLink</v>
    </spb>
    <spb s="26">
      <v>13</v>
      <v>1</v>
      <v>3</v>
      <v>13</v>
      <v>13</v>
      <v>4</v>
      <v>13</v>
      <v>13</v>
      <v>5</v>
      <v>4</v>
      <v>6</v>
      <v>13</v>
      <v>13</v>
      <v>7</v>
      <v>4</v>
      <v>13</v>
      <v>14</v>
      <v>9</v>
    </spb>
    <spb s="10">
      <v>Atraso de 30 minutos</v>
      <v xml:space="preserve">do fechamento anterior </v>
      <v xml:space="preserve">do fechamento anterior </v>
      <v>GMT</v>
    </spb>
    <spb s="27">
      <v>P/E</v>
      <v>High</v>
      <v>Beta</v>
      <v>Name</v>
      <v>Headquarters</v>
      <v>Low</v>
      <v>Exchange</v>
      <v>Currency</v>
      <v>Price</v>
      <v>Industry</v>
      <v>Volume</v>
      <v>Change</v>
      <v>Description</v>
      <v>Open</v>
      <v>ExchangeID</v>
      <v>UniqueName</v>
      <v>Employees</v>
      <v>Official name</v>
      <v>Change (%)</v>
      <v>%ProviderInfo</v>
      <v>LearnMoreOnLink</v>
      <v>Volume average</v>
      <v>Ticker symbol</v>
      <v>Year incorporated</v>
      <v>Shares outstanding</v>
      <v>Previous close</v>
      <v>Instrument type</v>
      <v>Exchange abbreviation</v>
      <v>Market cap</v>
      <v>Last trade time</v>
    </spb>
    <spb s="1">
      <v>9</v>
      <v>Name</v>
      <v>LearnMoreOnLink</v>
    </spb>
    <spb s="28">
      <v>1</v>
      <v>2</v>
      <v>1</v>
      <v>3</v>
      <v>2</v>
      <v>2</v>
      <v>4</v>
      <v>2</v>
      <v>2</v>
      <v>4</v>
      <v>5</v>
      <v>4</v>
      <v>6</v>
      <v>7</v>
      <v>4</v>
      <v>2</v>
      <v>8</v>
      <v>9</v>
    </spb>
    <spb s="29">
      <v>P/E</v>
      <v>Beta</v>
      <v>Name</v>
      <v>Headquarters</v>
      <v>Exchange</v>
      <v>Currency</v>
      <v>Industry</v>
      <v>Description</v>
      <v>ExchangeID</v>
      <v>UniqueName</v>
      <v>Employees</v>
      <v>Official name</v>
      <v>%ProviderInfo</v>
      <v>Ticker symbol</v>
      <v>52 week high</v>
      <v>52 week low</v>
      <v>Year incorporated</v>
      <v>Shares outstanding</v>
      <v>Previous close</v>
      <v>Instrument type</v>
      <v>Exchange abbreviation</v>
      <v>Last trade time</v>
    </spb>
    <spb s="15">
      <v>10</v>
      <v>Name</v>
    </spb>
    <spb s="30">
      <v>1</v>
      <v>1</v>
      <v>3</v>
      <v>4</v>
      <v>6</v>
      <v>2</v>
      <v>2</v>
      <v>7</v>
      <v>4</v>
      <v>2</v>
      <v>9</v>
    </spb>
    <spb s="31">
      <v>GMT</v>
    </spb>
    <spb s="13">
      <v>1</v>
      <v>2</v>
      <v>1</v>
      <v>3</v>
      <v>2</v>
      <v>2</v>
      <v>4</v>
      <v>2</v>
      <v>2</v>
      <v>4</v>
      <v>5</v>
      <v>4</v>
      <v>6</v>
      <v>2</v>
      <v>2</v>
      <v>4</v>
      <v>2</v>
      <v>15</v>
      <v>9</v>
    </spb>
    <spb s="32">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Shares outstanding</v>
      <v>Previous close</v>
      <v>Instrument type</v>
      <v>Exchange abbreviation</v>
      <v>Market cap</v>
      <v>Last trade time</v>
    </spb>
    <spb s="1">
      <v>11</v>
      <v>Name</v>
      <v>LearnMoreOnLink</v>
    </spb>
    <spb s="33">
      <v>2</v>
      <v>1</v>
      <v>3</v>
      <v>2</v>
      <v>2</v>
      <v>4</v>
      <v>2</v>
      <v>2</v>
      <v>4</v>
      <v>5</v>
      <v>4</v>
      <v>6</v>
      <v>2</v>
      <v>2</v>
      <v>4</v>
      <v>2</v>
      <v>8</v>
      <v>9</v>
    </spb>
    <spb s="34">
      <v>P/E</v>
      <v>High</v>
      <v>Beta</v>
      <v>Name</v>
      <v>Headquarters</v>
      <v>Low</v>
      <v>Exchange</v>
      <v>Currency</v>
      <v>Price</v>
      <v>Industry</v>
      <v>Volume</v>
      <v>Change</v>
      <v>Description</v>
      <v>Open</v>
      <v>ExchangeID</v>
      <v>UniqueName</v>
      <v>Official name</v>
      <v>Change (%)</v>
      <v>%ProviderInfo</v>
      <v>LearnMoreOnLink</v>
      <v>Ticker symbol</v>
      <v>Year incorporated</v>
      <v>Shares outstanding</v>
      <v>Previous close</v>
      <v>Instrument type</v>
      <v>Exchange abbreviation</v>
      <v>Market cap</v>
      <v>Last trade time</v>
    </spb>
    <spb s="1">
      <v>12</v>
      <v>Name</v>
      <v>LearnMoreOnLink</v>
    </spb>
    <spb s="35">
      <v>1</v>
      <v>2</v>
      <v>1</v>
      <v>3</v>
      <v>2</v>
      <v>2</v>
      <v>4</v>
      <v>2</v>
      <v>2</v>
      <v>5</v>
      <v>6</v>
      <v>7</v>
      <v>4</v>
      <v>2</v>
      <v>8</v>
      <v>9</v>
    </spb>
    <spb s="20">
      <v>16</v>
      <v>1</v>
      <v>3</v>
      <v>16</v>
      <v>16</v>
      <v>4</v>
      <v>16</v>
      <v>16</v>
      <v>4</v>
      <v>5</v>
      <v>4</v>
      <v>6</v>
      <v>16</v>
      <v>16</v>
      <v>7</v>
      <v>4</v>
      <v>16</v>
      <v>17</v>
      <v>9</v>
    </spb>
    <spb s="10">
      <v>Atraso de 20 minutos</v>
      <v xml:space="preserve">do fechamento anterior </v>
      <v xml:space="preserve">do fechamento anterior </v>
      <v>GMT</v>
    </spb>
    <spb s="36">
      <v>P/E</v>
      <v>High</v>
      <v>Name</v>
      <v>Headquarters</v>
      <v>Low</v>
      <v>Exchange</v>
      <v>Currency</v>
      <v>Price</v>
      <v>Industry</v>
      <v>Volume</v>
      <v>Change</v>
      <v>Description</v>
      <v>Open</v>
      <v>ExchangeID</v>
      <v>UniqueName</v>
      <v>Employees</v>
      <v>Official name</v>
      <v>Change (%)</v>
      <v>%ProviderInfo</v>
      <v>Volume average</v>
      <v>Ticker symbol</v>
      <v>Year incorporated</v>
      <v>Shares outstanding</v>
      <v>Previous close</v>
      <v>Instrument type</v>
      <v>Exchange abbreviation</v>
      <v>Market cap</v>
      <v>Last trade time</v>
    </spb>
    <spb s="15">
      <v>13</v>
      <v>Name</v>
    </spb>
    <spb s="37">
      <v>1</v>
      <v>2</v>
      <v>3</v>
      <v>2</v>
      <v>2</v>
      <v>4</v>
      <v>2</v>
      <v>2</v>
      <v>4</v>
      <v>5</v>
      <v>4</v>
      <v>6</v>
      <v>7</v>
      <v>4</v>
      <v>2</v>
      <v>8</v>
      <v>9</v>
    </spb>
    <spb s="38">
      <v>P/E</v>
      <v>High</v>
      <v>Beta</v>
      <v>Name</v>
      <v>Headquarters</v>
      <v>Low</v>
      <v>Exchange</v>
      <v>Currency</v>
      <v>Price</v>
      <v>Industry</v>
      <v>Volume</v>
      <v>Change</v>
      <v>Description</v>
      <v>Open</v>
      <v>ExchangeID</v>
      <v>UniqueName</v>
      <v>Employees</v>
      <v>Official name</v>
      <v>Change (%)</v>
      <v>%ProviderInfo</v>
      <v>LearnMoreOnLink</v>
      <v>Ticker symbol</v>
      <v>Shares outstanding</v>
      <v>Previous close</v>
      <v>Instrument type</v>
      <v>Exchange abbreviation</v>
      <v>Market cap</v>
      <v>Last trade time</v>
    </spb>
    <spb s="1">
      <v>14</v>
      <v>Name</v>
      <v>LearnMoreOnLink</v>
    </spb>
    <spb s="39">
      <v>1</v>
      <v>2</v>
      <v>1</v>
      <v>3</v>
      <v>2</v>
      <v>2</v>
      <v>4</v>
      <v>2</v>
      <v>2</v>
      <v>4</v>
      <v>5</v>
      <v>6</v>
      <v>4</v>
      <v>2</v>
      <v>8</v>
      <v>9</v>
    </spb>
    <spb s="20">
      <v>2</v>
      <v>1</v>
      <v>3</v>
      <v>2</v>
      <v>2</v>
      <v>4</v>
      <v>2</v>
      <v>2</v>
      <v>4</v>
      <v>5</v>
      <v>4</v>
      <v>6</v>
      <v>2</v>
      <v>2</v>
      <v>7</v>
      <v>4</v>
      <v>2</v>
      <v>18</v>
      <v>9</v>
    </spb>
    <spb s="1">
      <v>15</v>
      <v>Name</v>
      <v>LearnMoreOnLink</v>
    </spb>
    <spb s="40">
      <v>High</v>
      <v>Beta</v>
      <v>Name</v>
      <v>Headquarters</v>
      <v>Low</v>
      <v>Exchange</v>
      <v>Currency</v>
      <v>Price</v>
      <v>Industry</v>
      <v>Volume</v>
      <v>Change</v>
      <v>Description</v>
      <v>Open</v>
      <v>ExchangeID</v>
      <v>UniqueName</v>
      <v>Employees</v>
      <v>Official name</v>
      <v>Change (%)</v>
      <v>%ProviderInfo</v>
      <v>LearnMoreOnLink</v>
      <v>Ticker symbol</v>
      <v>Year incorporated</v>
      <v>Shares outstanding</v>
      <v>Previous close</v>
      <v>Instrument type</v>
      <v>Exchange abbreviation</v>
      <v>Market cap</v>
      <v>Last trade time</v>
    </spb>
    <spb s="1">
      <v>16</v>
      <v>Name</v>
      <v>LearnMoreOnLink</v>
    </spb>
    <spb s="41">
      <v>2</v>
      <v>1</v>
      <v>3</v>
      <v>2</v>
      <v>2</v>
      <v>4</v>
      <v>2</v>
      <v>2</v>
      <v>4</v>
      <v>5</v>
      <v>6</v>
      <v>7</v>
      <v>4</v>
      <v>2</v>
      <v>8</v>
      <v>9</v>
    </spb>
    <spb s="42">
      <v>High</v>
      <v>Name</v>
      <v>Headquarters</v>
      <v>Low</v>
      <v>Exchange</v>
      <v>Currency</v>
      <v>Price</v>
      <v>Industry</v>
      <v>Volume</v>
      <v>Change</v>
      <v>Description</v>
      <v>Open</v>
      <v>ExchangeID</v>
      <v>UniqueName</v>
      <v>Employees</v>
      <v>Official name</v>
      <v>Change (%)</v>
      <v>%ProviderInfo</v>
      <v>Volume average</v>
      <v>Ticker symbol</v>
      <v>52 week high</v>
      <v>52 week low</v>
      <v>Year incorporated</v>
      <v>Shares outstanding</v>
      <v>Previous close</v>
      <v>Instrument type</v>
      <v>Exchange abbreviation</v>
      <v>Market cap</v>
      <v>Last trade time</v>
    </spb>
    <spb s="15">
      <v>17</v>
      <v>Name</v>
    </spb>
    <spb s="43">
      <v>2</v>
      <v>3</v>
      <v>2</v>
      <v>2</v>
      <v>4</v>
      <v>2</v>
      <v>2</v>
      <v>4</v>
      <v>5</v>
      <v>4</v>
      <v>6</v>
      <v>2</v>
      <v>2</v>
      <v>7</v>
      <v>4</v>
      <v>2</v>
      <v>8</v>
      <v>9</v>
    </spb>
    <spb s="44">
      <v>High</v>
      <v>Beta</v>
      <v>Name</v>
      <v>Headquarters</v>
      <v>Low</v>
      <v>Exchange</v>
      <v>Currency</v>
      <v>Price</v>
      <v>Industry</v>
      <v>Volume</v>
      <v>Change</v>
      <v>Description</v>
      <v>Open</v>
      <v>ExchangeID</v>
      <v>UniqueName</v>
      <v>Employees</v>
      <v>Official name</v>
      <v>Change (%)</v>
      <v>%ProviderInfo</v>
      <v>LearnMoreOnLink</v>
      <v>Volume average</v>
      <v>Ticker symbol</v>
      <v>Year incorporated</v>
      <v>Shares outstanding</v>
      <v>Previous close</v>
      <v>Instrument type</v>
      <v>Exchange abbreviation</v>
      <v>Market cap</v>
      <v>Last trade time</v>
    </spb>
    <spb s="1">
      <v>18</v>
      <v>Name</v>
      <v>LearnMoreOnLink</v>
    </spb>
    <spb s="45">
      <v>2</v>
      <v>1</v>
      <v>3</v>
      <v>2</v>
      <v>2</v>
      <v>4</v>
      <v>2</v>
      <v>2</v>
      <v>4</v>
      <v>5</v>
      <v>4</v>
      <v>6</v>
      <v>7</v>
      <v>4</v>
      <v>2</v>
      <v>8</v>
      <v>9</v>
    </spb>
    <spb s="46">
      <v>High</v>
      <v>Name</v>
      <v>Headquarters</v>
      <v>Low</v>
      <v>Exchange</v>
      <v>Currency</v>
      <v>Price</v>
      <v>Volume</v>
      <v>Change</v>
      <v>Open</v>
      <v>ExchangeID</v>
      <v>UniqueName</v>
      <v>Official name</v>
      <v>Change (%)</v>
      <v>%ProviderInfo</v>
      <v>Ticker symbol</v>
      <v>Previous close</v>
      <v>Instrument type</v>
      <v>Exchange abbreviation</v>
      <v>Last trade time</v>
    </spb>
    <spb s="15">
      <v>19</v>
      <v>Name</v>
    </spb>
    <spb s="47">
      <v>2</v>
      <v>3</v>
      <v>2</v>
      <v>2</v>
      <v>4</v>
      <v>2</v>
      <v>2</v>
      <v>5</v>
      <v>6</v>
      <v>2</v>
      <v>9</v>
    </spb>
    <spb s="48">
      <v>P/E</v>
      <v>High</v>
      <v>Beta</v>
      <v>Name</v>
      <v>Headquarters</v>
      <v>Low</v>
      <v>Exchange</v>
      <v>Currency</v>
      <v>Price</v>
      <v>Industry</v>
      <v>Volume</v>
      <v>Change</v>
      <v>Description</v>
      <v>Open</v>
      <v>ExchangeID</v>
      <v>UniqueName</v>
      <v>Employees</v>
      <v>Official name</v>
      <v>Change (%)</v>
      <v>%ProviderInfo</v>
      <v>LearnMoreOnLink</v>
      <v>Volume average</v>
      <v>Ticker symbol</v>
      <v>Shares outstanding</v>
      <v>Previous close</v>
      <v>Instrument type</v>
      <v>Exchange abbreviation</v>
      <v>Market cap</v>
      <v>Last trade time</v>
    </spb>
    <spb s="1">
      <v>20</v>
      <v>Name</v>
      <v>LearnMoreOnLink</v>
    </spb>
    <spb s="49">
      <v>1</v>
      <v>2</v>
      <v>1</v>
      <v>3</v>
      <v>2</v>
      <v>2</v>
      <v>4</v>
      <v>2</v>
      <v>2</v>
      <v>4</v>
      <v>5</v>
      <v>4</v>
      <v>6</v>
      <v>4</v>
      <v>2</v>
      <v>8</v>
      <v>9</v>
    </spb>
    <spb s="50">
      <v>P/E</v>
      <v>High</v>
      <v>Name</v>
      <v>Headquarters</v>
      <v>Low</v>
      <v>Exchange</v>
      <v>Currency</v>
      <v>Price</v>
      <v>Volume</v>
      <v>Change</v>
      <v>Open</v>
      <v>ExchangeID</v>
      <v>UniqueName</v>
      <v>Official name</v>
      <v>Change (%)</v>
      <v>%ProviderInfo</v>
      <v>LearnMoreOnLink</v>
      <v>Ticker symbol</v>
      <v>52 week high</v>
      <v>52 week low</v>
      <v>Previous close</v>
      <v>Instrument type</v>
      <v>Exchange abbreviation</v>
      <v>Last trade time</v>
    </spb>
    <spb s="1">
      <v>21</v>
      <v>Name</v>
      <v>LearnMoreOnLink</v>
    </spb>
    <spb s="51">
      <v>1</v>
      <v>19</v>
      <v>3</v>
      <v>19</v>
      <v>19</v>
      <v>4</v>
      <v>19</v>
      <v>19</v>
      <v>5</v>
      <v>6</v>
      <v>19</v>
      <v>19</v>
      <v>19</v>
      <v>9</v>
    </spb>
    <spb s="52">
      <v>P/E</v>
      <v>High</v>
      <v>Beta</v>
      <v>Name</v>
      <v>Headquarters</v>
      <v>Low</v>
      <v>Exchange</v>
      <v>Currency</v>
      <v>Price</v>
      <v>Industry</v>
      <v>Volume</v>
      <v>Change</v>
      <v>Description</v>
      <v>Open</v>
      <v>ExchangeID</v>
      <v>UniqueName</v>
      <v>Employees</v>
      <v>Official name</v>
      <v>Change (%)</v>
      <v>%ProviderInfo</v>
      <v>Volume average</v>
      <v>Ticker symbol</v>
      <v>Year incorporated</v>
      <v>Shares outstanding</v>
      <v>Previous close</v>
      <v>Instrument type</v>
      <v>Exchange abbreviation</v>
      <v>Market cap</v>
      <v>Last trade time</v>
    </spb>
    <spb s="15">
      <v>22</v>
      <v>Name</v>
    </spb>
    <spb s="15">
      <v>23</v>
      <v>Name</v>
    </spb>
    <spb s="53">
      <v>P/E</v>
      <v>High</v>
      <v>Beta</v>
      <v>Name</v>
      <v>Headquarters</v>
      <v>Low</v>
      <v>Exchange</v>
      <v>Currency</v>
      <v>Price</v>
      <v>Industry</v>
      <v>Volume</v>
      <v>Change</v>
      <v>Description</v>
      <v>Open</v>
      <v>ExchangeID</v>
      <v>UniqueName</v>
      <v>Employees</v>
      <v>Official name</v>
      <v>Change (%)</v>
      <v>%ProviderInfo</v>
      <v>Volume average</v>
      <v>Ticker symbol</v>
      <v>52 week high</v>
      <v>52 week low</v>
      <v>Year incorporated</v>
      <v>Shares outstanding</v>
      <v>Previous close</v>
      <v>Instrument type</v>
      <v>Exchange abbreviation</v>
      <v>Market cap</v>
      <v>Last trade time</v>
    </spb>
    <spb s="15">
      <v>24</v>
      <v>Name</v>
    </spb>
    <spb s="54">
      <v>Name</v>
      <v>Headquarters</v>
      <v>Exchange</v>
      <v>Currency</v>
      <v>Industry</v>
      <v>Description</v>
      <v>ExchangeID</v>
      <v>UniqueName</v>
      <v>Official name</v>
      <v>%ProviderInfo</v>
      <v>Ticker symbol</v>
      <v>Year incorporated</v>
      <v>Previous close</v>
      <v>Instrument type</v>
      <v>Exchange abbreviation</v>
    </spb>
    <spb s="15">
      <v>25</v>
      <v>Name</v>
    </spb>
    <spb s="55">
      <v>3</v>
      <v>6</v>
      <v>7</v>
      <v>2</v>
    </spb>
    <spb s="56">
      <v>High</v>
      <v>Beta</v>
      <v>Name</v>
      <v>Headquarters</v>
      <v>Low</v>
      <v>Exchange</v>
      <v>Currency</v>
      <v>Price</v>
      <v>Industry</v>
      <v>Volume</v>
      <v>Change</v>
      <v>Description</v>
      <v>Open</v>
      <v>ExchangeID</v>
      <v>UniqueName</v>
      <v>Employees</v>
      <v>Official name</v>
      <v>Change (%)</v>
      <v>%ProviderInfo</v>
      <v>LearnMoreOnLink</v>
      <v>Ticker symbol</v>
      <v>52 week high</v>
      <v>52 week low</v>
      <v>Year incorporated</v>
      <v>Shares outstanding</v>
      <v>Previous close</v>
      <v>Instrument type</v>
      <v>Exchange abbreviation</v>
      <v>Market cap</v>
      <v>Last trade time</v>
    </spb>
    <spb s="1">
      <v>26</v>
      <v>Name</v>
      <v>LearnMoreOnLink</v>
    </spb>
    <spb s="57">
      <v>2</v>
      <v>1</v>
      <v>3</v>
      <v>2</v>
      <v>2</v>
      <v>4</v>
      <v>2</v>
      <v>2</v>
      <v>4</v>
      <v>5</v>
      <v>6</v>
      <v>2</v>
      <v>2</v>
      <v>7</v>
      <v>4</v>
      <v>2</v>
      <v>8</v>
      <v>9</v>
    </spb>
    <spb s="58">
      <v>High</v>
      <v>Beta</v>
      <v>Name</v>
      <v>Headquarters</v>
      <v>Low</v>
      <v>Exchange</v>
      <v>Currency</v>
      <v>Price</v>
      <v>Industry</v>
      <v>Volume</v>
      <v>Change</v>
      <v>Description</v>
      <v>Open</v>
      <v>ExchangeID</v>
      <v>UniqueName</v>
      <v>Official name</v>
      <v>Change (%)</v>
      <v>%ProviderInfo</v>
      <v>LearnMoreOnLink</v>
      <v>Ticker symbol</v>
      <v>52 week high</v>
      <v>52 week low</v>
      <v>Year incorporated</v>
      <v>Shares outstanding</v>
      <v>Previous close</v>
      <v>Instrument type</v>
      <v>Exchange abbreviation</v>
      <v>Market cap</v>
      <v>Last trade time</v>
    </spb>
    <spb s="1">
      <v>27</v>
      <v>Name</v>
      <v>LearnMoreOnLink</v>
    </spb>
    <spb s="59">
      <v>2</v>
      <v>1</v>
      <v>3</v>
      <v>2</v>
      <v>2</v>
      <v>4</v>
      <v>2</v>
      <v>2</v>
      <v>5</v>
      <v>6</v>
      <v>2</v>
      <v>2</v>
      <v>7</v>
      <v>4</v>
      <v>2</v>
      <v>8</v>
      <v>9</v>
    </spb>
    <spb s="60">
      <v>High</v>
      <v>Beta</v>
      <v>Name</v>
      <v>Headquarters</v>
      <v>Low</v>
      <v>Exchange</v>
      <v>Currency</v>
      <v>Price</v>
      <v>Industry</v>
      <v>Volume</v>
      <v>Change</v>
      <v>Description</v>
      <v>Open</v>
      <v>ExchangeID</v>
      <v>UniqueName</v>
      <v>Employees</v>
      <v>Official name</v>
      <v>Change (%)</v>
      <v>%ProviderInfo</v>
      <v>LearnMoreOnLink</v>
      <v>Ticker symbol</v>
      <v>52 week high</v>
      <v>52 week low</v>
      <v>Shares outstanding</v>
      <v>Previous close</v>
      <v>Instrument type</v>
      <v>Exchange abbreviation</v>
      <v>Market cap</v>
      <v>Last trade time</v>
    </spb>
    <spb s="1">
      <v>28</v>
      <v>Name</v>
      <v>LearnMoreOnLink</v>
    </spb>
    <spb s="61">
      <v>2</v>
      <v>1</v>
      <v>3</v>
      <v>2</v>
      <v>2</v>
      <v>4</v>
      <v>2</v>
      <v>2</v>
      <v>4</v>
      <v>5</v>
      <v>6</v>
      <v>2</v>
      <v>2</v>
      <v>4</v>
      <v>2</v>
      <v>8</v>
      <v>9</v>
    </spb>
    <spb s="62">
      <v>Beta</v>
      <v>Name</v>
      <v>Headquarters</v>
      <v>Exchange</v>
      <v>Currency</v>
      <v>Price</v>
      <v>Industry</v>
      <v>Change</v>
      <v>Description</v>
      <v>ExchangeID</v>
      <v>UniqueName</v>
      <v>Employees</v>
      <v>Official name</v>
      <v>Change (%)</v>
      <v>%ProviderInfo</v>
      <v>LearnMoreOnLink</v>
      <v>Ticker symbol</v>
      <v>52 week high</v>
      <v>52 week low</v>
      <v>Shares outstanding</v>
      <v>Previous close</v>
      <v>Instrument type</v>
      <v>Exchange abbreviation</v>
      <v>Last trade time</v>
    </spb>
    <spb s="1">
      <v>29</v>
      <v>Name</v>
      <v>LearnMoreOnLink</v>
    </spb>
    <spb s="63">
      <v>1</v>
      <v>3</v>
      <v>2</v>
      <v>2</v>
      <v>4</v>
      <v>5</v>
      <v>6</v>
      <v>2</v>
      <v>2</v>
      <v>4</v>
      <v>2</v>
      <v>20</v>
    </spb>
    <spb s="64">
      <v>High</v>
      <v>Beta</v>
      <v>Name</v>
      <v>Headquarters</v>
      <v>Low</v>
      <v>Exchange</v>
      <v>Currency</v>
      <v>Price</v>
      <v>Industry</v>
      <v>Volume</v>
      <v>Change</v>
      <v>Description</v>
      <v>Open</v>
      <v>ExchangeID</v>
      <v>UniqueName</v>
      <v>Employees</v>
      <v>Official name</v>
      <v>Change (%)</v>
      <v>%ProviderInfo</v>
      <v>Ticker symbol</v>
      <v>Year incorporated</v>
      <v>Shares outstanding</v>
      <v>Previous close</v>
      <v>Instrument type</v>
      <v>Exchange abbreviation</v>
      <v>Market cap</v>
      <v>Last trade time</v>
    </spb>
    <spb s="15">
      <v>30</v>
      <v>Name</v>
    </spb>
    <spb s="65">
      <v>High</v>
      <v>Name</v>
      <v>Headquarters</v>
      <v>Low</v>
      <v>Exchange</v>
      <v>Currency</v>
      <v>Price</v>
      <v>Industry</v>
      <v>Volume</v>
      <v>Change</v>
      <v>Description</v>
      <v>Open</v>
      <v>ExchangeID</v>
      <v>UniqueName</v>
      <v>Official name</v>
      <v>Change (%)</v>
      <v>%ProviderInfo</v>
      <v>Ticker symbol</v>
      <v>Year incorporated</v>
      <v>Previous close</v>
      <v>Instrument type</v>
      <v>Exchange abbreviation</v>
      <v>Last trade time</v>
    </spb>
    <spb s="15">
      <v>31</v>
      <v>Name</v>
    </spb>
    <spb s="66">
      <v>2</v>
      <v>3</v>
      <v>2</v>
      <v>2</v>
      <v>4</v>
      <v>2</v>
      <v>2</v>
      <v>5</v>
      <v>6</v>
      <v>7</v>
      <v>2</v>
      <v>9</v>
    </spb>
    <spb s="67">
      <v>High</v>
      <v>Name</v>
      <v>Headquarters</v>
      <v>Low</v>
      <v>Exchange</v>
      <v>Currency</v>
      <v>Price</v>
      <v>Industry</v>
      <v>Volume</v>
      <v>Change</v>
      <v>Description</v>
      <v>Open</v>
      <v>ExchangeID</v>
      <v>UniqueName</v>
      <v>Employees</v>
      <v>Official name</v>
      <v>Change (%)</v>
      <v>%ProviderInfo</v>
      <v>Ticker symbol</v>
      <v>Year incorporated</v>
      <v>Previous close</v>
      <v>Instrument type</v>
      <v>Exchange abbreviation</v>
      <v>Last trade time</v>
    </spb>
    <spb s="15">
      <v>32</v>
      <v>Name</v>
    </spb>
    <spb s="68">
      <v>2</v>
      <v>3</v>
      <v>2</v>
      <v>2</v>
      <v>4</v>
      <v>2</v>
      <v>2</v>
      <v>4</v>
      <v>5</v>
      <v>6</v>
      <v>7</v>
      <v>2</v>
      <v>9</v>
    </spb>
    <spb s="69">
      <v>High</v>
      <v>Beta</v>
      <v>Name</v>
      <v>Headquarters</v>
      <v>Low</v>
      <v>Exchange</v>
      <v>Currency</v>
      <v>Price</v>
      <v>Industry</v>
      <v>Volume</v>
      <v>Change</v>
      <v>Description</v>
      <v>Open</v>
      <v>ExchangeID</v>
      <v>UniqueName</v>
      <v>Employees</v>
      <v>Official name</v>
      <v>Change (%)</v>
      <v>%ProviderInfo</v>
      <v>Volume average</v>
      <v>Ticker symbol</v>
      <v>Year incorporated</v>
      <v>Shares outstanding</v>
      <v>Previous close</v>
      <v>Instrument type</v>
      <v>Exchange abbreviation</v>
      <v>Market cap</v>
      <v>Last trade time</v>
    </spb>
    <spb s="15">
      <v>33</v>
      <v>Name</v>
    </spb>
    <spb s="70">
      <v>High</v>
      <v>Name</v>
      <v>Headquarters</v>
      <v>Low</v>
      <v>Exchange</v>
      <v>Currency</v>
      <v>Price</v>
      <v>Industry</v>
      <v>Volume</v>
      <v>Change</v>
      <v>Description</v>
      <v>Open</v>
      <v>ExchangeID</v>
      <v>UniqueName</v>
      <v>Employees</v>
      <v>Official name</v>
      <v>Change (%)</v>
      <v>%ProviderInfo</v>
      <v>Ticker symbol</v>
      <v>52 week high</v>
      <v>52 week low</v>
      <v>Year incorporated</v>
      <v>Shares outstanding</v>
      <v>Previous close</v>
      <v>Instrument type</v>
      <v>Exchange abbreviation</v>
      <v>Market cap</v>
      <v>Last trade time</v>
    </spb>
    <spb s="15">
      <v>34</v>
      <v>Name</v>
    </spb>
    <spb s="71">
      <v>2</v>
      <v>3</v>
      <v>2</v>
      <v>2</v>
      <v>4</v>
      <v>2</v>
      <v>2</v>
      <v>4</v>
      <v>5</v>
      <v>6</v>
      <v>2</v>
      <v>2</v>
      <v>7</v>
      <v>4</v>
      <v>2</v>
      <v>8</v>
      <v>9</v>
    </spb>
    <spb s="72">
      <v>High</v>
      <v>Name</v>
      <v>Headquarters</v>
      <v>Low</v>
      <v>Exchange</v>
      <v>Currency</v>
      <v>Price</v>
      <v>Industry</v>
      <v>Volume</v>
      <v>Change</v>
      <v>Description</v>
      <v>Open</v>
      <v>ExchangeID</v>
      <v>UniqueName</v>
      <v>Employees</v>
      <v>Official name</v>
      <v>Change (%)</v>
      <v>%ProviderInfo</v>
      <v>Ticker symbol</v>
      <v>Year incorporated</v>
      <v>Shares outstanding</v>
      <v>Previous close</v>
      <v>Instrument type</v>
      <v>Exchange abbreviation</v>
      <v>Market cap</v>
      <v>Last trade time</v>
    </spb>
    <spb s="15">
      <v>35</v>
      <v>Name</v>
    </spb>
    <spb s="73">
      <v>2</v>
      <v>3</v>
      <v>2</v>
      <v>2</v>
      <v>4</v>
      <v>2</v>
      <v>2</v>
      <v>4</v>
      <v>5</v>
      <v>6</v>
      <v>7</v>
      <v>4</v>
      <v>2</v>
      <v>8</v>
      <v>9</v>
    </spb>
    <spb s="74">
      <v>Name</v>
      <v>Headquarters</v>
      <v>Exchange</v>
      <v>Currency</v>
      <v>ExchangeID</v>
      <v>UniqueName</v>
      <v>Official name</v>
      <v>%ProviderInfo</v>
      <v>Ticker symbol</v>
      <v>Previous close</v>
      <v>Instrument type</v>
      <v>Exchange abbreviation</v>
    </spb>
    <spb s="15">
      <v>36</v>
      <v>Name</v>
    </spb>
    <spb s="75">
      <v>3</v>
      <v>6</v>
      <v>2</v>
    </spb>
    <spb s="76">
      <v>P/E</v>
      <v>High</v>
      <v>Beta</v>
      <v>Name</v>
      <v>Headquarters</v>
      <v>Low</v>
      <v>Exchange</v>
      <v>Currency</v>
      <v>Price</v>
      <v>Industry</v>
      <v>Volume</v>
      <v>Change</v>
      <v>Description</v>
      <v>Open</v>
      <v>ExchangeID</v>
      <v>UniqueName</v>
      <v>Employees</v>
      <v>Official name</v>
      <v>Change (%)</v>
      <v>%ProviderInfo</v>
      <v>Ticker symbol</v>
      <v>Year incorporated</v>
      <v>Shares outstanding</v>
      <v>Previous close</v>
      <v>Instrument type</v>
      <v>Exchange abbreviation</v>
      <v>Market cap</v>
      <v>Last trade time</v>
    </spb>
    <spb s="15">
      <v>37</v>
      <v>Name</v>
    </spb>
    <spb s="77">
      <v>High</v>
      <v>Name</v>
      <v>Headquarters</v>
      <v>Low</v>
      <v>Exchange</v>
      <v>Currency</v>
      <v>Price</v>
      <v>Volume</v>
      <v>Change</v>
      <v>Open</v>
      <v>ExchangeID</v>
      <v>UniqueName</v>
      <v>Official name</v>
      <v>Change (%)</v>
      <v>%ProviderInfo</v>
      <v>LearnMoreOnLink</v>
      <v>Ticker symbol</v>
      <v>Previous close</v>
      <v>Instrument type</v>
      <v>Exchange abbreviation</v>
      <v>Last trade time</v>
    </spb>
    <spb s="1">
      <v>38</v>
      <v>Name</v>
      <v>LearnMoreOnLink</v>
    </spb>
    <spb s="78">
      <v>P/E</v>
      <v>High</v>
      <v>Beta</v>
      <v>Name</v>
      <v>Headquarters</v>
      <v>Low</v>
      <v>Exchange</v>
      <v>Currency</v>
      <v>Price</v>
      <v>Industry</v>
      <v>Volume</v>
      <v>Change</v>
      <v>Description</v>
      <v>Open</v>
      <v>ExchangeID</v>
      <v>UniqueName</v>
      <v>Official name</v>
      <v>Change (%)</v>
      <v>%ProviderInfo</v>
      <v>LearnMoreOnLink</v>
      <v>Ticker symbol</v>
      <v>52 week high</v>
      <v>52 week low</v>
      <v>Shares outstanding</v>
      <v>Previous close</v>
      <v>Instrument type</v>
      <v>Exchange abbreviation</v>
      <v>Market cap</v>
      <v>Last trade time</v>
    </spb>
    <spb s="1">
      <v>39</v>
      <v>Name</v>
      <v>LearnMoreOnLink</v>
    </spb>
    <spb s="79">
      <v>1</v>
      <v>2</v>
      <v>1</v>
      <v>3</v>
      <v>2</v>
      <v>2</v>
      <v>4</v>
      <v>2</v>
      <v>2</v>
      <v>5</v>
      <v>6</v>
      <v>2</v>
      <v>2</v>
      <v>4</v>
      <v>2</v>
      <v>8</v>
      <v>9</v>
    </spb>
  </spbData>
</supportingPropertyBags>
</file>

<file path=xl/richData/rdsupportingpropertybagstructure.xml><?xml version="1.0" encoding="utf-8"?>
<spbStructures xmlns="http://schemas.microsoft.com/office/spreadsheetml/2017/richdata2" count="80">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Order" t="spba"/>
    <k n="TitleProperty" t="s"/>
    <k n="SubTitleProperty" t="s"/>
  </s>
  <s>
    <k n="ShowInCardView" t="b"/>
    <k n="ShowInDotNotation" t="b"/>
    <k n="ShowInAutoComplete" t="b"/>
  </s>
  <s>
    <k n="ExchangeID" t="spb"/>
    <k n="UniqueName" t="spb"/>
    <k n="`%ProviderInfo" t="spb"/>
    <k n="LearnMoreOnLink" t="spb"/>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Preço" t="s"/>
    <k n="Variação" t="s"/>
    <k n="Variação (%)" t="s"/>
    <k n="Hora da última transação" t="s"/>
    <k n="Preço (Horário prolongado)" t="s"/>
    <k n="Alteração (Horário prolongado)" t="s"/>
    <k n="Alteração % (Horário prolongado)" t="s"/>
  </s>
  <s>
    <k n="P/E" t="s"/>
    <k n="Alto" t="s"/>
    <k n="Beta" t="s"/>
    <k n="Nome" t="s"/>
    <k n="Sede" t="s"/>
    <k n="Baixo" t="s"/>
    <k n="Bolsa" t="s"/>
    <k n="Moeda" t="s"/>
    <k n="Preço" t="s"/>
    <k n="Setor" t="s"/>
    <k n="Imagem"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ShowInDotNotation" t="b"/>
    <k n="ShowInAutoComplete" t="b"/>
  </s>
  <s>
    <k n="Imagem" t="spb"/>
    <k n="ExchangeID" t="spb"/>
    <k n="UniqueName" t="spb"/>
    <k n="`%ProviderInfo" t="spb"/>
    <k n="LearnMoreOnLink" t="spb"/>
  </s>
  <s>
    <k n="P/E" t="i"/>
    <k n="Alto" t="i"/>
    <k n="Beta" t="i"/>
    <k n="Nome" t="i"/>
    <k n="Baixo" t="i"/>
    <k n="Preço" t="i"/>
    <k n="Imagem"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Variação (%)" t="s"/>
    <k n="Hora da última transação" t="s"/>
  </s>
  <s>
    <k n="name"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ções em circulação" t="i"/>
    <k n="Fechamento anterior" t="i"/>
    <k n="Capitalização de mercado" t="i"/>
    <k n="Hora da última transação" t="i"/>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Média de volume" t="s"/>
    <k n="Símbolo do ticker" t="s"/>
    <k n="52 semanas de alta" t="s"/>
    <k n="52 semanas de baixa" t="s"/>
    <k n="Ações em circulação" t="s"/>
    <k n="Fechamento anterior" t="s"/>
    <k n="Tipo de instrumento" t="s"/>
    <k n="Abreviatura do câmbio" t="s"/>
    <k n="Capitalização de mercado" t="s"/>
    <k n="Hora da última transação" t="s"/>
  </s>
  <s>
    <k n="^Order" t="spba"/>
    <k n="TitleProperty" t="s"/>
  </s>
  <s>
    <k n="ExchangeID" t="spb"/>
    <k n="UniqueName" t="spb"/>
    <k n="`%ProviderInfo" t="spb"/>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E" t="s"/>
    <k n="Alto" t="s"/>
    <k n="Nome" t="s"/>
    <k n="Sede" t="s"/>
    <k n="Baixo" t="s"/>
    <k n="Bolsa" t="s"/>
    <k n="Moeda" t="s"/>
    <k n="Preço" t="s"/>
    <k n="Setor" t="s"/>
    <k n="Volume" t="s"/>
    <k n="Variação" t="s"/>
    <k n="Descrição" t="s"/>
    <k n="Pendência" t="s"/>
    <k n="ExchangeID" t="s"/>
    <k n="UniqueName" t="s"/>
    <k n="Funcionários" t="s"/>
    <k n="Nome oficial" t="s"/>
    <k n="Variação (%)" t="s"/>
    <k n="%ProviderInfo"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Símbolo do ticker"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EntityServiceId" t="i"/>
    <k n="Ano de incorporação" t="i"/>
    <k n="Ações em circulação" t="i"/>
    <k n="Fechamento anterior" t="i"/>
    <k n="Capitalização de mercado" t="i"/>
    <k n="Hora da última transação" t="i"/>
  </s>
  <s>
    <k n="Alto" t="s"/>
    <k n="Beta" t="s"/>
    <k n="Nome" t="s"/>
    <k n="Sede" t="s"/>
    <k n="Baixo" t="s"/>
    <k n="Bolsa" t="s"/>
    <k n="Moeda" t="s"/>
    <k n="Preço" t="s"/>
    <k n="Setor" t="s"/>
    <k n="Volume" t="s"/>
    <k n="Variação" t="s"/>
    <k n="Descrição" t="s"/>
    <k n="Pendência" t="s"/>
    <k n="ExchangeID" t="s"/>
    <k n="UniqueName"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Variação (%)" t="i"/>
    <k n="Média de volume" t="i"/>
    <k n="`%EntityServiceId" t="i"/>
    <k n="52 semanas de alta" t="i"/>
    <k n="52 semanas de baixa" t="i"/>
    <k n="Ano de incorporação" t="i"/>
    <k n="Ações em circulação" t="i"/>
    <k n="Fechamento anterior" t="i"/>
    <k n="Capitalização de mercado" t="i"/>
    <k n="Hora da última transação" t="i"/>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Ano de incorporação" t="i"/>
    <k n="Ações em circulação" t="i"/>
    <k n="Fechamento anterior" t="i"/>
    <k n="Capitalização de mercado" t="i"/>
    <k n="Hora da última transação" t="i"/>
  </s>
  <s>
    <k n="P/E" t="s"/>
    <k n="Beta" t="s"/>
    <k n="Nome" t="s"/>
    <k n="Sede" t="s"/>
    <k n="Bolsa" t="s"/>
    <k n="Moeda" t="s"/>
    <k n="Setor" t="s"/>
    <k n="Descrição" t="s"/>
    <k n="ExchangeID" t="s"/>
    <k n="UniqueName" t="s"/>
    <k n="Funcionários" t="s"/>
    <k n="Nome oficial" t="s"/>
    <k n="%ProviderInfo" t="s"/>
    <k n="Símbolo do ticker" t="s"/>
    <k n="52 semanas de alta" t="s"/>
    <k n="52 semanas de baixa" t="s"/>
    <k n="Ano de incorporação" t="s"/>
    <k n="Ações em circulação" t="s"/>
    <k n="Fechamento anterior" t="s"/>
    <k n="Tipo de instrumento" t="s"/>
    <k n="Abreviatura do câmbio" t="s"/>
    <k n="Hora da última transação" t="s"/>
  </s>
  <s>
    <k n="P/E" t="i"/>
    <k n="Beta" t="i"/>
    <k n="Nome" t="i"/>
    <k n="Funcionários" t="i"/>
    <k n="`%EntityServiceId" t="i"/>
    <k n="52 semanas de alta" t="i"/>
    <k n="52 semanas de baixa" t="i"/>
    <k n="Ano de incorporação" t="i"/>
    <k n="Ações em circulação" t="i"/>
    <k n="Fechamento anterior" t="i"/>
    <k n="Hora da última transação" t="i"/>
  </s>
  <s>
    <k n="Hora da última transação" t="s"/>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Funcionários" t="i"/>
    <k n="Variação (%)" t="i"/>
    <k n="Média de volume" t="i"/>
    <k n="`%EntityServiceId" t="i"/>
    <k n="52 semanas de alta" t="i"/>
    <k n="52 semanas de baixa" t="i"/>
    <k n="Ações em circulação" t="i"/>
    <k n="Fechamento anterior" t="i"/>
    <k n="Capitalização de mercado" t="i"/>
    <k n="Hora da última transação" t="i"/>
  </s>
  <s>
    <k n="P/E" t="s"/>
    <k n="Alto" t="s"/>
    <k n="Beta" t="s"/>
    <k n="Nome" t="s"/>
    <k n="Sede" t="s"/>
    <k n="Baixo" t="s"/>
    <k n="Bolsa" t="s"/>
    <k n="Moeda" t="s"/>
    <k n="Preço" t="s"/>
    <k n="Setor" t="s"/>
    <k n="Volume" t="s"/>
    <k n="Variação" t="s"/>
    <k n="Descrição" t="s"/>
    <k n="Pendência" t="s"/>
    <k n="ExchangeID" t="s"/>
    <k n="UniqueName" t="s"/>
    <k n="Nome oficial" t="s"/>
    <k n="Variação (%)" t="s"/>
    <k n="%ProviderInfo" t="s"/>
    <k n="LearnMoreOnLink" t="s"/>
    <k n="Símbolo do ticker"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Variação (%)" t="i"/>
    <k n="`%EntityServiceId" t="i"/>
    <k n="Ano de incorporação" t="i"/>
    <k n="Ações em circulação" t="i"/>
    <k n="Fechamento anterior" t="i"/>
    <k n="Capitalização de mercado" t="i"/>
    <k n="Hora da última transação" t="i"/>
  </s>
  <s>
    <k n="P/E" t="s"/>
    <k n="Alto" t="s"/>
    <k n="Nome" t="s"/>
    <k n="Sede" t="s"/>
    <k n="Baixo" t="s"/>
    <k n="Bolsa" t="s"/>
    <k n="Moeda" t="s"/>
    <k n="Preço" t="s"/>
    <k n="Setor" t="s"/>
    <k n="Volume" t="s"/>
    <k n="Variação" t="s"/>
    <k n="Descrição" t="s"/>
    <k n="Pendência" t="s"/>
    <k n="ExchangeID" t="s"/>
    <k n="UniqueName" t="s"/>
    <k n="Funcionários" t="s"/>
    <k n="Nome oficial" t="s"/>
    <k n="Variação (%)" t="s"/>
    <k n="%ProviderInfo" t="s"/>
    <k n="Média de volume" t="s"/>
    <k n="Símbolo do ticker" t="s"/>
    <k n="Ano de incorporação" t="s"/>
    <k n="Ações em circulação" t="s"/>
    <k n="Fechamento anterior" t="s"/>
    <k n="Tipo de instrumento" t="s"/>
    <k n="Abreviatura do câmbio" t="s"/>
    <k n="Capitalização de mercado" t="s"/>
    <k n="Hora da última transação" t="s"/>
  </s>
  <s>
    <k n="P/E" t="i"/>
    <k n="Alto" t="i"/>
    <k n="Nome" t="i"/>
    <k n="Baixo" t="i"/>
    <k n="Preço" t="i"/>
    <k n="Volume" t="i"/>
    <k n="Variação" t="i"/>
    <k n="Pendência" t="i"/>
    <k n="Funcionários" t="i"/>
    <k n="Variação (%)" t="i"/>
    <k n="Média de volume" t="i"/>
    <k n="`%EntityServiceId" t="i"/>
    <k n="Ano de incorporação" t="i"/>
    <k n="Ações em circulação" t="i"/>
    <k n="Fechamento anterior" t="i"/>
    <k n="Capitalização de mercado" t="i"/>
    <k n="Hora da última transação" t="i"/>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Símbolo do ticker"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EntityServiceId" t="i"/>
    <k n="Ações em circulação" t="i"/>
    <k n="Fechamento anterior" t="i"/>
    <k n="Capitalização de mercado" t="i"/>
    <k n="Hora da última transação" t="i"/>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Símbolo do ticker" t="s"/>
    <k n="Ano de incorporação"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Funcionários" t="i"/>
    <k n="Variação (%)" t="i"/>
    <k n="`%EntityServiceId" t="i"/>
    <k n="Ano de incorporação" t="i"/>
    <k n="Ações em circulação" t="i"/>
    <k n="Fechamento anterior" t="i"/>
    <k n="Capitalização de mercado" t="i"/>
    <k n="Hora da última transação" t="i"/>
  </s>
  <s>
    <k n="Alto" t="s"/>
    <k n="Nome" t="s"/>
    <k n="Sede" t="s"/>
    <k n="Baixo" t="s"/>
    <k n="Bolsa" t="s"/>
    <k n="Moeda" t="s"/>
    <k n="Preço" t="s"/>
    <k n="Setor" t="s"/>
    <k n="Volume" t="s"/>
    <k n="Variação" t="s"/>
    <k n="Descrição" t="s"/>
    <k n="Pendência" t="s"/>
    <k n="ExchangeID" t="s"/>
    <k n="UniqueName" t="s"/>
    <k n="Funcionários" t="s"/>
    <k n="Nome oficial" t="s"/>
    <k n="Variação (%)" t="s"/>
    <k n="%ProviderInfo"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Ano de incorporação"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Funcionários" t="i"/>
    <k n="Variação (%)" t="i"/>
    <k n="Média de volume" t="i"/>
    <k n="`%EntityServiceId" t="i"/>
    <k n="Ano de incorporação" t="i"/>
    <k n="Ações em circulação" t="i"/>
    <k n="Fechamento anterior" t="i"/>
    <k n="Capitalização de mercado" t="i"/>
    <k n="Hora da última transação" t="i"/>
  </s>
  <s>
    <k n="Alto" t="s"/>
    <k n="Nome" t="s"/>
    <k n="Sede" t="s"/>
    <k n="Baixo" t="s"/>
    <k n="Bolsa" t="s"/>
    <k n="Moeda" t="s"/>
    <k n="Preço" t="s"/>
    <k n="Volume" t="s"/>
    <k n="Variação" t="s"/>
    <k n="Pendência" t="s"/>
    <k n="ExchangeID" t="s"/>
    <k n="UniqueName" t="s"/>
    <k n="Nome oficial" t="s"/>
    <k n="Variação (%)" t="s"/>
    <k n="%ProviderInfo" t="s"/>
    <k n="Símbolo do ticker" t="s"/>
    <k n="Fechamento anterior" t="s"/>
    <k n="Tipo de instrumento" t="s"/>
    <k n="Abreviatura do câmbio" t="s"/>
    <k n="Hora da última transação" t="s"/>
  </s>
  <s>
    <k n="Alto" t="i"/>
    <k n="Nome" t="i"/>
    <k n="Baixo" t="i"/>
    <k n="Preço" t="i"/>
    <k n="Volume" t="i"/>
    <k n="Variação" t="i"/>
    <k n="Pendência" t="i"/>
    <k n="Variação (%)" t="i"/>
    <k n="`%EntityServiceId" t="i"/>
    <k n="Fechamento anterior" t="i"/>
    <k n="Hora da última transação" t="i"/>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Ações em circulação" t="i"/>
    <k n="Fechamento anterior" t="i"/>
    <k n="Capitalização de mercado" t="i"/>
    <k n="Hora da última transação" t="i"/>
  </s>
  <s>
    <k n="P/E" t="s"/>
    <k n="Alto" t="s"/>
    <k n="Nome" t="s"/>
    <k n="Sede" t="s"/>
    <k n="Baixo" t="s"/>
    <k n="Bolsa" t="s"/>
    <k n="Moeda" t="s"/>
    <k n="Preço" t="s"/>
    <k n="Volume" t="s"/>
    <k n="Variação" t="s"/>
    <k n="Pendência" t="s"/>
    <k n="ExchangeID" t="s"/>
    <k n="UniqueName" t="s"/>
    <k n="Nome oficial" t="s"/>
    <k n="Variação (%)" t="s"/>
    <k n="%ProviderInfo" t="s"/>
    <k n="LearnMoreOnLink" t="s"/>
    <k n="Símbolo do ticker" t="s"/>
    <k n="52 semanas de alta" t="s"/>
    <k n="52 semanas de baixa" t="s"/>
    <k n="Fechamento anterior" t="s"/>
    <k n="Tipo de instrumento" t="s"/>
    <k n="Abreviatura do câmbio" t="s"/>
    <k n="Hora da última transação" t="s"/>
  </s>
  <s>
    <k n="P/E" t="i"/>
    <k n="Alto" t="i"/>
    <k n="Nome" t="i"/>
    <k n="Baixo" t="i"/>
    <k n="Preço" t="i"/>
    <k n="Volume" t="i"/>
    <k n="Variação" t="i"/>
    <k n="Pendência" t="i"/>
    <k n="Variação (%)" t="i"/>
    <k n="`%EntityServiceId" t="i"/>
    <k n="52 semanas de alta" t="i"/>
    <k n="52 semanas de baixa" t="i"/>
    <k n="Fechamento anterior" t="i"/>
    <k n="Hora da última transação" t="i"/>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Média de volume" t="s"/>
    <k n="Símbolo do ticker" t="s"/>
    <k n="Ano de incorporação" t="s"/>
    <k n="Ações em circulação" t="s"/>
    <k n="Fechamento anterior" t="s"/>
    <k n="Tipo de instrumento" t="s"/>
    <k n="Abreviatura do câmbio" t="s"/>
    <k n="Capitalização de mercado" t="s"/>
    <k n="Hora da última transação"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Nome" t="s"/>
    <k n="Sede" t="s"/>
    <k n="Bolsa" t="s"/>
    <k n="Moeda" t="s"/>
    <k n="Setor" t="s"/>
    <k n="Descrição" t="s"/>
    <k n="ExchangeID" t="s"/>
    <k n="UniqueName" t="s"/>
    <k n="Nome oficial" t="s"/>
    <k n="%ProviderInfo" t="s"/>
    <k n="Símbolo do ticker" t="s"/>
    <k n="Ano de incorporação" t="s"/>
    <k n="Fechamento anterior" t="s"/>
    <k n="Tipo de instrumento" t="s"/>
    <k n="Abreviatura do câmbio" t="s"/>
  </s>
  <s>
    <k n="Nome" t="i"/>
    <k n="`%EntityServiceId" t="i"/>
    <k n="Ano de incorporação" t="i"/>
    <k n="Fechamento anterior" t="i"/>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Funcionários" t="i"/>
    <k n="Variação (%)" t="i"/>
    <k n="`%EntityServiceId" t="i"/>
    <k n="52 semanas de alta" t="i"/>
    <k n="52 semanas de baixa" t="i"/>
    <k n="Ano de incorporação" t="i"/>
    <k n="Ações em circulação" t="i"/>
    <k n="Fechamento anterior" t="i"/>
    <k n="Capitalização de mercado" t="i"/>
    <k n="Hora da última transação" t="i"/>
  </s>
  <s>
    <k n="Alto" t="s"/>
    <k n="Beta" t="s"/>
    <k n="Nome" t="s"/>
    <k n="Sede" t="s"/>
    <k n="Baixo" t="s"/>
    <k n="Bolsa" t="s"/>
    <k n="Moeda" t="s"/>
    <k n="Preço" t="s"/>
    <k n="Setor" t="s"/>
    <k n="Volume" t="s"/>
    <k n="Variação" t="s"/>
    <k n="Descrição" t="s"/>
    <k n="Pendência" t="s"/>
    <k n="ExchangeID" t="s"/>
    <k n="UniqueName" t="s"/>
    <k n="Nome oficial" t="s"/>
    <k n="Variação (%)" t="s"/>
    <k n="%ProviderInfo" t="s"/>
    <k n="LearnMoreOnLink"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Variação (%)" t="i"/>
    <k n="`%EntityServiceId" t="i"/>
    <k n="52 semanas de alta" t="i"/>
    <k n="52 semanas de baixa" t="i"/>
    <k n="Ano de incorporação" t="i"/>
    <k n="Ações em circulação" t="i"/>
    <k n="Fechamento anterior" t="i"/>
    <k n="Capitalização de mercado" t="i"/>
    <k n="Hora da última transação" t="i"/>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Símbolo do ticker" t="s"/>
    <k n="52 semanas de alta" t="s"/>
    <k n="52 semanas de baixa"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Funcionários" t="i"/>
    <k n="Variação (%)" t="i"/>
    <k n="`%EntityServiceId" t="i"/>
    <k n="52 semanas de alta" t="i"/>
    <k n="52 semanas de baixa" t="i"/>
    <k n="Ações em circulação" t="i"/>
    <k n="Fechamento anterior" t="i"/>
    <k n="Capitalização de mercado" t="i"/>
    <k n="Hora da última transação" t="i"/>
  </s>
  <s>
    <k n="Beta" t="s"/>
    <k n="Nome" t="s"/>
    <k n="Sede" t="s"/>
    <k n="Bolsa" t="s"/>
    <k n="Moeda" t="s"/>
    <k n="Preço" t="s"/>
    <k n="Setor" t="s"/>
    <k n="Variação" t="s"/>
    <k n="Descrição" t="s"/>
    <k n="ExchangeID" t="s"/>
    <k n="UniqueName" t="s"/>
    <k n="Funcionários" t="s"/>
    <k n="Nome oficial" t="s"/>
    <k n="Variação (%)" t="s"/>
    <k n="%ProviderInfo" t="s"/>
    <k n="LearnMoreOnLink" t="s"/>
    <k n="Símbolo do ticker" t="s"/>
    <k n="52 semanas de alta" t="s"/>
    <k n="52 semanas de baixa" t="s"/>
    <k n="Ações em circulação" t="s"/>
    <k n="Fechamento anterior" t="s"/>
    <k n="Tipo de instrumento" t="s"/>
    <k n="Abreviatura do câmbio" t="s"/>
    <k n="Hora da última transação" t="s"/>
  </s>
  <s>
    <k n="Beta" t="i"/>
    <k n="Nome" t="i"/>
    <k n="Preço" t="i"/>
    <k n="Variação" t="i"/>
    <k n="Funcionários" t="i"/>
    <k n="Variação (%)" t="i"/>
    <k n="`%EntityServiceId" t="i"/>
    <k n="52 semanas de alta" t="i"/>
    <k n="52 semanas de baixa" t="i"/>
    <k n="Ações em circulação" t="i"/>
    <k n="Fechamento anterior" t="i"/>
    <k n="Hora da última transação" t="i"/>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Símbolo do ticker" t="s"/>
    <k n="Ano de incorporação" t="s"/>
    <k n="Ações em circulação" t="s"/>
    <k n="Fechamento anterior" t="s"/>
    <k n="Tipo de instrumento" t="s"/>
    <k n="Abreviatura do câmbio" t="s"/>
    <k n="Capitalização de mercado" t="s"/>
    <k n="Hora da última transação" t="s"/>
  </s>
  <s>
    <k n="Alto" t="s"/>
    <k n="Nome" t="s"/>
    <k n="Sede" t="s"/>
    <k n="Baixo" t="s"/>
    <k n="Bolsa" t="s"/>
    <k n="Moeda" t="s"/>
    <k n="Preço" t="s"/>
    <k n="Setor" t="s"/>
    <k n="Volume" t="s"/>
    <k n="Variação" t="s"/>
    <k n="Descrição" t="s"/>
    <k n="Pendência" t="s"/>
    <k n="ExchangeID" t="s"/>
    <k n="UniqueName" t="s"/>
    <k n="Nome oficial" t="s"/>
    <k n="Variação (%)" t="s"/>
    <k n="%ProviderInfo" t="s"/>
    <k n="Símbolo do ticker" t="s"/>
    <k n="Ano de incorporação" t="s"/>
    <k n="Fechamento anterior" t="s"/>
    <k n="Tipo de instrumento" t="s"/>
    <k n="Abreviatura do câmbio" t="s"/>
    <k n="Hora da última transação" t="s"/>
  </s>
  <s>
    <k n="Alto" t="i"/>
    <k n="Nome" t="i"/>
    <k n="Baixo" t="i"/>
    <k n="Preço" t="i"/>
    <k n="Volume" t="i"/>
    <k n="Variação" t="i"/>
    <k n="Pendência" t="i"/>
    <k n="Variação (%)" t="i"/>
    <k n="`%EntityServiceId" t="i"/>
    <k n="Ano de incorporação" t="i"/>
    <k n="Fechamento anterior" t="i"/>
    <k n="Hora da última transação" t="i"/>
  </s>
  <s>
    <k n="Alto" t="s"/>
    <k n="Nome" t="s"/>
    <k n="Sede" t="s"/>
    <k n="Baixo" t="s"/>
    <k n="Bolsa" t="s"/>
    <k n="Moeda" t="s"/>
    <k n="Preço" t="s"/>
    <k n="Setor" t="s"/>
    <k n="Volume" t="s"/>
    <k n="Variação" t="s"/>
    <k n="Descrição" t="s"/>
    <k n="Pendência" t="s"/>
    <k n="ExchangeID" t="s"/>
    <k n="UniqueName" t="s"/>
    <k n="Funcionários" t="s"/>
    <k n="Nome oficial" t="s"/>
    <k n="Variação (%)" t="s"/>
    <k n="%ProviderInfo" t="s"/>
    <k n="Símbolo do ticker" t="s"/>
    <k n="Ano de incorporação" t="s"/>
    <k n="Fechamento anterior" t="s"/>
    <k n="Tipo de instrumento" t="s"/>
    <k n="Abreviatura do câmbio" t="s"/>
    <k n="Hora da última transação" t="s"/>
  </s>
  <s>
    <k n="Alto" t="i"/>
    <k n="Nome" t="i"/>
    <k n="Baixo" t="i"/>
    <k n="Preço" t="i"/>
    <k n="Volume" t="i"/>
    <k n="Variação" t="i"/>
    <k n="Pendência" t="i"/>
    <k n="Funcionários" t="i"/>
    <k n="Variação (%)" t="i"/>
    <k n="`%EntityServiceId" t="i"/>
    <k n="Ano de incorporação" t="i"/>
    <k n="Fechamento anterior" t="i"/>
    <k n="Hora da última transação" t="i"/>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Média de volume" t="s"/>
    <k n="Símbolo do ticker" t="s"/>
    <k n="Ano de incorporação" t="s"/>
    <k n="Ações em circulação" t="s"/>
    <k n="Fechamento anterior" t="s"/>
    <k n="Tipo de instrumento" t="s"/>
    <k n="Abreviatura do câmbio" t="s"/>
    <k n="Capitalização de mercado" t="s"/>
    <k n="Hora da última transação" t="s"/>
  </s>
  <s>
    <k n="Alto" t="s"/>
    <k n="Nome" t="s"/>
    <k n="Sede" t="s"/>
    <k n="Baixo" t="s"/>
    <k n="Bolsa" t="s"/>
    <k n="Moeda" t="s"/>
    <k n="Preço" t="s"/>
    <k n="Setor" t="s"/>
    <k n="Volume" t="s"/>
    <k n="Variação" t="s"/>
    <k n="Descrição" t="s"/>
    <k n="Pendência" t="s"/>
    <k n="ExchangeID" t="s"/>
    <k n="UniqueName" t="s"/>
    <k n="Funcionários" t="s"/>
    <k n="Nome oficial" t="s"/>
    <k n="Variação (%)" t="s"/>
    <k n="%ProviderInfo"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Nome" t="i"/>
    <k n="Baixo" t="i"/>
    <k n="Preço" t="i"/>
    <k n="Volume" t="i"/>
    <k n="Variação" t="i"/>
    <k n="Pendência" t="i"/>
    <k n="Funcionários" t="i"/>
    <k n="Variação (%)" t="i"/>
    <k n="`%EntityServiceId" t="i"/>
    <k n="52 semanas de alta" t="i"/>
    <k n="52 semanas de baixa" t="i"/>
    <k n="Ano de incorporação" t="i"/>
    <k n="Ações em circulação" t="i"/>
    <k n="Fechamento anterior" t="i"/>
    <k n="Capitalização de mercado" t="i"/>
    <k n="Hora da última transação" t="i"/>
  </s>
  <s>
    <k n="Alto" t="s"/>
    <k n="Nome" t="s"/>
    <k n="Sede" t="s"/>
    <k n="Baixo" t="s"/>
    <k n="Bolsa" t="s"/>
    <k n="Moeda" t="s"/>
    <k n="Preço" t="s"/>
    <k n="Setor" t="s"/>
    <k n="Volume" t="s"/>
    <k n="Variação" t="s"/>
    <k n="Descrição" t="s"/>
    <k n="Pendência" t="s"/>
    <k n="ExchangeID" t="s"/>
    <k n="UniqueName" t="s"/>
    <k n="Funcionários" t="s"/>
    <k n="Nome oficial" t="s"/>
    <k n="Variação (%)" t="s"/>
    <k n="%ProviderInfo" t="s"/>
    <k n="Símbolo do ticker" t="s"/>
    <k n="Ano de incorporação" t="s"/>
    <k n="Ações em circulação" t="s"/>
    <k n="Fechamento anterior" t="s"/>
    <k n="Tipo de instrumento" t="s"/>
    <k n="Abreviatura do câmbio" t="s"/>
    <k n="Capitalização de mercado" t="s"/>
    <k n="Hora da última transação" t="s"/>
  </s>
  <s>
    <k n="Alto" t="i"/>
    <k n="Nome" t="i"/>
    <k n="Baixo" t="i"/>
    <k n="Preço" t="i"/>
    <k n="Volume" t="i"/>
    <k n="Variação" t="i"/>
    <k n="Pendência" t="i"/>
    <k n="Funcionários" t="i"/>
    <k n="Variação (%)" t="i"/>
    <k n="`%EntityServiceId" t="i"/>
    <k n="Ano de incorporação" t="i"/>
    <k n="Ações em circulação" t="i"/>
    <k n="Fechamento anterior" t="i"/>
    <k n="Capitalização de mercado" t="i"/>
    <k n="Hora da última transação" t="i"/>
  </s>
  <s>
    <k n="Nome" t="s"/>
    <k n="Sede" t="s"/>
    <k n="Bolsa" t="s"/>
    <k n="Moeda" t="s"/>
    <k n="ExchangeID" t="s"/>
    <k n="UniqueName" t="s"/>
    <k n="Nome oficial" t="s"/>
    <k n="%ProviderInfo" t="s"/>
    <k n="Símbolo do ticker" t="s"/>
    <k n="Fechamento anterior" t="s"/>
    <k n="Tipo de instrumento" t="s"/>
    <k n="Abreviatura do câmbio" t="s"/>
  </s>
  <s>
    <k n="Nome" t="i"/>
    <k n="`%EntityServiceId" t="i"/>
    <k n="Fechamento anterior" t="i"/>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Símbolo do ticker" t="s"/>
    <k n="Ano de incorporação" t="s"/>
    <k n="Ações em circulação" t="s"/>
    <k n="Fechamento anterior" t="s"/>
    <k n="Tipo de instrumento" t="s"/>
    <k n="Abreviatura do câmbio" t="s"/>
    <k n="Capitalização de mercado" t="s"/>
    <k n="Hora da última transação" t="s"/>
  </s>
  <s>
    <k n="Alto" t="s"/>
    <k n="Nome" t="s"/>
    <k n="Sede" t="s"/>
    <k n="Baixo" t="s"/>
    <k n="Bolsa" t="s"/>
    <k n="Moeda" t="s"/>
    <k n="Preço" t="s"/>
    <k n="Volume" t="s"/>
    <k n="Variação" t="s"/>
    <k n="Pendência" t="s"/>
    <k n="ExchangeID" t="s"/>
    <k n="UniqueName" t="s"/>
    <k n="Nome oficial" t="s"/>
    <k n="Variação (%)" t="s"/>
    <k n="%ProviderInfo" t="s"/>
    <k n="LearnMoreOnLink" t="s"/>
    <k n="Símbolo do ticker" t="s"/>
    <k n="Fechamento anterior" t="s"/>
    <k n="Tipo de instrumento" t="s"/>
    <k n="Abreviatura do câmbio" t="s"/>
    <k n="Hora da última transação" t="s"/>
  </s>
  <s>
    <k n="P/E" t="s"/>
    <k n="Alto" t="s"/>
    <k n="Beta" t="s"/>
    <k n="Nome" t="s"/>
    <k n="Sede" t="s"/>
    <k n="Baixo" t="s"/>
    <k n="Bolsa" t="s"/>
    <k n="Moeda" t="s"/>
    <k n="Preço" t="s"/>
    <k n="Setor" t="s"/>
    <k n="Volume" t="s"/>
    <k n="Variação" t="s"/>
    <k n="Descrição" t="s"/>
    <k n="Pendência" t="s"/>
    <k n="ExchangeID" t="s"/>
    <k n="UniqueName" t="s"/>
    <k n="Nome oficial" t="s"/>
    <k n="Variação (%)" t="s"/>
    <k n="%ProviderInfo" t="s"/>
    <k n="LearnMoreOnLink" t="s"/>
    <k n="Símbolo do ticker" t="s"/>
    <k n="52 semanas de alta" t="s"/>
    <k n="52 semanas de baixa"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Variação (%)" t="i"/>
    <k n="`%EntityServiceId" t="i"/>
    <k n="52 semanas de alta" t="i"/>
    <k n="52 semanas de baixa" t="i"/>
    <k n="Ações em circulação" t="i"/>
    <k n="Fechamento anterior" t="i"/>
    <k n="Capitalização de mercado" t="i"/>
    <k n="Hora da última transação"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Pr n="IsHeroField" t="b"/>
  </richProperties>
  <richStyles>
    <rSty dxfid="5">
      <rpv i="0">#,##0.00</rpv>
    </rSty>
    <rSty dxfid="1">
      <rpv i="0">_([$€-x-euro2] * #,##0.00_);_([$€-x-euro2] * (#,##0.00);_([$€-x-euro2] * "-"??_);_(@_)</rpv>
    </rSty>
    <rSty>
      <rpv i="1">1</rpv>
    </rSty>
    <rSty dxfid="4">
      <rpv i="0">#,##0</rpv>
    </rSty>
    <rSty dxfid="3"/>
    <rSty dxfid="0">
      <rpv i="0">0.00</rpv>
    </rSty>
    <rSty dxfid="6">
      <rpv i="0">0</rpv>
    </rSty>
    <rSty dxfid="1">
      <rpv i="0">_([$€-x-euro2] * #,##0_);_([$€-x-euro2] * (#,##0);_([$€-x-euro2] * "-"_);_(@_)</rpv>
    </rSty>
    <rSty dxfid="2"/>
    <rSty>
      <rpv i="2">1</rpv>
    </rSty>
    <rSty dxfid="1">
      <rpv i="0">_([$$-en-US]* #,##0_);_([$$-en-US]* (#,##0);_([$$-en-US]* "-"_);_(@_)</rpv>
    </rSty>
    <rSty dxfid="1">
      <rpv i="0">_-[$£-en-GB]* #,##0_-;-[$£-en-GB]* #,##0_-;_-[$£-en-GB]* "-"_-;_-@_-</rpv>
    </rSty>
    <rSty dxfid="1">
      <rpv i="0">_-[$R$-pt-BR] * #,##0.00_-;-[$R$-pt-BR] * #,##0.00_-;_-[$R$-pt-BR] * "-"??_-;_-@_-</rpv>
    </rSty>
    <rSty dxfid="1">
      <rpv i="0">_-[$R$-pt-BR] * #,##0_-;-[$R$-pt-BR] * #,##0_-;_-[$R$-pt-BR] * "-"_-;_-@_-</rpv>
    </rSty>
    <rSty dxfid="1">
      <rpv i="0">_-* #,##0 [$zł-pl-PL]_-;-* #,##0 [$zł-pl-PL]_-;_-* "-" [$zł-pl-PL]_-;_-@_-</rpv>
    </rSty>
    <rSty dxfid="1">
      <rpv i="0">_-[$$-es-MX]* #,##0.00_-;-[$$-es-MX]* #,##0.00_-;_-[$$-es-MX]* "-"??_-;_-@_-</rpv>
    </rSty>
    <rSty dxfid="1">
      <rpv i="0">_-[$$-es-MX]* #,##0_-;-[$$-es-MX]* #,##0_-;_-[$$-es-MX]* "-"_-;_-@_-</rpv>
    </rSty>
    <rSty dxfid="1">
      <rpv i="0">_-[$$-en-AU]* #,##0_-;-[$$-en-AU]* #,##0_-;_-[$$-en-AU]* "-"_-;_-@_-</rpv>
    </rSty>
    <rSty dxfid="1">
      <rpv i="0">_([$$-en-US]* #,##0.00_);_([$$-en-US]* (#,##0.00);_([$$-en-US]* "-"??_);_(@_)</rpv>
    </rSty>
    <rSty dxfid="7"/>
  </richStyles>
</richStyleShee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C3745-C198-4E21-BC08-37C416618DDC}">
  <dimension ref="A2:O213"/>
  <sheetViews>
    <sheetView tabSelected="1" topLeftCell="E90" workbookViewId="0">
      <selection activeCell="J125" sqref="J125"/>
    </sheetView>
  </sheetViews>
  <sheetFormatPr defaultRowHeight="14.25" x14ac:dyDescent="0.2"/>
  <cols>
    <col min="2" max="2" width="17.75" customWidth="1"/>
    <col min="3" max="3" width="21.625" customWidth="1"/>
    <col min="4" max="4" width="27" customWidth="1"/>
    <col min="5" max="6" width="33.125" customWidth="1"/>
    <col min="7" max="7" width="38.5" customWidth="1"/>
    <col min="8" max="8" width="15.875" customWidth="1"/>
    <col min="9" max="9" width="14.25" customWidth="1"/>
    <col min="10" max="10" width="19.5" customWidth="1"/>
    <col min="11" max="11" width="19.625" customWidth="1"/>
    <col min="12" max="12" width="14.125" customWidth="1"/>
    <col min="13" max="13" width="15.875" customWidth="1"/>
    <col min="14" max="14" width="11.25" customWidth="1"/>
    <col min="15" max="15" width="10.625" customWidth="1"/>
  </cols>
  <sheetData>
    <row r="2" spans="1:15" s="1" customFormat="1" ht="15" x14ac:dyDescent="0.25">
      <c r="A2" s="1" t="s">
        <v>1072</v>
      </c>
      <c r="B2" s="1" t="s">
        <v>1073</v>
      </c>
      <c r="C2" s="12" t="s">
        <v>1071</v>
      </c>
      <c r="D2" s="1" t="s">
        <v>315</v>
      </c>
      <c r="E2" s="1" t="s">
        <v>112</v>
      </c>
      <c r="F2" s="3" t="s">
        <v>3</v>
      </c>
      <c r="G2" s="3" t="s">
        <v>1070</v>
      </c>
      <c r="H2" s="3" t="s">
        <v>0</v>
      </c>
      <c r="I2" s="3" t="s">
        <v>16</v>
      </c>
      <c r="J2" s="3" t="s">
        <v>309</v>
      </c>
      <c r="K2" s="3" t="s">
        <v>17</v>
      </c>
      <c r="L2" s="3" t="s">
        <v>18</v>
      </c>
      <c r="M2" s="3" t="s">
        <v>19</v>
      </c>
      <c r="N2" s="3" t="s">
        <v>316</v>
      </c>
      <c r="O2" s="3" t="s">
        <v>317</v>
      </c>
    </row>
    <row r="3" spans="1:15" s="1" customFormat="1" ht="15" x14ac:dyDescent="0.25">
      <c r="A3" s="1">
        <v>7</v>
      </c>
      <c r="B3" s="1" t="s">
        <v>314</v>
      </c>
      <c r="C3" s="10">
        <v>46057</v>
      </c>
      <c r="D3" s="1" t="s">
        <v>318</v>
      </c>
      <c r="E3" s="1" t="e" vm="1">
        <v>#VALUE!</v>
      </c>
      <c r="F3" s="3" t="str" cm="1">
        <f t="array" aca="1" ref="F3" ca="1">+_FV(E3,"Símbolo do ticker",TRUE)</f>
        <v>ITX</v>
      </c>
      <c r="G3" s="3" t="str" cm="1">
        <f t="array" aca="1" ref="G3" ca="1">+_FV(E3,"Setor")</f>
        <v>Specialty Retailers</v>
      </c>
      <c r="H3" s="3">
        <v>56.6</v>
      </c>
      <c r="I3" s="5" cm="1">
        <f t="array" aca="1" ref="I3" ca="1">+_FV(E3,"Preço")</f>
        <v>57.76</v>
      </c>
      <c r="J3" s="6">
        <f t="shared" ref="J3:J66" ca="1" si="0">+I3/H3-1</f>
        <v>2.0494699646643078E-2</v>
      </c>
      <c r="K3" s="3" t="s">
        <v>20</v>
      </c>
      <c r="L3" s="3" t="s">
        <v>319</v>
      </c>
      <c r="M3" s="3" t="s">
        <v>21</v>
      </c>
      <c r="N3" s="3" t="s">
        <v>320</v>
      </c>
      <c r="O3" s="3" t="s">
        <v>321</v>
      </c>
    </row>
    <row r="4" spans="1:15" x14ac:dyDescent="0.2">
      <c r="C4" s="11">
        <v>46057</v>
      </c>
      <c r="D4" t="s">
        <v>322</v>
      </c>
      <c r="E4" t="e" vm="2">
        <v>#VALUE!</v>
      </c>
      <c r="F4" s="4" t="str" cm="1">
        <f t="array" aca="1" ref="F4" ca="1">+_FV(E4,"Símbolo do ticker",TRUE)</f>
        <v>SAN</v>
      </c>
      <c r="G4" s="4" t="str" cm="1">
        <f t="array" aca="1" ref="G4" ca="1">+_FV(E4,"Setor")</f>
        <v>Banking Services</v>
      </c>
      <c r="H4" s="4">
        <v>10.7</v>
      </c>
      <c r="I4" s="7" cm="1">
        <f t="array" aca="1" ref="I4" ca="1">+_FV(E4,"Preço")</f>
        <v>12.566000000000001</v>
      </c>
      <c r="J4" s="8">
        <f t="shared" ca="1" si="0"/>
        <v>0.17439252336448607</v>
      </c>
      <c r="K4" s="4" t="s">
        <v>323</v>
      </c>
      <c r="L4" s="4" t="s">
        <v>324</v>
      </c>
      <c r="M4" s="4" t="s">
        <v>22</v>
      </c>
      <c r="N4" s="4" t="s">
        <v>325</v>
      </c>
      <c r="O4" s="4" t="s">
        <v>326</v>
      </c>
    </row>
    <row r="5" spans="1:15" x14ac:dyDescent="0.2">
      <c r="C5" s="11">
        <v>46057</v>
      </c>
      <c r="D5" t="s">
        <v>327</v>
      </c>
      <c r="E5" t="e" vm="3">
        <v>#VALUE!</v>
      </c>
      <c r="F5" s="4" t="str" cm="1">
        <f t="array" aca="1" ref="F5" ca="1">+_FV(E5,"Símbolo do ticker",TRUE)</f>
        <v>AIR</v>
      </c>
      <c r="G5" s="4" t="str" cm="1">
        <f t="array" aca="1" ref="G5" ca="1">+_FV(E5,"Setor")</f>
        <v>Aerospace &amp; Defense</v>
      </c>
      <c r="H5" s="4">
        <v>188.62</v>
      </c>
      <c r="I5" s="7" cm="1">
        <f t="array" aca="1" ref="I5" ca="1">+_FV(E5,"Preço")</f>
        <v>206.55</v>
      </c>
      <c r="J5" s="8">
        <f t="shared" ca="1" si="0"/>
        <v>9.5058848478422275E-2</v>
      </c>
      <c r="K5" s="4" t="s">
        <v>328</v>
      </c>
      <c r="L5" s="4" t="s">
        <v>329</v>
      </c>
      <c r="M5" s="4" t="s">
        <v>23</v>
      </c>
      <c r="N5" s="4" t="s">
        <v>330</v>
      </c>
      <c r="O5" s="4" t="s">
        <v>331</v>
      </c>
    </row>
    <row r="6" spans="1:15" x14ac:dyDescent="0.2">
      <c r="C6" s="11">
        <v>46057</v>
      </c>
      <c r="D6" t="s">
        <v>332</v>
      </c>
      <c r="E6" t="e" vm="4">
        <v>#VALUE!</v>
      </c>
      <c r="F6" s="4" t="str" cm="1">
        <f t="array" aca="1" ref="F6" ca="1">+_FV(E6,"Símbolo do ticker",TRUE)</f>
        <v>IBE</v>
      </c>
      <c r="G6" s="4" t="str" cm="1">
        <f t="array" aca="1" ref="G6" ca="1">+_FV(E6,"Setor")</f>
        <v>Electrical Utilities &amp; IPPs</v>
      </c>
      <c r="H6" s="4">
        <v>19.135000000000002</v>
      </c>
      <c r="I6" s="7" cm="1">
        <f t="array" aca="1" ref="I6" ca="1">+_FV(E6,"Preço")</f>
        <v>20.65</v>
      </c>
      <c r="J6" s="8">
        <f t="shared" ca="1" si="0"/>
        <v>7.9174287954010714E-2</v>
      </c>
      <c r="K6" s="4" t="s">
        <v>333</v>
      </c>
      <c r="L6" s="4" t="s">
        <v>334</v>
      </c>
      <c r="M6" s="4" t="s">
        <v>24</v>
      </c>
      <c r="N6" s="4" t="s">
        <v>335</v>
      </c>
      <c r="O6" s="4" t="s">
        <v>336</v>
      </c>
    </row>
    <row r="7" spans="1:15" x14ac:dyDescent="0.2">
      <c r="C7" s="11">
        <v>46057</v>
      </c>
      <c r="D7" t="s">
        <v>338</v>
      </c>
      <c r="E7" t="e" vm="5">
        <v>#VALUE!</v>
      </c>
      <c r="F7" s="4" t="str" cm="1">
        <f t="array" aca="1" ref="F7" ca="1">+_FV(E7,"Símbolo do ticker",TRUE)</f>
        <v>CABK</v>
      </c>
      <c r="G7" s="4" t="str" cm="1">
        <f t="array" aca="1" ref="G7" ca="1">+_FV(E7,"Setor")</f>
        <v>Banking Services</v>
      </c>
      <c r="H7" s="4">
        <v>11.41</v>
      </c>
      <c r="I7" s="7" cm="1">
        <f t="array" aca="1" ref="I7" ca="1">+_FV(E7,"Preço")</f>
        <v>12.53</v>
      </c>
      <c r="J7" s="8">
        <f t="shared" ca="1" si="0"/>
        <v>9.8159509202453865E-2</v>
      </c>
      <c r="K7" s="4" t="s">
        <v>339</v>
      </c>
      <c r="L7" s="4" t="s">
        <v>340</v>
      </c>
      <c r="M7" s="4" t="s">
        <v>25</v>
      </c>
      <c r="N7" s="4" t="s">
        <v>341</v>
      </c>
      <c r="O7" s="4" t="s">
        <v>342</v>
      </c>
    </row>
    <row r="8" spans="1:15" x14ac:dyDescent="0.2">
      <c r="C8" s="11">
        <v>46057</v>
      </c>
      <c r="D8" t="s">
        <v>343</v>
      </c>
      <c r="E8" t="e" vm="6">
        <v>#VALUE!</v>
      </c>
      <c r="F8" s="4" t="str" cm="1">
        <f t="array" aca="1" ref="F8" ca="1">+_FV(E8,"Símbolo do ticker",TRUE)</f>
        <v>FER</v>
      </c>
      <c r="G8" s="4" t="str" cm="1">
        <f t="array" aca="1" ref="G8" ca="1">+_FV(E8,"Setor")</f>
        <v>Construction &amp; Engineering</v>
      </c>
      <c r="H8" s="4">
        <v>57.62</v>
      </c>
      <c r="I8" s="7" cm="1">
        <f t="array" aca="1" ref="I8" ca="1">+_FV(E8,"Preço")</f>
        <v>57.26</v>
      </c>
      <c r="J8" s="8">
        <f t="shared" ca="1" si="0"/>
        <v>-6.2478306143699536E-3</v>
      </c>
      <c r="K8" s="4" t="s">
        <v>344</v>
      </c>
      <c r="L8" s="4" t="s">
        <v>345</v>
      </c>
      <c r="M8" s="4" t="s">
        <v>26</v>
      </c>
      <c r="N8" s="4" t="s">
        <v>346</v>
      </c>
      <c r="O8" s="4" t="s">
        <v>347</v>
      </c>
    </row>
    <row r="9" spans="1:15" x14ac:dyDescent="0.2">
      <c r="C9" s="11">
        <v>46057</v>
      </c>
      <c r="D9" t="s">
        <v>348</v>
      </c>
      <c r="E9" t="e" vm="7">
        <v>#VALUE!</v>
      </c>
      <c r="F9" s="4" t="str" cm="1">
        <f t="array" aca="1" ref="F9" ca="1">+_FV(E9,"Símbolo do ticker",TRUE)</f>
        <v>AENA</v>
      </c>
      <c r="G9" s="4" t="str" cm="1">
        <f t="array" aca="1" ref="G9" ca="1">+_FV(E9,"Setor")</f>
        <v>Transport Infrastructure</v>
      </c>
      <c r="H9" s="4">
        <v>26.99</v>
      </c>
      <c r="I9" s="7" cm="1">
        <f t="array" aca="1" ref="I9" ca="1">+_FV(E9,"Preço")</f>
        <v>26.82</v>
      </c>
      <c r="J9" s="8">
        <f t="shared" ca="1" si="0"/>
        <v>-6.298629121896937E-3</v>
      </c>
      <c r="K9" s="4" t="s">
        <v>349</v>
      </c>
      <c r="L9" s="4" t="s">
        <v>350</v>
      </c>
      <c r="M9" s="4" t="s">
        <v>113</v>
      </c>
      <c r="N9" s="4" t="s">
        <v>351</v>
      </c>
      <c r="O9" s="4" t="s">
        <v>352</v>
      </c>
    </row>
    <row r="10" spans="1:15" x14ac:dyDescent="0.2">
      <c r="C10" s="11">
        <v>46057</v>
      </c>
      <c r="D10" t="s">
        <v>353</v>
      </c>
      <c r="E10" t="e" vm="8">
        <v>#VALUE!</v>
      </c>
      <c r="F10" s="4" t="str" cm="1">
        <f t="array" aca="1" ref="F10" ca="1">+_FV(E10,"Símbolo do ticker",TRUE)</f>
        <v>CCEP</v>
      </c>
      <c r="G10" s="4" t="str" cm="1">
        <f t="array" aca="1" ref="G10" ca="1">+_FV(E10,"Setor")</f>
        <v>Beverages</v>
      </c>
      <c r="H10" s="4">
        <v>80.3</v>
      </c>
      <c r="I10" s="7" cm="1">
        <f t="array" aca="1" ref="I10" ca="1">+_FV(E10,"Preço")</f>
        <v>94.3</v>
      </c>
      <c r="J10" s="8">
        <f t="shared" ca="1" si="0"/>
        <v>0.17434620174346205</v>
      </c>
      <c r="K10" s="4" t="s">
        <v>354</v>
      </c>
      <c r="L10" s="4" t="s">
        <v>355</v>
      </c>
      <c r="M10" s="4" t="s">
        <v>114</v>
      </c>
      <c r="N10" s="4" t="s">
        <v>356</v>
      </c>
      <c r="O10" s="4" t="s">
        <v>357</v>
      </c>
    </row>
    <row r="11" spans="1:15" x14ac:dyDescent="0.2">
      <c r="C11" s="11">
        <v>46057</v>
      </c>
      <c r="D11" t="s">
        <v>358</v>
      </c>
      <c r="E11" t="e" vm="9">
        <v>#VALUE!</v>
      </c>
      <c r="F11" s="4" t="str" cm="1">
        <f t="array" aca="1" ref="F11" ca="1">+_FV(E11,"Símbolo do ticker",TRUE)</f>
        <v>MTS</v>
      </c>
      <c r="G11" s="4" t="str" cm="1">
        <f t="array" aca="1" ref="G11" ca="1">+_FV(E11,"Setor")</f>
        <v>Metals &amp; Mining</v>
      </c>
      <c r="H11" s="4">
        <v>47.56</v>
      </c>
      <c r="I11" s="7" cm="1">
        <f t="array" aca="1" ref="I11" ca="1">+_FV(E11,"Preço")</f>
        <v>61.8</v>
      </c>
      <c r="J11" s="8">
        <f t="shared" ca="1" si="0"/>
        <v>0.29941126997476863</v>
      </c>
      <c r="K11" s="4" t="s">
        <v>359</v>
      </c>
      <c r="L11" s="4" t="s">
        <v>360</v>
      </c>
      <c r="M11" s="4" t="s">
        <v>361</v>
      </c>
      <c r="N11" s="4" t="s">
        <v>362</v>
      </c>
      <c r="O11" s="4" t="s">
        <v>363</v>
      </c>
    </row>
    <row r="12" spans="1:15" x14ac:dyDescent="0.2">
      <c r="C12" s="11">
        <v>46057</v>
      </c>
      <c r="D12" t="s">
        <v>364</v>
      </c>
      <c r="E12" t="e" vm="10">
        <v>#VALUE!</v>
      </c>
      <c r="F12" s="4" t="str" cm="1">
        <f t="array" aca="1" ref="F12" ca="1">+_FV(E12,"Símbolo do ticker",TRUE)</f>
        <v>ELE</v>
      </c>
      <c r="G12" s="4" t="str" cm="1">
        <f t="array" aca="1" ref="G12" ca="1">+_FV(E12,"Setor")</f>
        <v>Electrical Utilities &amp; IPPs</v>
      </c>
      <c r="H12" s="4">
        <v>31.35</v>
      </c>
      <c r="I12" s="7" cm="1">
        <f t="array" aca="1" ref="I12" ca="1">+_FV(E12,"Preço")</f>
        <v>42.19</v>
      </c>
      <c r="J12" s="8">
        <f t="shared" ca="1" si="0"/>
        <v>0.34577352472089307</v>
      </c>
      <c r="K12" s="4" t="s">
        <v>365</v>
      </c>
      <c r="L12" s="4" t="s">
        <v>366</v>
      </c>
      <c r="M12" s="4" t="s">
        <v>27</v>
      </c>
      <c r="N12" s="4" t="s">
        <v>367</v>
      </c>
      <c r="O12" s="4" t="s">
        <v>336</v>
      </c>
    </row>
    <row r="13" spans="1:15" x14ac:dyDescent="0.2">
      <c r="C13" s="11">
        <v>46057</v>
      </c>
      <c r="D13" t="s">
        <v>368</v>
      </c>
      <c r="E13" t="e" vm="11">
        <v>#VALUE!</v>
      </c>
      <c r="F13" s="4" t="str" cm="1">
        <f t="array" aca="1" ref="F13" ca="1">+_FV(E13,"Símbolo do ticker",TRUE)</f>
        <v>NTGY</v>
      </c>
      <c r="G13" s="4" t="str" cm="1">
        <f t="array" aca="1" ref="G13" ca="1">+_FV(E13,"Setor")</f>
        <v>Natural Gas Utilities</v>
      </c>
      <c r="H13" s="4">
        <v>26.64</v>
      </c>
      <c r="I13" s="7" cm="1">
        <f t="array" aca="1" ref="I13" ca="1">+_FV(E13,"Preço")</f>
        <v>28.74</v>
      </c>
      <c r="J13" s="8">
        <f t="shared" ca="1" si="0"/>
        <v>7.8828828828828801E-2</v>
      </c>
      <c r="K13" s="4" t="s">
        <v>28</v>
      </c>
      <c r="L13" s="4" t="s">
        <v>369</v>
      </c>
      <c r="M13" s="4" t="s">
        <v>29</v>
      </c>
      <c r="N13" s="4" t="s">
        <v>370</v>
      </c>
      <c r="O13" s="4" t="s">
        <v>371</v>
      </c>
    </row>
    <row r="14" spans="1:15" x14ac:dyDescent="0.2">
      <c r="C14" s="11">
        <v>46057</v>
      </c>
      <c r="D14" t="s">
        <v>1074</v>
      </c>
      <c r="E14" t="e" vm="12">
        <v>#VALUE!</v>
      </c>
      <c r="F14" s="4" t="str" cm="1">
        <f t="array" aca="1" ref="F14" ca="1">+_FV(E14,"Símbolo do ticker",TRUE)</f>
        <v>ACS</v>
      </c>
      <c r="G14" s="4" t="str" cm="1">
        <f t="array" aca="1" ref="G14" ca="1">+_FV(E14,"Setor")</f>
        <v>Construction &amp; Engineering</v>
      </c>
      <c r="H14" s="4">
        <v>93.45</v>
      </c>
      <c r="I14" s="7" cm="1">
        <f t="array" aca="1" ref="I14" ca="1">+_FV(E14,"Preço")</f>
        <v>110.2</v>
      </c>
      <c r="J14" s="8">
        <f t="shared" ca="1" si="0"/>
        <v>0.17924023542001066</v>
      </c>
      <c r="K14" s="4" t="s">
        <v>372</v>
      </c>
      <c r="L14" s="4" t="s">
        <v>373</v>
      </c>
      <c r="M14" s="4" t="s">
        <v>31</v>
      </c>
      <c r="N14" s="4" t="s">
        <v>374</v>
      </c>
      <c r="O14" s="4" t="s">
        <v>375</v>
      </c>
    </row>
    <row r="15" spans="1:15" s="1" customFormat="1" ht="15" x14ac:dyDescent="0.25">
      <c r="A15" s="1">
        <v>9</v>
      </c>
      <c r="B15" s="1" t="s">
        <v>312</v>
      </c>
      <c r="C15" s="10">
        <v>46057</v>
      </c>
      <c r="D15" s="1" t="s">
        <v>376</v>
      </c>
      <c r="E15" s="1" t="e" vm="13">
        <v>#VALUE!</v>
      </c>
      <c r="F15" s="3" t="str" cm="1">
        <f t="array" aca="1" ref="F15" ca="1">+_FV(E15,"Símbolo do ticker",TRUE)</f>
        <v>AMS</v>
      </c>
      <c r="G15" s="3" t="str" cm="1">
        <f t="array" aca="1" ref="G15" ca="1">+_FV(E15,"Setor")</f>
        <v>Software &amp; IT Services</v>
      </c>
      <c r="H15" s="3">
        <v>53.5</v>
      </c>
      <c r="I15" s="5" cm="1">
        <f t="array" aca="1" ref="I15" ca="1">+_FV(E15,"Preço")</f>
        <v>55.32</v>
      </c>
      <c r="J15" s="6">
        <f t="shared" ca="1" si="0"/>
        <v>3.4018691588785011E-2</v>
      </c>
      <c r="K15" s="3" t="s">
        <v>377</v>
      </c>
      <c r="L15" s="3" t="s">
        <v>378</v>
      </c>
      <c r="M15" s="3" t="s">
        <v>30</v>
      </c>
      <c r="N15" s="3" t="s">
        <v>379</v>
      </c>
      <c r="O15" s="3" t="s">
        <v>380</v>
      </c>
    </row>
    <row r="16" spans="1:15" s="1" customFormat="1" ht="15" x14ac:dyDescent="0.25">
      <c r="A16" s="1">
        <v>9</v>
      </c>
      <c r="B16" s="1" t="s">
        <v>1061</v>
      </c>
      <c r="C16" s="10">
        <v>46057</v>
      </c>
      <c r="D16" s="1" t="s">
        <v>381</v>
      </c>
      <c r="E16" s="1" t="e" vm="14">
        <v>#VALUE!</v>
      </c>
      <c r="F16" s="3" t="str" cm="1">
        <f t="array" aca="1" ref="F16" ca="1">+_FV(E16,"Símbolo do ticker",TRUE)</f>
        <v>IAG</v>
      </c>
      <c r="G16" s="3" t="str" cm="1">
        <f t="array" aca="1" ref="G16" ca="1">+_FV(E16,"Setor")</f>
        <v>Passenger Transportation Services</v>
      </c>
      <c r="H16" s="3">
        <v>4.9980000000000002</v>
      </c>
      <c r="I16" s="5" cm="1">
        <f t="array" aca="1" ref="I16" ca="1">+_FV(E16,"Preço")</f>
        <v>5.0640000000000001</v>
      </c>
      <c r="J16" s="6">
        <f t="shared" ca="1" si="0"/>
        <v>1.3205282112844996E-2</v>
      </c>
      <c r="K16" s="3" t="s">
        <v>382</v>
      </c>
      <c r="L16" s="3" t="s">
        <v>383</v>
      </c>
      <c r="M16" s="3" t="s">
        <v>384</v>
      </c>
      <c r="N16" s="3" t="s">
        <v>385</v>
      </c>
      <c r="O16" s="3" t="s">
        <v>386</v>
      </c>
    </row>
    <row r="17" spans="1:15" x14ac:dyDescent="0.2">
      <c r="C17" s="11">
        <v>46057</v>
      </c>
      <c r="D17" t="s">
        <v>387</v>
      </c>
      <c r="E17" t="e" vm="15">
        <v>#VALUE!</v>
      </c>
      <c r="F17" s="4" t="str" cm="1">
        <f t="array" aca="1" ref="F17" ca="1">+_FV(E17,"Símbolo do ticker",TRUE)</f>
        <v>TEF</v>
      </c>
      <c r="G17" s="4" t="str" cm="1">
        <f t="array" aca="1" ref="G17" ca="1">+_FV(E17,"Setor")</f>
        <v>Telecommunications Services</v>
      </c>
      <c r="H17" s="4">
        <v>3.6589999999999998</v>
      </c>
      <c r="I17" s="7" cm="1">
        <f t="array" aca="1" ref="I17" ca="1">+_FV(E17,"Preço")</f>
        <v>3.6640000000000001</v>
      </c>
      <c r="J17" s="8">
        <f t="shared" ca="1" si="0"/>
        <v>1.366493577480199E-3</v>
      </c>
      <c r="K17" s="4" t="s">
        <v>388</v>
      </c>
      <c r="L17" s="4" t="s">
        <v>389</v>
      </c>
      <c r="M17" s="4" t="s">
        <v>32</v>
      </c>
      <c r="N17" s="4" t="s">
        <v>390</v>
      </c>
      <c r="O17" s="4" t="s">
        <v>391</v>
      </c>
    </row>
    <row r="18" spans="1:15" x14ac:dyDescent="0.2">
      <c r="C18" s="11">
        <v>46057</v>
      </c>
      <c r="D18" t="s">
        <v>392</v>
      </c>
      <c r="E18" t="e" vm="16">
        <v>#VALUE!</v>
      </c>
      <c r="F18" s="4" t="str" cm="1">
        <f t="array" aca="1" ref="F18" ca="1">+_FV(E18,"Símbolo do ticker",TRUE)</f>
        <v>REP</v>
      </c>
      <c r="G18" s="4" t="str" cm="1">
        <f t="array" aca="1" ref="G18" ca="1">+_FV(E18,"Setor")</f>
        <v>Oil &amp; Gas</v>
      </c>
      <c r="H18" s="4">
        <v>16.504999999999999</v>
      </c>
      <c r="I18" s="7" cm="1">
        <f t="array" aca="1" ref="I18" ca="1">+_FV(E18,"Preço")</f>
        <v>26.04</v>
      </c>
      <c r="J18" s="8">
        <f t="shared" ca="1" si="0"/>
        <v>0.57770372614359289</v>
      </c>
      <c r="K18" s="4" t="s">
        <v>393</v>
      </c>
      <c r="L18" s="4" t="s">
        <v>394</v>
      </c>
      <c r="M18" s="4" t="s">
        <v>33</v>
      </c>
      <c r="N18" s="4" t="s">
        <v>395</v>
      </c>
      <c r="O18" s="4" t="s">
        <v>396</v>
      </c>
    </row>
    <row r="19" spans="1:15" s="1" customFormat="1" ht="15" x14ac:dyDescent="0.25">
      <c r="A19" s="1">
        <v>6</v>
      </c>
      <c r="B19" s="1" t="s">
        <v>311</v>
      </c>
      <c r="C19" s="10">
        <v>46057</v>
      </c>
      <c r="D19" s="1" t="s">
        <v>397</v>
      </c>
      <c r="E19" s="1" t="e" vm="17">
        <v>#VALUE!</v>
      </c>
      <c r="F19" s="3" t="str" cm="1">
        <f t="array" aca="1" ref="F19" ca="1">+_FV(E19,"Símbolo do ticker",TRUE)</f>
        <v>CLNX</v>
      </c>
      <c r="G19" s="3" t="str" cm="1">
        <f t="array" aca="1" ref="G19" ca="1">+_FV(E19,"Setor")</f>
        <v>Telecommunications Services</v>
      </c>
      <c r="H19" s="3">
        <v>27.73</v>
      </c>
      <c r="I19" s="5" cm="1">
        <f t="array" aca="1" ref="I19" ca="1">+_FV(E19,"Preço")</f>
        <v>26.6</v>
      </c>
      <c r="J19" s="6">
        <f t="shared" ca="1" si="0"/>
        <v>-4.0750090155066698E-2</v>
      </c>
      <c r="K19" s="3" t="s">
        <v>398</v>
      </c>
      <c r="L19" s="3" t="s">
        <v>399</v>
      </c>
      <c r="M19" s="3" t="s">
        <v>57</v>
      </c>
      <c r="N19" s="3" t="s">
        <v>400</v>
      </c>
      <c r="O19" s="3" t="s">
        <v>401</v>
      </c>
    </row>
    <row r="20" spans="1:15" x14ac:dyDescent="0.2">
      <c r="C20" s="11">
        <v>46057</v>
      </c>
      <c r="D20" t="s">
        <v>402</v>
      </c>
      <c r="E20" t="e" vm="18">
        <v>#VALUE!</v>
      </c>
      <c r="F20" s="4" t="str" cm="1">
        <f t="array" aca="1" ref="F20" ca="1">+_FV(E20,"Símbolo do ticker",TRUE)</f>
        <v>SAB</v>
      </c>
      <c r="G20" s="4" t="str" cm="1">
        <f t="array" aca="1" ref="G20" ca="1">+_FV(E20,"Setor")</f>
        <v>Banking Services</v>
      </c>
      <c r="H20" s="4">
        <v>3.3919999999999999</v>
      </c>
      <c r="I20" s="7" cm="1">
        <f t="array" aca="1" ref="I20" ca="1">+_FV(E20,"Preço")</f>
        <v>3.3769999999999998</v>
      </c>
      <c r="J20" s="8">
        <f t="shared" ca="1" si="0"/>
        <v>-4.4221698113208197E-3</v>
      </c>
      <c r="K20" s="4" t="s">
        <v>403</v>
      </c>
      <c r="L20" s="4" t="s">
        <v>34</v>
      </c>
      <c r="M20" s="4" t="s">
        <v>25</v>
      </c>
      <c r="N20" s="4" t="s">
        <v>404</v>
      </c>
      <c r="O20" s="4" t="s">
        <v>336</v>
      </c>
    </row>
    <row r="21" spans="1:15" x14ac:dyDescent="0.2">
      <c r="C21" s="11">
        <v>46057</v>
      </c>
      <c r="D21" t="s">
        <v>405</v>
      </c>
      <c r="E21" t="e" vm="19">
        <v>#VALUE!</v>
      </c>
      <c r="F21" s="4" t="str" cm="1">
        <f t="array" aca="1" ref="F21" ca="1">+_FV(E21,"Símbolo do ticker",TRUE)</f>
        <v>BKT</v>
      </c>
      <c r="G21" s="4" t="str" cm="1">
        <f t="array" aca="1" ref="G21" ca="1">+_FV(E21,"Setor")</f>
        <v>Banking Services</v>
      </c>
      <c r="H21" s="4">
        <v>14.79</v>
      </c>
      <c r="I21" s="7" cm="1">
        <f t="array" aca="1" ref="I21" ca="1">+_FV(E21,"Preço")</f>
        <v>15.895</v>
      </c>
      <c r="J21" s="8">
        <f t="shared" ca="1" si="0"/>
        <v>7.4712643678160884E-2</v>
      </c>
      <c r="K21" s="4" t="s">
        <v>406</v>
      </c>
      <c r="L21" s="4" t="s">
        <v>407</v>
      </c>
      <c r="M21" s="4" t="s">
        <v>35</v>
      </c>
      <c r="N21" s="4"/>
      <c r="O21" s="4" t="s">
        <v>408</v>
      </c>
    </row>
    <row r="22" spans="1:15" x14ac:dyDescent="0.2">
      <c r="C22" s="11">
        <v>46057</v>
      </c>
      <c r="D22" t="s">
        <v>409</v>
      </c>
      <c r="E22" t="e" vm="20">
        <v>#VALUE!</v>
      </c>
      <c r="F22" s="4" t="str" cm="1">
        <f t="array" aca="1" ref="F22" ca="1">+_FV(E22,"Símbolo do ticker",TRUE)</f>
        <v>MAP</v>
      </c>
      <c r="G22" s="4" t="str" cm="1">
        <f t="array" aca="1" ref="G22" ca="1">+_FV(E22,"Setor")</f>
        <v>Insurance</v>
      </c>
      <c r="H22" s="4">
        <v>3.93</v>
      </c>
      <c r="I22" s="7" cm="1">
        <f t="array" aca="1" ref="I22" ca="1">+_FV(E22,"Preço")</f>
        <v>4.4240000000000004</v>
      </c>
      <c r="J22" s="8">
        <f t="shared" ca="1" si="0"/>
        <v>0.12569974554707386</v>
      </c>
      <c r="K22" s="4" t="s">
        <v>410</v>
      </c>
      <c r="L22" s="4" t="s">
        <v>411</v>
      </c>
      <c r="M22" s="4" t="s">
        <v>36</v>
      </c>
      <c r="N22" s="4" t="s">
        <v>412</v>
      </c>
      <c r="O22" s="4" t="s">
        <v>413</v>
      </c>
    </row>
    <row r="23" spans="1:15" s="1" customFormat="1" ht="15" x14ac:dyDescent="0.25">
      <c r="A23" s="1">
        <v>5</v>
      </c>
      <c r="B23" s="1" t="s">
        <v>1062</v>
      </c>
      <c r="C23" s="10">
        <v>46057</v>
      </c>
      <c r="D23" s="1" t="s">
        <v>414</v>
      </c>
      <c r="E23" s="1" t="e" vm="21">
        <v>#VALUE!</v>
      </c>
      <c r="F23" s="3" t="str" cm="1">
        <f t="array" aca="1" ref="F23" ca="1">+_FV(E23,"Símbolo do ticker",TRUE)</f>
        <v>ANA</v>
      </c>
      <c r="G23" s="3" t="str" cm="1">
        <f t="array" aca="1" ref="G23" ca="1">+_FV(E23,"Setor")</f>
        <v>Construction &amp; Engineering</v>
      </c>
      <c r="H23" s="3">
        <v>182.3</v>
      </c>
      <c r="I23" s="5" cm="1">
        <f t="array" aca="1" ref="I23" ca="1">+_FV(E23,"Preço")</f>
        <v>231.2</v>
      </c>
      <c r="J23" s="6">
        <f t="shared" ca="1" si="0"/>
        <v>0.26823916620954447</v>
      </c>
      <c r="K23" s="3" t="s">
        <v>415</v>
      </c>
      <c r="L23" s="3" t="s">
        <v>416</v>
      </c>
      <c r="M23" s="3" t="s">
        <v>37</v>
      </c>
      <c r="N23" s="3" t="s">
        <v>417</v>
      </c>
      <c r="O23" s="3" t="s">
        <v>418</v>
      </c>
    </row>
    <row r="24" spans="1:15" ht="15" x14ac:dyDescent="0.25">
      <c r="A24" s="1">
        <v>9</v>
      </c>
      <c r="B24" s="1" t="s">
        <v>1063</v>
      </c>
      <c r="C24" s="11">
        <v>46057</v>
      </c>
      <c r="D24" t="s">
        <v>419</v>
      </c>
      <c r="E24" t="e" vm="22">
        <v>#VALUE!</v>
      </c>
      <c r="F24" s="4" t="str" cm="1">
        <f t="array" aca="1" ref="F24" ca="1">+_FV(E24,"Símbolo do ticker",TRUE)</f>
        <v>PUIG</v>
      </c>
      <c r="G24" s="4" t="str" cm="1">
        <f t="array" aca="1" ref="G24" ca="1">+_FV(E24,"Setor")</f>
        <v>Specialty Retailers</v>
      </c>
      <c r="H24" s="4">
        <v>17.309999999999999</v>
      </c>
      <c r="I24" s="7" cm="1">
        <f t="array" aca="1" ref="I24" ca="1">+_FV(E24,"Preço")</f>
        <v>16.47</v>
      </c>
      <c r="J24" s="8">
        <f t="shared" ca="1" si="0"/>
        <v>-4.8526863084922045E-2</v>
      </c>
      <c r="K24" s="4" t="s">
        <v>420</v>
      </c>
      <c r="L24" s="4" t="s">
        <v>421</v>
      </c>
      <c r="M24" s="4" t="s">
        <v>116</v>
      </c>
      <c r="N24" s="4" t="s">
        <v>422</v>
      </c>
      <c r="O24" s="4" t="s">
        <v>423</v>
      </c>
    </row>
    <row r="25" spans="1:15" s="1" customFormat="1" ht="15" x14ac:dyDescent="0.25">
      <c r="B25" s="1" t="s">
        <v>1344</v>
      </c>
      <c r="C25" s="10">
        <v>46057</v>
      </c>
      <c r="D25" s="1" t="s">
        <v>424</v>
      </c>
      <c r="E25" s="1" t="e" vm="23">
        <v>#VALUE!</v>
      </c>
      <c r="F25" s="3" t="str" cm="1">
        <f t="array" aca="1" ref="F25" ca="1">+_FV(E25,"Símbolo do ticker",TRUE)</f>
        <v>IDR</v>
      </c>
      <c r="G25" s="3" t="str" cm="1">
        <f t="array" aca="1" ref="G25" ca="1">+_FV(E25,"Setor")</f>
        <v>Software &amp; IT Services</v>
      </c>
      <c r="H25" s="3">
        <v>46.8</v>
      </c>
      <c r="I25" s="5" cm="1">
        <f t="array" aca="1" ref="I25" ca="1">+_FV(E25,"Preço")</f>
        <v>58.58</v>
      </c>
      <c r="J25" s="6">
        <f t="shared" ca="1" si="0"/>
        <v>0.2517094017094017</v>
      </c>
      <c r="K25" s="3" t="s">
        <v>425</v>
      </c>
      <c r="L25" s="3" t="s">
        <v>426</v>
      </c>
      <c r="M25" s="3" t="s">
        <v>38</v>
      </c>
      <c r="N25" s="3" t="s">
        <v>427</v>
      </c>
      <c r="O25" s="3" t="s">
        <v>336</v>
      </c>
    </row>
    <row r="26" spans="1:15" x14ac:dyDescent="0.2">
      <c r="C26" s="11">
        <v>46057</v>
      </c>
      <c r="D26" t="s">
        <v>428</v>
      </c>
      <c r="E26" t="e" vm="24">
        <v>#VALUE!</v>
      </c>
      <c r="F26" s="4" t="str" cm="1">
        <f t="array" aca="1" ref="F26" ca="1">+_FV(E26,"Símbolo do ticker",TRUE)</f>
        <v>RED</v>
      </c>
      <c r="G26" s="4" t="str" cm="1">
        <f t="array" aca="1" ref="G26" ca="1">+_FV(E26,"Setor")</f>
        <v>Electrical Utilities &amp; IPPs</v>
      </c>
      <c r="H26" s="4">
        <v>14.99</v>
      </c>
      <c r="I26" s="7" cm="1">
        <f t="array" aca="1" ref="I26" ca="1">+_FV(E26,"Preço")</f>
        <v>15.44</v>
      </c>
      <c r="J26" s="8">
        <f t="shared" ca="1" si="0"/>
        <v>3.0020013342228147E-2</v>
      </c>
      <c r="K26" s="4" t="s">
        <v>39</v>
      </c>
      <c r="L26" s="4" t="s">
        <v>429</v>
      </c>
      <c r="M26" s="4" t="s">
        <v>40</v>
      </c>
      <c r="N26" s="4" t="s">
        <v>430</v>
      </c>
      <c r="O26" s="4" t="s">
        <v>371</v>
      </c>
    </row>
    <row r="27" spans="1:15" x14ac:dyDescent="0.2">
      <c r="C27" s="11">
        <v>46057</v>
      </c>
      <c r="D27" t="s">
        <v>431</v>
      </c>
      <c r="E27" t="e" vm="25">
        <v>#VALUE!</v>
      </c>
      <c r="F27" s="4" t="str" cm="1">
        <f t="array" aca="1" ref="F27" ca="1">+_FV(E27,"Símbolo do ticker",TRUE)</f>
        <v>UNI</v>
      </c>
      <c r="G27" s="4" t="str" cm="1">
        <f t="array" aca="1" ref="G27" ca="1">+_FV(E27,"Setor")</f>
        <v>Banking Services</v>
      </c>
      <c r="H27" s="4">
        <v>2.8159999999999998</v>
      </c>
      <c r="I27" s="7" cm="1">
        <f t="array" aca="1" ref="I27" ca="1">+_FV(E27,"Preço")</f>
        <v>3.3740000000000001</v>
      </c>
      <c r="J27" s="8">
        <f t="shared" ca="1" si="0"/>
        <v>0.19815340909090917</v>
      </c>
      <c r="K27" s="4" t="s">
        <v>432</v>
      </c>
      <c r="L27" s="4" t="s">
        <v>433</v>
      </c>
      <c r="M27" s="4" t="s">
        <v>117</v>
      </c>
      <c r="N27" s="4" t="s">
        <v>434</v>
      </c>
      <c r="O27" s="4" t="s">
        <v>435</v>
      </c>
    </row>
    <row r="28" spans="1:15" x14ac:dyDescent="0.2">
      <c r="C28" s="11">
        <v>46057</v>
      </c>
      <c r="D28" t="s">
        <v>436</v>
      </c>
      <c r="E28" t="e" vm="26">
        <v>#VALUE!</v>
      </c>
      <c r="F28" s="4" t="str" cm="1">
        <f t="array" aca="1" ref="F28" ca="1">+_FV(E28,"Símbolo do ticker",TRUE)</f>
        <v>MRL</v>
      </c>
      <c r="G28" s="4" t="str" cm="1">
        <f t="array" aca="1" ref="G28" ca="1">+_FV(E28,"Setor")</f>
        <v>Residential &amp; Commercial REIT</v>
      </c>
      <c r="H28" s="4">
        <v>12.84</v>
      </c>
      <c r="I28" s="7" cm="1">
        <f t="array" aca="1" ref="I28" ca="1">+_FV(E28,"Preço")</f>
        <v>14.75</v>
      </c>
      <c r="J28" s="8">
        <f t="shared" ca="1" si="0"/>
        <v>0.14875389408099693</v>
      </c>
      <c r="K28" s="4" t="s">
        <v>437</v>
      </c>
      <c r="L28" s="4" t="s">
        <v>438</v>
      </c>
      <c r="M28" s="4" t="s">
        <v>118</v>
      </c>
      <c r="N28" s="4" t="s">
        <v>439</v>
      </c>
      <c r="O28" s="4" t="s">
        <v>321</v>
      </c>
    </row>
    <row r="29" spans="1:15" x14ac:dyDescent="0.2">
      <c r="C29" s="11">
        <v>46057</v>
      </c>
      <c r="D29" t="s">
        <v>440</v>
      </c>
      <c r="E29" t="e" vm="27">
        <v>#VALUE!</v>
      </c>
      <c r="F29" s="4" t="str" cm="1">
        <f t="array" aca="1" ref="F29" ca="1">+_FV(E29,"Símbolo do ticker",TRUE)</f>
        <v>ANE</v>
      </c>
      <c r="G29" s="4" t="str" cm="1">
        <f t="array" aca="1" ref="G29" ca="1">+_FV(E29,"Setor")</f>
        <v>Electrical Utilities &amp; IPPs</v>
      </c>
      <c r="H29" s="4">
        <v>21.36</v>
      </c>
      <c r="I29" s="7" cm="1">
        <f t="array" aca="1" ref="I29" ca="1">+_FV(E29,"Preço")</f>
        <v>21.34</v>
      </c>
      <c r="J29" s="8">
        <f t="shared" ca="1" si="0"/>
        <v>-9.3632958801492805E-4</v>
      </c>
      <c r="K29" s="4" t="s">
        <v>441</v>
      </c>
      <c r="L29" s="4" t="s">
        <v>442</v>
      </c>
      <c r="M29" s="4" t="s">
        <v>119</v>
      </c>
      <c r="N29" s="4" t="s">
        <v>443</v>
      </c>
      <c r="O29" s="4" t="s">
        <v>444</v>
      </c>
    </row>
    <row r="30" spans="1:15" x14ac:dyDescent="0.2">
      <c r="C30" s="11">
        <v>46057</v>
      </c>
      <c r="D30" t="s">
        <v>13</v>
      </c>
      <c r="E30" t="e" vm="28">
        <v>#VALUE!</v>
      </c>
      <c r="F30" s="4" t="str" cm="1">
        <f t="array" aca="1" ref="F30" ca="1">+_FV(E30,"Símbolo do ticker",TRUE)</f>
        <v>GRF.P</v>
      </c>
      <c r="G30" s="4" t="str" cm="1">
        <f t="array" aca="1" ref="G30" ca="1">+_FV(E30,"Setor")</f>
        <v>Pharmaceuticals</v>
      </c>
      <c r="H30" s="4">
        <v>8.07</v>
      </c>
      <c r="I30" s="7" cm="1">
        <f t="array" aca="1" ref="I30" ca="1">+_FV(E30,"Preço")</f>
        <v>6.82</v>
      </c>
      <c r="J30" s="8">
        <f t="shared" ca="1" si="0"/>
        <v>-0.15489467162329618</v>
      </c>
      <c r="K30" s="4" t="s">
        <v>445</v>
      </c>
      <c r="L30" s="4" t="s">
        <v>446</v>
      </c>
      <c r="M30" s="4" t="s">
        <v>41</v>
      </c>
      <c r="N30" s="4" t="s">
        <v>447</v>
      </c>
      <c r="O30" s="4" t="s">
        <v>448</v>
      </c>
    </row>
    <row r="31" spans="1:15" x14ac:dyDescent="0.2">
      <c r="C31" s="11">
        <v>46057</v>
      </c>
      <c r="D31" t="s">
        <v>449</v>
      </c>
      <c r="E31" t="e" vm="29">
        <v>#VALUE!</v>
      </c>
      <c r="F31" s="4" t="str" cm="1">
        <f t="array" aca="1" ref="F31" ca="1">+_FV(E31,"Símbolo do ticker",TRUE)</f>
        <v>GRF</v>
      </c>
      <c r="G31" s="4" t="str" cm="1">
        <f t="array" aca="1" ref="G31" ca="1">+_FV(E31,"Setor")</f>
        <v>Pharmaceuticals</v>
      </c>
      <c r="H31" s="4">
        <v>11.045</v>
      </c>
      <c r="I31" s="7" cm="1">
        <f t="array" aca="1" ref="I31" ca="1">+_FV(E31,"Preço")</f>
        <v>10.06</v>
      </c>
      <c r="J31" s="8">
        <f t="shared" ca="1" si="0"/>
        <v>-8.9180624717066448E-2</v>
      </c>
      <c r="K31" s="4" t="s">
        <v>115</v>
      </c>
      <c r="L31" s="4" t="s">
        <v>446</v>
      </c>
      <c r="M31" s="4" t="s">
        <v>41</v>
      </c>
      <c r="N31" s="4" t="s">
        <v>447</v>
      </c>
      <c r="O31" s="4" t="s">
        <v>448</v>
      </c>
    </row>
    <row r="32" spans="1:15" x14ac:dyDescent="0.2">
      <c r="C32" s="11">
        <v>46057</v>
      </c>
      <c r="D32" t="s">
        <v>450</v>
      </c>
      <c r="E32" t="e" vm="30">
        <v>#VALUE!</v>
      </c>
      <c r="F32" s="4" t="str" cm="1">
        <f t="array" aca="1" ref="F32" ca="1">+_FV(E32,"Símbolo do ticker",TRUE)</f>
        <v>FCC</v>
      </c>
      <c r="G32" s="4" t="str" cm="1">
        <f t="array" aca="1" ref="G32" ca="1">+_FV(E32,"Setor")</f>
        <v>Professional &amp; Commercial Services</v>
      </c>
      <c r="H32" s="4">
        <v>11.3</v>
      </c>
      <c r="I32" s="7" cm="1">
        <f t="array" aca="1" ref="I32" ca="1">+_FV(E32,"Preço")</f>
        <v>11.24</v>
      </c>
      <c r="J32" s="8">
        <f t="shared" ca="1" si="0"/>
        <v>-5.3097345132744334E-3</v>
      </c>
      <c r="K32" s="4" t="s">
        <v>451</v>
      </c>
      <c r="L32" s="4" t="s">
        <v>452</v>
      </c>
      <c r="M32" s="4" t="s">
        <v>42</v>
      </c>
      <c r="N32" s="4" t="s">
        <v>453</v>
      </c>
      <c r="O32" s="4" t="s">
        <v>454</v>
      </c>
    </row>
    <row r="33" spans="1:15" x14ac:dyDescent="0.2">
      <c r="C33" s="11">
        <v>46057</v>
      </c>
      <c r="D33" t="s">
        <v>455</v>
      </c>
      <c r="E33" t="e" vm="31">
        <v>#VALUE!</v>
      </c>
      <c r="F33" s="4" t="str" cm="1">
        <f t="array" aca="1" ref="F33" ca="1">+_FV(E33,"Símbolo do ticker",TRUE)</f>
        <v>FDR</v>
      </c>
      <c r="G33" s="4" t="str" cm="1">
        <f t="array" aca="1" ref="G33" ca="1">+_FV(E33,"Setor")</f>
        <v>Leisure Products</v>
      </c>
      <c r="H33" s="4">
        <v>25.12</v>
      </c>
      <c r="I33" s="7" cm="1">
        <f t="array" aca="1" ref="I33" ca="1">+_FV(E33,"Preço")</f>
        <v>19.579999999999998</v>
      </c>
      <c r="J33" s="8">
        <f t="shared" ca="1" si="0"/>
        <v>-0.22054140127388544</v>
      </c>
      <c r="K33" s="4" t="s">
        <v>456</v>
      </c>
      <c r="L33" s="4" t="s">
        <v>457</v>
      </c>
      <c r="M33" s="4" t="s">
        <v>43</v>
      </c>
      <c r="N33" s="4" t="s">
        <v>458</v>
      </c>
      <c r="O33" s="4" t="s">
        <v>337</v>
      </c>
    </row>
    <row r="34" spans="1:15" s="1" customFormat="1" ht="15" x14ac:dyDescent="0.25">
      <c r="A34" s="1">
        <v>8</v>
      </c>
      <c r="B34" s="1" t="s">
        <v>1064</v>
      </c>
      <c r="C34" s="10">
        <v>46057</v>
      </c>
      <c r="D34" s="1" t="s">
        <v>459</v>
      </c>
      <c r="E34" s="1" t="e" vm="32">
        <v>#VALUE!</v>
      </c>
      <c r="F34" s="3" t="str" cm="1">
        <f t="array" aca="1" ref="F34" ca="1">+_FV(E34,"Símbolo do ticker",TRUE)</f>
        <v>LOG</v>
      </c>
      <c r="G34" s="3" t="str" cm="1">
        <f t="array" aca="1" ref="G34" ca="1">+_FV(E34,"Setor")</f>
        <v>Freight &amp; Logistics Services</v>
      </c>
      <c r="H34" s="3">
        <v>31.76</v>
      </c>
      <c r="I34" s="5" cm="1">
        <f t="array" aca="1" ref="I34" ca="1">+_FV(E34,"Preço")</f>
        <v>36.659999999999997</v>
      </c>
      <c r="J34" s="6">
        <f t="shared" ca="1" si="0"/>
        <v>0.15428211586901752</v>
      </c>
      <c r="K34" s="3" t="s">
        <v>460</v>
      </c>
      <c r="L34" s="3" t="s">
        <v>461</v>
      </c>
      <c r="M34" s="3" t="s">
        <v>122</v>
      </c>
      <c r="N34" s="3" t="s">
        <v>462</v>
      </c>
      <c r="O34" s="3" t="s">
        <v>463</v>
      </c>
    </row>
    <row r="35" spans="1:15" x14ac:dyDescent="0.2">
      <c r="C35" s="11">
        <v>46057</v>
      </c>
      <c r="D35" t="s">
        <v>464</v>
      </c>
      <c r="E35" t="e" vm="33">
        <v>#VALUE!</v>
      </c>
      <c r="F35" s="4" t="str" cm="1">
        <f t="array" aca="1" ref="F35" ca="1">+_FV(E35,"Símbolo do ticker",TRUE)</f>
        <v>GGC</v>
      </c>
      <c r="G35" s="4" t="str" cm="1">
        <f t="array" aca="1" ref="G35" ca="1">+_FV(E35,"Setor")</f>
        <v>Residential &amp; Commercial REIT</v>
      </c>
      <c r="H35" s="4">
        <v>162</v>
      </c>
      <c r="I35" s="7" cm="1">
        <f t="array" aca="1" ref="I35" ca="1">+_FV(E35,"Preço")</f>
        <v>158</v>
      </c>
      <c r="J35" s="8">
        <f t="shared" ca="1" si="0"/>
        <v>-2.4691358024691357E-2</v>
      </c>
      <c r="K35" s="4">
        <v>115</v>
      </c>
      <c r="L35" s="4" t="s">
        <v>120</v>
      </c>
      <c r="M35" s="4" t="s">
        <v>121</v>
      </c>
      <c r="N35" s="4" t="s">
        <v>465</v>
      </c>
      <c r="O35" s="4" t="s">
        <v>466</v>
      </c>
    </row>
    <row r="36" spans="1:15" x14ac:dyDescent="0.2">
      <c r="C36" s="11">
        <v>46057</v>
      </c>
      <c r="D36" t="s">
        <v>5</v>
      </c>
      <c r="E36" t="e" vm="34">
        <v>#VALUE!</v>
      </c>
      <c r="F36" s="4" t="str" cm="1">
        <f t="array" aca="1" ref="F36" ca="1">+_FV(E36,"Símbolo do ticker",TRUE)</f>
        <v>ROVI</v>
      </c>
      <c r="G36" s="4" t="str" cm="1">
        <f t="array" aca="1" ref="G36" ca="1">+_FV(E36,"Setor")</f>
        <v>Pharmaceuticals</v>
      </c>
      <c r="H36" s="4">
        <v>73.55</v>
      </c>
      <c r="I36" s="7" cm="1">
        <f t="array" aca="1" ref="I36" ca="1">+_FV(E36,"Preço")</f>
        <v>58.55</v>
      </c>
      <c r="J36" s="8">
        <f t="shared" ca="1" si="0"/>
        <v>-0.20394289598912307</v>
      </c>
      <c r="K36" s="4" t="s">
        <v>467</v>
      </c>
      <c r="L36" s="4" t="s">
        <v>468</v>
      </c>
      <c r="M36" s="4" t="s">
        <v>44</v>
      </c>
      <c r="N36" s="4" t="s">
        <v>469</v>
      </c>
      <c r="O36" s="4" t="s">
        <v>470</v>
      </c>
    </row>
    <row r="37" spans="1:15" x14ac:dyDescent="0.2">
      <c r="C37" s="11">
        <v>46057</v>
      </c>
      <c r="D37" t="s">
        <v>471</v>
      </c>
      <c r="E37" t="e" vm="35">
        <v>#VALUE!</v>
      </c>
      <c r="F37" s="4" t="str" cm="1">
        <f t="array" aca="1" ref="F37" ca="1">+_FV(E37,"Símbolo do ticker",TRUE)</f>
        <v>ENG</v>
      </c>
      <c r="G37" s="4" t="str" cm="1">
        <f t="array" aca="1" ref="G37" ca="1">+_FV(E37,"Setor")</f>
        <v>Oil &amp; Gas Related Equipment and Services</v>
      </c>
      <c r="H37" s="4">
        <v>14.28</v>
      </c>
      <c r="I37" s="7" cm="1">
        <f t="array" aca="1" ref="I37" ca="1">+_FV(E37,"Preço")</f>
        <v>17.02</v>
      </c>
      <c r="J37" s="8">
        <f t="shared" ca="1" si="0"/>
        <v>0.1918767507002801</v>
      </c>
      <c r="K37" s="4" t="s">
        <v>472</v>
      </c>
      <c r="L37" s="4" t="s">
        <v>473</v>
      </c>
      <c r="M37" s="4" t="s">
        <v>45</v>
      </c>
      <c r="N37" s="4" t="s">
        <v>474</v>
      </c>
      <c r="O37" s="4" t="s">
        <v>475</v>
      </c>
    </row>
    <row r="38" spans="1:15" x14ac:dyDescent="0.2">
      <c r="C38" s="11">
        <v>46057</v>
      </c>
      <c r="D38" t="s">
        <v>476</v>
      </c>
      <c r="E38" t="e" vm="36">
        <v>#VALUE!</v>
      </c>
      <c r="F38" s="4" t="str" cm="1">
        <f t="array" aca="1" ref="F38" ca="1">+_FV(E38,"Símbolo do ticker",TRUE)</f>
        <v>CIE</v>
      </c>
      <c r="G38" s="4" t="str" cm="1">
        <f t="array" aca="1" ref="G38" ca="1">+_FV(E38,"Setor")</f>
        <v>Automobiles &amp; Auto Parts</v>
      </c>
      <c r="H38" s="4">
        <v>29.1</v>
      </c>
      <c r="I38" s="7" cm="1">
        <f t="array" aca="1" ref="I38" ca="1">+_FV(E38,"Preço")</f>
        <v>26.45</v>
      </c>
      <c r="J38" s="8">
        <f t="shared" ca="1" si="0"/>
        <v>-9.1065292096220052E-2</v>
      </c>
      <c r="K38" s="4" t="s">
        <v>477</v>
      </c>
      <c r="L38" s="4" t="s">
        <v>478</v>
      </c>
      <c r="M38" s="4" t="s">
        <v>46</v>
      </c>
      <c r="N38" s="4" t="s">
        <v>479</v>
      </c>
      <c r="O38" s="4" t="s">
        <v>480</v>
      </c>
    </row>
    <row r="39" spans="1:15" x14ac:dyDescent="0.2">
      <c r="C39" s="11">
        <v>46057</v>
      </c>
      <c r="D39" t="s">
        <v>4</v>
      </c>
      <c r="E39" t="e" vm="37">
        <v>#VALUE!</v>
      </c>
      <c r="F39" s="4" t="str" cm="1">
        <f t="array" aca="1" ref="F39" ca="1">+_FV(E39,"Símbolo do ticker",TRUE)</f>
        <v>COL</v>
      </c>
      <c r="G39" s="4" t="str" cm="1">
        <f t="array" aca="1" ref="G39" ca="1">+_FV(E39,"Setor")</f>
        <v>Residential &amp; Commercial REIT</v>
      </c>
      <c r="H39" s="4">
        <v>5.335</v>
      </c>
      <c r="I39" s="7" cm="1">
        <f t="array" aca="1" ref="I39" ca="1">+_FV(E39,"Preço")</f>
        <v>5.585</v>
      </c>
      <c r="J39" s="8">
        <f t="shared" ca="1" si="0"/>
        <v>4.6860356138706649E-2</v>
      </c>
      <c r="K39" s="4" t="s">
        <v>398</v>
      </c>
      <c r="L39" s="4" t="s">
        <v>481</v>
      </c>
      <c r="M39" s="4" t="s">
        <v>47</v>
      </c>
      <c r="N39" s="4" t="s">
        <v>482</v>
      </c>
      <c r="O39" s="4" t="s">
        <v>483</v>
      </c>
    </row>
    <row r="40" spans="1:15" x14ac:dyDescent="0.2">
      <c r="C40" s="11">
        <v>46057</v>
      </c>
      <c r="D40" t="s">
        <v>484</v>
      </c>
      <c r="E40" t="e" vm="38">
        <v>#VALUE!</v>
      </c>
      <c r="F40" s="4" t="str" cm="1">
        <f t="array" aca="1" ref="F40" ca="1">+_FV(E40,"Símbolo do ticker",TRUE)</f>
        <v>SCYR</v>
      </c>
      <c r="G40" s="4" t="str" cm="1">
        <f t="array" aca="1" ref="G40" ca="1">+_FV(E40,"Setor")</f>
        <v>Construction &amp; Engineering</v>
      </c>
      <c r="H40" s="4">
        <v>4.0039999999999996</v>
      </c>
      <c r="I40" s="7" cm="1">
        <f t="array" aca="1" ref="I40" ca="1">+_FV(E40,"Preço")</f>
        <v>4.6260000000000003</v>
      </c>
      <c r="J40" s="8">
        <f t="shared" ca="1" si="0"/>
        <v>0.15534465534465558</v>
      </c>
      <c r="K40" s="4" t="s">
        <v>485</v>
      </c>
      <c r="L40" s="4" t="s">
        <v>486</v>
      </c>
      <c r="M40" s="4" t="s">
        <v>48</v>
      </c>
      <c r="N40" s="4" t="s">
        <v>356</v>
      </c>
      <c r="O40" s="4" t="s">
        <v>347</v>
      </c>
    </row>
    <row r="41" spans="1:15" s="1" customFormat="1" ht="15" x14ac:dyDescent="0.25">
      <c r="B41" s="1" t="s">
        <v>1344</v>
      </c>
      <c r="C41" s="10">
        <v>46057</v>
      </c>
      <c r="D41" s="1" t="s">
        <v>487</v>
      </c>
      <c r="E41" s="1" t="e" vm="39">
        <v>#VALUE!</v>
      </c>
      <c r="F41" s="3" t="str" cm="1">
        <f t="array" aca="1" ref="F41" ca="1">+_FV(E41,"Símbolo do ticker",TRUE)</f>
        <v>ACX</v>
      </c>
      <c r="G41" s="3" t="str" cm="1">
        <f t="array" aca="1" ref="G41" ca="1">+_FV(E41,"Setor")</f>
        <v>Metals &amp; Mining</v>
      </c>
      <c r="H41" s="3">
        <v>12.51</v>
      </c>
      <c r="I41" s="5" cm="1">
        <f t="array" aca="1" ref="I41" ca="1">+_FV(E41,"Preço")</f>
        <v>18.04</v>
      </c>
      <c r="J41" s="6">
        <f t="shared" ca="1" si="0"/>
        <v>0.44204636290967225</v>
      </c>
      <c r="K41" s="3" t="s">
        <v>488</v>
      </c>
      <c r="L41" s="3" t="s">
        <v>489</v>
      </c>
      <c r="M41" s="3" t="s">
        <v>49</v>
      </c>
      <c r="N41" s="3" t="s">
        <v>490</v>
      </c>
      <c r="O41" s="3" t="s">
        <v>491</v>
      </c>
    </row>
    <row r="42" spans="1:15" s="1" customFormat="1" ht="15" x14ac:dyDescent="0.25">
      <c r="A42" s="1">
        <v>8</v>
      </c>
      <c r="B42" s="1" t="s">
        <v>310</v>
      </c>
      <c r="C42" s="10">
        <v>46057</v>
      </c>
      <c r="D42" s="1" t="s">
        <v>492</v>
      </c>
      <c r="E42" s="1" t="e" vm="40">
        <v>#VALUE!</v>
      </c>
      <c r="F42" s="3" t="str" cm="1">
        <f t="array" aca="1" ref="F42" ca="1">+_FV(E42,"Símbolo do ticker",TRUE)</f>
        <v>VID</v>
      </c>
      <c r="G42" s="3" t="str" cm="1">
        <f t="array" aca="1" ref="G42" ca="1">+_FV(E42,"Setor")</f>
        <v>Containers &amp; Packaging</v>
      </c>
      <c r="H42" s="3">
        <v>88.3</v>
      </c>
      <c r="I42" s="5" cm="1">
        <f t="array" aca="1" ref="I42" ca="1">+_FV(E42,"Preço")</f>
        <v>88.5</v>
      </c>
      <c r="J42" s="6">
        <f t="shared" ca="1" si="0"/>
        <v>2.2650056625141968E-3</v>
      </c>
      <c r="K42" s="3" t="s">
        <v>493</v>
      </c>
      <c r="L42" s="3" t="s">
        <v>494</v>
      </c>
      <c r="M42" s="3" t="s">
        <v>50</v>
      </c>
      <c r="N42" s="3" t="s">
        <v>495</v>
      </c>
      <c r="O42" s="3" t="s">
        <v>496</v>
      </c>
    </row>
    <row r="43" spans="1:15" x14ac:dyDescent="0.2">
      <c r="C43" s="11">
        <v>46057</v>
      </c>
      <c r="D43" t="s">
        <v>497</v>
      </c>
      <c r="E43" t="e" vm="41">
        <v>#VALUE!</v>
      </c>
      <c r="F43" s="4" t="str" cm="1">
        <f t="array" aca="1" ref="F43" ca="1">+_FV(E43,"Símbolo do ticker",TRUE)</f>
        <v>EBRO</v>
      </c>
      <c r="G43" s="4" t="str" cm="1">
        <f t="array" aca="1" ref="G43" ca="1">+_FV(E43,"Setor")</f>
        <v>Food &amp; Tobacco</v>
      </c>
      <c r="H43" s="4">
        <v>18.62</v>
      </c>
      <c r="I43" s="7" cm="1">
        <f t="array" aca="1" ref="I43" ca="1">+_FV(E43,"Preço")</f>
        <v>18.46</v>
      </c>
      <c r="J43" s="8">
        <f t="shared" ca="1" si="0"/>
        <v>-8.5929108485499617E-3</v>
      </c>
      <c r="K43" s="4" t="s">
        <v>498</v>
      </c>
      <c r="L43" s="4" t="s">
        <v>123</v>
      </c>
      <c r="M43" s="4" t="s">
        <v>51</v>
      </c>
      <c r="N43" s="4"/>
      <c r="O43" s="4" t="s">
        <v>499</v>
      </c>
    </row>
    <row r="44" spans="1:15" x14ac:dyDescent="0.2">
      <c r="C44" s="11">
        <v>46057</v>
      </c>
      <c r="D44" t="s">
        <v>500</v>
      </c>
      <c r="E44" t="e" vm="42">
        <v>#VALUE!</v>
      </c>
      <c r="F44" s="4" t="str" cm="1">
        <f t="array" aca="1" ref="F44" ca="1">+_FV(E44,"Símbolo do ticker",TRUE)</f>
        <v>ALM</v>
      </c>
      <c r="G44" s="4" t="str" cm="1">
        <f t="array" aca="1" ref="G44" ca="1">+_FV(E44,"Setor")</f>
        <v>Pharmaceuticals</v>
      </c>
      <c r="H44" s="4">
        <v>12.94</v>
      </c>
      <c r="I44" s="7" cm="1">
        <f t="array" aca="1" ref="I44" ca="1">+_FV(E44,"Preço")</f>
        <v>10.96</v>
      </c>
      <c r="J44" s="8">
        <f t="shared" ca="1" si="0"/>
        <v>-0.15301391035548673</v>
      </c>
      <c r="K44" s="4" t="s">
        <v>501</v>
      </c>
      <c r="L44" s="4" t="s">
        <v>502</v>
      </c>
      <c r="M44" s="4" t="s">
        <v>52</v>
      </c>
      <c r="N44" s="4" t="s">
        <v>503</v>
      </c>
      <c r="O44" s="4" t="s">
        <v>504</v>
      </c>
    </row>
    <row r="45" spans="1:15" x14ac:dyDescent="0.2">
      <c r="C45" s="11">
        <v>46057</v>
      </c>
      <c r="D45" t="s">
        <v>505</v>
      </c>
      <c r="E45" t="e" vm="43">
        <v>#VALUE!</v>
      </c>
      <c r="F45" s="4" t="str" cm="1">
        <f t="array" aca="1" ref="F45" ca="1">+_FV(E45,"Símbolo do ticker",TRUE)</f>
        <v>APAM</v>
      </c>
      <c r="G45" s="4" t="str" cm="1">
        <f t="array" aca="1" ref="G45" ca="1">+_FV(E45,"Setor")</f>
        <v>Metals &amp; Mining</v>
      </c>
      <c r="H45" s="4">
        <v>35.9</v>
      </c>
      <c r="I45" s="7" cm="1">
        <f t="array" aca="1" ref="I45" ca="1">+_FV(E45,"Preço")</f>
        <v>46.56</v>
      </c>
      <c r="J45" s="8">
        <f t="shared" ca="1" si="0"/>
        <v>0.29693593314763245</v>
      </c>
      <c r="K45" s="4" t="s">
        <v>53</v>
      </c>
      <c r="L45" s="4" t="s">
        <v>506</v>
      </c>
      <c r="M45" s="4" t="s">
        <v>54</v>
      </c>
      <c r="N45" s="4" t="s">
        <v>507</v>
      </c>
      <c r="O45" s="4" t="s">
        <v>508</v>
      </c>
    </row>
    <row r="46" spans="1:15" x14ac:dyDescent="0.2">
      <c r="C46" s="11">
        <v>46057</v>
      </c>
      <c r="D46" t="s">
        <v>509</v>
      </c>
      <c r="E46" t="e" vm="44">
        <v>#VALUE!</v>
      </c>
      <c r="F46" s="4" t="str" cm="1">
        <f t="array" aca="1" ref="F46" ca="1">+_FV(E46,"Símbolo do ticker",TRUE)</f>
        <v>GRE</v>
      </c>
      <c r="G46" s="4" t="str" cm="1">
        <f t="array" aca="1" ref="G46" ca="1">+_FV(E46,"Setor")</f>
        <v>Electrical Utilities &amp; IPPs</v>
      </c>
      <c r="H46" s="4">
        <v>92.6</v>
      </c>
      <c r="I46" s="7" cm="1">
        <f t="array" aca="1" ref="I46" ca="1">+_FV(E46,"Preço")</f>
        <v>89.2</v>
      </c>
      <c r="J46" s="8">
        <f t="shared" ca="1" si="0"/>
        <v>-3.6717062634989084E-2</v>
      </c>
      <c r="K46" s="4" t="s">
        <v>510</v>
      </c>
      <c r="L46" s="4" t="s">
        <v>147</v>
      </c>
      <c r="M46" s="4" t="s">
        <v>124</v>
      </c>
      <c r="N46" s="4" t="s">
        <v>511</v>
      </c>
      <c r="O46" s="4" t="s">
        <v>512</v>
      </c>
    </row>
    <row r="47" spans="1:15" s="1" customFormat="1" ht="15" x14ac:dyDescent="0.25">
      <c r="A47" s="1">
        <v>7</v>
      </c>
      <c r="B47" s="1" t="s">
        <v>313</v>
      </c>
      <c r="C47" s="10">
        <v>46057</v>
      </c>
      <c r="D47" s="1" t="s">
        <v>513</v>
      </c>
      <c r="E47" s="1" t="e" vm="45">
        <v>#VALUE!</v>
      </c>
      <c r="F47" s="3" t="str" cm="1">
        <f t="array" aca="1" ref="F47" ca="1">+_FV(E47,"Símbolo do ticker",TRUE)</f>
        <v>VIS</v>
      </c>
      <c r="G47" s="3" t="str" cm="1">
        <f t="array" aca="1" ref="G47" ca="1">+_FV(E47,"Setor")</f>
        <v>Containers &amp; Packaging</v>
      </c>
      <c r="H47" s="3">
        <v>56.3</v>
      </c>
      <c r="I47" s="5" cm="1">
        <f t="array" aca="1" ref="I47" ca="1">+_FV(E47,"Preço")</f>
        <v>57.3</v>
      </c>
      <c r="J47" s="6">
        <f t="shared" ca="1" si="0"/>
        <v>1.7761989342806483E-2</v>
      </c>
      <c r="K47" s="3" t="s">
        <v>514</v>
      </c>
      <c r="L47" s="3" t="s">
        <v>515</v>
      </c>
      <c r="M47" s="3" t="s">
        <v>55</v>
      </c>
      <c r="N47" s="3" t="s">
        <v>516</v>
      </c>
      <c r="O47" s="3" t="s">
        <v>517</v>
      </c>
    </row>
    <row r="48" spans="1:15" x14ac:dyDescent="0.2">
      <c r="C48" s="11">
        <v>46057</v>
      </c>
      <c r="D48" t="s">
        <v>518</v>
      </c>
      <c r="E48" t="e" vm="46">
        <v>#VALUE!</v>
      </c>
      <c r="F48" s="4" t="str" cm="1">
        <f t="array" aca="1" ref="F48" ca="1">+_FV(E48,"Símbolo do ticker",TRUE)</f>
        <v>CIRSA</v>
      </c>
      <c r="G48" s="4" t="str" cm="1">
        <f t="array" aca="1" ref="G48" ca="1">+_FV(E48,"Setor")</f>
        <v>Hotels &amp; Entertainment Services</v>
      </c>
      <c r="H48" s="4">
        <v>14.7</v>
      </c>
      <c r="I48" s="7" cm="1">
        <f t="array" aca="1" ref="I48" ca="1">+_FV(E48,"Preço")</f>
        <v>13.26</v>
      </c>
      <c r="J48" s="8">
        <f t="shared" ca="1" si="0"/>
        <v>-9.7959183673469341E-2</v>
      </c>
      <c r="K48" s="4" t="s">
        <v>519</v>
      </c>
      <c r="L48" s="4" t="s">
        <v>520</v>
      </c>
      <c r="M48" s="4" t="s">
        <v>125</v>
      </c>
      <c r="N48" s="4" t="s">
        <v>521</v>
      </c>
      <c r="O48" s="4"/>
    </row>
    <row r="49" spans="1:15" x14ac:dyDescent="0.2">
      <c r="C49" s="11">
        <v>46057</v>
      </c>
      <c r="D49" t="s">
        <v>522</v>
      </c>
      <c r="E49" t="e" vm="47">
        <v>#VALUE!</v>
      </c>
      <c r="F49" s="4" t="str" cm="1">
        <f t="array" aca="1" ref="F49" ca="1">+_FV(E49,"Símbolo do ticker",TRUE)</f>
        <v>TRE</v>
      </c>
      <c r="G49" s="4" t="str" cm="1">
        <f t="array" aca="1" ref="G49" ca="1">+_FV(E49,"Setor")</f>
        <v>Construction &amp; Engineering</v>
      </c>
      <c r="H49" s="4">
        <v>30.18</v>
      </c>
      <c r="I49" s="7" cm="1">
        <f t="array" aca="1" ref="I49" ca="1">+_FV(E49,"Preço")</f>
        <v>28.2</v>
      </c>
      <c r="J49" s="8">
        <f t="shared" ca="1" si="0"/>
        <v>-6.5606361829025905E-2</v>
      </c>
      <c r="K49" s="4" t="s">
        <v>523</v>
      </c>
      <c r="L49" s="4" t="s">
        <v>524</v>
      </c>
      <c r="M49" s="4" t="s">
        <v>56</v>
      </c>
      <c r="N49" s="4" t="s">
        <v>525</v>
      </c>
      <c r="O49" s="4" t="s">
        <v>526</v>
      </c>
    </row>
    <row r="50" spans="1:15" x14ac:dyDescent="0.2">
      <c r="C50" s="11">
        <v>46057</v>
      </c>
      <c r="D50" t="s">
        <v>527</v>
      </c>
      <c r="E50" t="e" vm="48">
        <v>#VALUE!</v>
      </c>
      <c r="F50" s="4" t="str" cm="1">
        <f t="array" aca="1" ref="F50" ca="1">+_FV(E50,"Símbolo do ticker",TRUE)</f>
        <v>DIA</v>
      </c>
      <c r="G50" s="4" t="str" cm="1">
        <f t="array" aca="1" ref="G50" ca="1">+_FV(E50,"Setor")</f>
        <v>Food &amp; Drug Retailing</v>
      </c>
      <c r="H50" s="4">
        <v>38.6</v>
      </c>
      <c r="I50" s="7" cm="1">
        <f t="array" aca="1" ref="I50" ca="1">+_FV(E50,"Preço")</f>
        <v>40.799999999999997</v>
      </c>
      <c r="J50" s="8">
        <f t="shared" ca="1" si="0"/>
        <v>5.6994818652849721E-2</v>
      </c>
      <c r="K50" s="4" t="s">
        <v>528</v>
      </c>
      <c r="L50" s="4" t="s">
        <v>43</v>
      </c>
      <c r="M50" s="4" t="s">
        <v>58</v>
      </c>
      <c r="N50" s="4" t="s">
        <v>529</v>
      </c>
      <c r="O50" s="4" t="s">
        <v>530</v>
      </c>
    </row>
    <row r="51" spans="1:15" x14ac:dyDescent="0.2">
      <c r="C51" s="11">
        <v>46057</v>
      </c>
      <c r="D51" t="s">
        <v>531</v>
      </c>
      <c r="E51" t="e" vm="49">
        <v>#VALUE!</v>
      </c>
      <c r="F51" s="4" t="str" cm="1">
        <f t="array" aca="1" ref="F51" ca="1">+_FV(E51,"Símbolo do ticker",TRUE)</f>
        <v>ENO</v>
      </c>
      <c r="G51" s="4" t="str" cm="1">
        <f t="array" aca="1" ref="G51" ca="1">+_FV(E51,"Setor")</f>
        <v>Construction &amp; Engineering</v>
      </c>
      <c r="H51" s="4">
        <v>26.45</v>
      </c>
      <c r="I51" s="7" cm="1">
        <f t="array" aca="1" ref="I51" ca="1">+_FV(E51,"Preço")</f>
        <v>33.65</v>
      </c>
      <c r="J51" s="8">
        <f t="shared" ca="1" si="0"/>
        <v>0.27221172022684303</v>
      </c>
      <c r="K51" s="4" t="s">
        <v>532</v>
      </c>
      <c r="L51" s="4" t="s">
        <v>533</v>
      </c>
      <c r="M51" s="4" t="s">
        <v>57</v>
      </c>
      <c r="N51" s="4" t="s">
        <v>534</v>
      </c>
      <c r="O51" s="4" t="s">
        <v>535</v>
      </c>
    </row>
    <row r="52" spans="1:15" s="1" customFormat="1" ht="15" x14ac:dyDescent="0.25">
      <c r="C52" s="10">
        <v>46057</v>
      </c>
      <c r="D52" s="1" t="s">
        <v>6</v>
      </c>
      <c r="E52" s="1" t="e" vm="50">
        <v>#VALUE!</v>
      </c>
      <c r="F52" s="3" t="str" cm="1">
        <f t="array" aca="1" ref="F52" ca="1">+_FV(E52,"Símbolo do ticker",TRUE)</f>
        <v>SLR</v>
      </c>
      <c r="G52" s="3" t="str" cm="1">
        <f t="array" aca="1" ref="G52" ca="1">+_FV(E52,"Setor")</f>
        <v>Electrical Utilities &amp; IPPs</v>
      </c>
      <c r="H52" s="3">
        <v>17.57</v>
      </c>
      <c r="I52" s="5" cm="1">
        <f t="array" aca="1" ref="I52" ca="1">+_FV(E52,"Preço")</f>
        <v>16.335000000000001</v>
      </c>
      <c r="J52" s="6">
        <f t="shared" ca="1" si="0"/>
        <v>-7.0290267501422865E-2</v>
      </c>
      <c r="K52" s="3" t="s">
        <v>536</v>
      </c>
      <c r="L52" s="3" t="s">
        <v>537</v>
      </c>
      <c r="M52" s="3" t="s">
        <v>59</v>
      </c>
      <c r="N52" s="3" t="s">
        <v>538</v>
      </c>
      <c r="O52" s="3" t="s">
        <v>539</v>
      </c>
    </row>
    <row r="53" spans="1:15" x14ac:dyDescent="0.2">
      <c r="C53" s="11">
        <v>46057</v>
      </c>
      <c r="D53" t="s">
        <v>540</v>
      </c>
      <c r="E53" t="e" vm="51">
        <v>#VALUE!</v>
      </c>
      <c r="F53" s="4" t="str" cm="1">
        <f t="array" aca="1" ref="F53" ca="1">+_FV(E53,"Símbolo do ticker",TRUE)</f>
        <v>HOME</v>
      </c>
      <c r="G53" s="4" t="str" cm="1">
        <f t="array" aca="1" ref="G53" ca="1">+_FV(E53,"Setor")</f>
        <v>Real Estate Operations</v>
      </c>
      <c r="H53" s="4">
        <v>20.2</v>
      </c>
      <c r="I53" s="7" cm="1">
        <f t="array" aca="1" ref="I53" ca="1">+_FV(E53,"Preço")</f>
        <v>15.7</v>
      </c>
      <c r="J53" s="8">
        <f t="shared" ca="1" si="0"/>
        <v>-0.22277227722772275</v>
      </c>
      <c r="K53" s="4" t="s">
        <v>541</v>
      </c>
      <c r="L53" s="4" t="s">
        <v>542</v>
      </c>
      <c r="M53" s="4" t="s">
        <v>126</v>
      </c>
      <c r="N53" s="4" t="s">
        <v>543</v>
      </c>
      <c r="O53" s="4" t="s">
        <v>391</v>
      </c>
    </row>
    <row r="54" spans="1:15" x14ac:dyDescent="0.2">
      <c r="C54" s="11">
        <v>46057</v>
      </c>
      <c r="D54" t="s">
        <v>11</v>
      </c>
      <c r="E54" t="e" vm="52">
        <v>#VALUE!</v>
      </c>
      <c r="F54" s="4" t="str" cm="1">
        <f t="array" aca="1" ref="F54" ca="1">+_FV(E54,"Símbolo do ticker",TRUE)</f>
        <v>CAF</v>
      </c>
      <c r="G54" s="4" t="str" cm="1">
        <f t="array" aca="1" ref="G54" ca="1">+_FV(E54,"Setor")</f>
        <v>Machinery, Equipment &amp; Components</v>
      </c>
      <c r="H54" s="4">
        <v>55.8</v>
      </c>
      <c r="I54" s="7" cm="1">
        <f t="array" aca="1" ref="I54" ca="1">+_FV(E54,"Preço")</f>
        <v>70.099999999999994</v>
      </c>
      <c r="J54" s="8">
        <f t="shared" ca="1" si="0"/>
        <v>0.25627240143369168</v>
      </c>
      <c r="K54" s="4" t="s">
        <v>544</v>
      </c>
      <c r="L54" s="4" t="s">
        <v>545</v>
      </c>
      <c r="M54" s="4" t="s">
        <v>60</v>
      </c>
      <c r="N54" s="4" t="s">
        <v>546</v>
      </c>
      <c r="O54" s="4" t="s">
        <v>352</v>
      </c>
    </row>
    <row r="55" spans="1:15" x14ac:dyDescent="0.2">
      <c r="C55" s="11">
        <v>46057</v>
      </c>
      <c r="D55" t="s">
        <v>547</v>
      </c>
      <c r="E55" t="e" vm="53">
        <v>#VALUE!</v>
      </c>
      <c r="F55" s="4" t="str" cm="1">
        <f t="array" aca="1" ref="F55" ca="1">+_FV(E55,"Símbolo do ticker",TRUE)</f>
        <v>GEST</v>
      </c>
      <c r="G55" s="4" t="str" cm="1">
        <f t="array" aca="1" ref="G55" ca="1">+_FV(E55,"Setor")</f>
        <v>Automobiles &amp; Auto Parts</v>
      </c>
      <c r="H55" s="4">
        <v>3.13</v>
      </c>
      <c r="I55" s="7" cm="1">
        <f t="array" aca="1" ref="I55" ca="1">+_FV(E55,"Preço")</f>
        <v>2.99</v>
      </c>
      <c r="J55" s="8">
        <f t="shared" ca="1" si="0"/>
        <v>-4.4728434504792247E-2</v>
      </c>
      <c r="K55" s="4" t="s">
        <v>548</v>
      </c>
      <c r="L55" s="4" t="s">
        <v>549</v>
      </c>
      <c r="M55" s="4" t="s">
        <v>127</v>
      </c>
      <c r="N55" s="4" t="s">
        <v>550</v>
      </c>
      <c r="O55" s="4" t="s">
        <v>551</v>
      </c>
    </row>
    <row r="56" spans="1:15" x14ac:dyDescent="0.2">
      <c r="C56" s="11">
        <v>46057</v>
      </c>
      <c r="D56" t="s">
        <v>552</v>
      </c>
      <c r="E56" t="e" vm="54">
        <v>#VALUE!</v>
      </c>
      <c r="F56" s="4" t="str" cm="1">
        <f t="array" aca="1" ref="F56" ca="1">+_FV(E56,"Símbolo do ticker",TRUE)</f>
        <v>IMC</v>
      </c>
      <c r="G56" s="4" t="str" cm="1">
        <f t="array" aca="1" ref="G56" ca="1">+_FV(E56,"Setor")</f>
        <v>Real Estate Operations</v>
      </c>
      <c r="H56" s="4">
        <v>4.0250000000000004</v>
      </c>
      <c r="I56" s="7" cm="1">
        <f t="array" aca="1" ref="I56" ca="1">+_FV(E56,"Preço")</f>
        <v>3.78</v>
      </c>
      <c r="J56" s="8">
        <f t="shared" ca="1" si="0"/>
        <v>-6.0869565217391397E-2</v>
      </c>
      <c r="K56" s="4" t="s">
        <v>553</v>
      </c>
      <c r="L56" s="4" t="s">
        <v>554</v>
      </c>
      <c r="M56" s="4" t="s">
        <v>129</v>
      </c>
      <c r="N56" s="4" t="s">
        <v>555</v>
      </c>
      <c r="O56" s="4"/>
    </row>
    <row r="57" spans="1:15" x14ac:dyDescent="0.2">
      <c r="C57" s="11">
        <v>46057</v>
      </c>
      <c r="D57" t="s">
        <v>556</v>
      </c>
      <c r="E57" t="e" vm="55">
        <v>#VALUE!</v>
      </c>
      <c r="F57" s="4" t="str" cm="1">
        <f t="array" aca="1" ref="F57" ca="1">+_FV(E57,"Símbolo do ticker",TRUE)</f>
        <v>MEL</v>
      </c>
      <c r="G57" s="4" t="str" cm="1">
        <f t="array" aca="1" ref="G57" ca="1">+_FV(E57,"Setor")</f>
        <v>Hotels &amp; Entertainment Services</v>
      </c>
      <c r="H57" s="4">
        <v>7.7450000000000001</v>
      </c>
      <c r="I57" s="7" cm="1">
        <f t="array" aca="1" ref="I57" ca="1">+_FV(E57,"Preço")</f>
        <v>10.4</v>
      </c>
      <c r="J57" s="8">
        <f t="shared" ca="1" si="0"/>
        <v>0.34280180761781787</v>
      </c>
      <c r="K57" s="4" t="s">
        <v>557</v>
      </c>
      <c r="L57" s="4" t="s">
        <v>128</v>
      </c>
      <c r="M57" s="4" t="s">
        <v>61</v>
      </c>
      <c r="N57" s="4" t="s">
        <v>558</v>
      </c>
      <c r="O57" s="4" t="s">
        <v>321</v>
      </c>
    </row>
    <row r="58" spans="1:15" x14ac:dyDescent="0.2">
      <c r="C58" s="11">
        <v>46057</v>
      </c>
      <c r="D58" t="s">
        <v>559</v>
      </c>
      <c r="E58" t="e" vm="56">
        <v>#VALUE!</v>
      </c>
      <c r="F58" s="4" t="str" cm="1">
        <f t="array" aca="1" ref="F58" ca="1">+_FV(E58,"Símbolo do ticker",TRUE)</f>
        <v>FAE</v>
      </c>
      <c r="G58" s="4" t="str" cm="1">
        <f t="array" aca="1" ref="G58" ca="1">+_FV(E58,"Setor")</f>
        <v>Pharmaceuticals</v>
      </c>
      <c r="H58" s="4">
        <v>5.24</v>
      </c>
      <c r="I58" s="7" cm="1">
        <f t="array" aca="1" ref="I58" ca="1">+_FV(E58,"Preço")</f>
        <v>4.5</v>
      </c>
      <c r="J58" s="8">
        <f t="shared" ca="1" si="0"/>
        <v>-0.1412213740458016</v>
      </c>
      <c r="K58" s="4" t="s">
        <v>560</v>
      </c>
      <c r="L58" s="4" t="s">
        <v>561</v>
      </c>
      <c r="M58" s="4" t="s">
        <v>62</v>
      </c>
      <c r="N58" s="4" t="s">
        <v>562</v>
      </c>
      <c r="O58" s="4" t="s">
        <v>396</v>
      </c>
    </row>
    <row r="59" spans="1:15" x14ac:dyDescent="0.2">
      <c r="C59" s="11">
        <v>46057</v>
      </c>
      <c r="D59" t="s">
        <v>563</v>
      </c>
      <c r="E59" t="e" vm="57">
        <v>#VALUE!</v>
      </c>
      <c r="F59" s="4" t="str" cm="1">
        <f t="array" aca="1" ref="F59" ca="1">+_FV(E59,"Símbolo do ticker",TRUE)</f>
        <v>RLIA</v>
      </c>
      <c r="G59" s="4" t="str" cm="1">
        <f t="array" aca="1" ref="G59" ca="1">+_FV(E59,"Setor")</f>
        <v>Real Estate Operations</v>
      </c>
      <c r="H59" s="4">
        <v>1.075</v>
      </c>
      <c r="I59" s="7" cm="1">
        <f t="array" aca="1" ref="I59" ca="1">+_FV(E59,"Preço")</f>
        <v>1.04</v>
      </c>
      <c r="J59" s="8">
        <f t="shared" ca="1" si="0"/>
        <v>-3.2558139534883623E-2</v>
      </c>
      <c r="K59" s="4" t="s">
        <v>564</v>
      </c>
      <c r="L59" s="4" t="s">
        <v>565</v>
      </c>
      <c r="M59" s="4" t="s">
        <v>64</v>
      </c>
      <c r="N59" s="4" t="s">
        <v>566</v>
      </c>
      <c r="O59" s="4" t="s">
        <v>567</v>
      </c>
    </row>
    <row r="60" spans="1:15" x14ac:dyDescent="0.2">
      <c r="C60" s="11">
        <v>46057</v>
      </c>
      <c r="D60" t="s">
        <v>568</v>
      </c>
      <c r="E60" t="e" vm="58">
        <v>#VALUE!</v>
      </c>
      <c r="F60" s="4" t="str" cm="1">
        <f t="array" aca="1" ref="F60" ca="1">+_FV(E60,"Símbolo do ticker",TRUE)</f>
        <v>MVC</v>
      </c>
      <c r="G60" s="4" t="str" cm="1">
        <f t="array" aca="1" ref="G60" ca="1">+_FV(E60,"Setor")</f>
        <v>Real Estate Operations</v>
      </c>
      <c r="H60" s="4">
        <v>10.3</v>
      </c>
      <c r="I60" s="7" cm="1">
        <f t="array" aca="1" ref="I60" ca="1">+_FV(E60,"Preço")</f>
        <v>10.92</v>
      </c>
      <c r="J60" s="8">
        <f t="shared" ca="1" si="0"/>
        <v>6.0194174757281393E-2</v>
      </c>
      <c r="K60" s="4" t="s">
        <v>569</v>
      </c>
      <c r="L60" s="4" t="s">
        <v>63</v>
      </c>
      <c r="M60" s="4" t="s">
        <v>65</v>
      </c>
      <c r="N60" s="4" t="s">
        <v>570</v>
      </c>
      <c r="O60" s="4" t="s">
        <v>530</v>
      </c>
    </row>
    <row r="61" spans="1:15" x14ac:dyDescent="0.2">
      <c r="C61" s="11">
        <v>46057</v>
      </c>
      <c r="D61" t="s">
        <v>572</v>
      </c>
      <c r="E61" t="e" vm="59">
        <v>#VALUE!</v>
      </c>
      <c r="F61" s="4" t="str" cm="1">
        <f t="array" aca="1" ref="F61" ca="1">+_FV(E61,"Símbolo do ticker",TRUE)</f>
        <v>BRAP3</v>
      </c>
      <c r="G61" s="4" t="str" cm="1">
        <f t="array" aca="1" ref="G61" ca="1">+_FV(E61,"Setor")</f>
        <v>Metals &amp; Mining</v>
      </c>
      <c r="H61" s="4">
        <v>21.53</v>
      </c>
      <c r="I61" s="7" cm="1">
        <f t="array" aca="1" ref="I61" ca="1">+_FV(E61,"Preço")</f>
        <v>18.690000000000001</v>
      </c>
      <c r="J61" s="8">
        <f t="shared" ca="1" si="0"/>
        <v>-0.13190896423594978</v>
      </c>
      <c r="K61" s="4" t="s">
        <v>67</v>
      </c>
      <c r="L61" s="4" t="s">
        <v>571</v>
      </c>
      <c r="M61" s="4" t="s">
        <v>25</v>
      </c>
      <c r="N61" s="4"/>
      <c r="O61" s="4"/>
    </row>
    <row r="62" spans="1:15" s="1" customFormat="1" ht="15" x14ac:dyDescent="0.25">
      <c r="A62" s="1">
        <v>7</v>
      </c>
      <c r="B62" s="1" t="s">
        <v>1344</v>
      </c>
      <c r="C62" s="10">
        <v>46057</v>
      </c>
      <c r="D62" s="1" t="s">
        <v>14</v>
      </c>
      <c r="E62" s="1" t="e" vm="60">
        <v>#VALUE!</v>
      </c>
      <c r="F62" s="3" t="str" cm="1">
        <f t="array" aca="1" ref="F62" ca="1">+_FV(E62,"Símbolo do ticker",TRUE)</f>
        <v>PSG</v>
      </c>
      <c r="G62" s="3" t="str" cm="1">
        <f t="array" aca="1" ref="G62" ca="1">+_FV(E62,"Setor")</f>
        <v>Professional &amp; Commercial Services</v>
      </c>
      <c r="H62" s="3">
        <v>2.83</v>
      </c>
      <c r="I62" s="5" cm="1">
        <f t="array" aca="1" ref="I62" ca="1">+_FV(E62,"Preço")</f>
        <v>3.0150000000000001</v>
      </c>
      <c r="J62" s="6">
        <f t="shared" ca="1" si="0"/>
        <v>6.5371024734982353E-2</v>
      </c>
      <c r="K62" s="3" t="s">
        <v>573</v>
      </c>
      <c r="L62" s="3" t="s">
        <v>574</v>
      </c>
      <c r="M62" s="3" t="s">
        <v>66</v>
      </c>
      <c r="N62" s="3" t="s">
        <v>575</v>
      </c>
      <c r="O62" s="3" t="s">
        <v>576</v>
      </c>
    </row>
    <row r="63" spans="1:15" x14ac:dyDescent="0.2">
      <c r="C63" s="11">
        <v>46057</v>
      </c>
      <c r="D63" t="s">
        <v>577</v>
      </c>
      <c r="E63" t="e" vm="61">
        <v>#VALUE!</v>
      </c>
      <c r="F63" s="4" t="str" cm="1">
        <f t="array" aca="1" ref="F63" ca="1">+_FV(E63,"Símbolo do ticker",TRUE)</f>
        <v>ART</v>
      </c>
      <c r="G63" s="4" t="str" cm="1">
        <f t="array" aca="1" ref="G63" ca="1">+_FV(E63,"Setor")</f>
        <v>Machinery, Equipment &amp; Components</v>
      </c>
      <c r="H63" s="4">
        <v>24.8</v>
      </c>
      <c r="I63" s="7" cm="1">
        <f t="array" aca="1" ref="I63" ca="1">+_FV(E63,"Preço")</f>
        <v>29.5</v>
      </c>
      <c r="J63" s="8">
        <f t="shared" ca="1" si="0"/>
        <v>0.18951612903225801</v>
      </c>
      <c r="K63" s="4" t="s">
        <v>578</v>
      </c>
      <c r="L63" s="4" t="s">
        <v>579</v>
      </c>
      <c r="M63" s="4" t="s">
        <v>130</v>
      </c>
      <c r="N63" s="4" t="s">
        <v>580</v>
      </c>
      <c r="O63" s="4" t="s">
        <v>581</v>
      </c>
    </row>
    <row r="64" spans="1:15" x14ac:dyDescent="0.2">
      <c r="C64" s="11">
        <v>46057</v>
      </c>
      <c r="D64" t="s">
        <v>582</v>
      </c>
      <c r="E64" t="e" vm="62">
        <v>#VALUE!</v>
      </c>
      <c r="F64" s="4" t="str" cm="1">
        <f t="array" aca="1" ref="F64" ca="1">+_FV(E64,"Símbolo do ticker",TRUE)</f>
        <v>PHM</v>
      </c>
      <c r="G64" s="4" t="str" cm="1">
        <f t="array" aca="1" ref="G64" ca="1">+_FV(E64,"Setor")</f>
        <v>Pharmaceuticals</v>
      </c>
      <c r="H64" s="4">
        <v>77.150000000000006</v>
      </c>
      <c r="I64" s="7" cm="1">
        <f t="array" aca="1" ref="I64" ca="1">+_FV(E64,"Preço")</f>
        <v>78.349999999999994</v>
      </c>
      <c r="J64" s="8">
        <f t="shared" ca="1" si="0"/>
        <v>1.5554115359688758E-2</v>
      </c>
      <c r="K64" s="4" t="s">
        <v>583</v>
      </c>
      <c r="L64" s="4" t="s">
        <v>584</v>
      </c>
      <c r="M64" s="4" t="s">
        <v>131</v>
      </c>
      <c r="N64" s="4" t="s">
        <v>585</v>
      </c>
      <c r="O64" s="4" t="s">
        <v>586</v>
      </c>
    </row>
    <row r="65" spans="3:15" x14ac:dyDescent="0.2">
      <c r="C65" s="11">
        <v>46057</v>
      </c>
      <c r="D65" t="s">
        <v>132</v>
      </c>
      <c r="E65" t="e" vm="63">
        <v>#VALUE!</v>
      </c>
      <c r="F65" s="4" t="str" cm="1">
        <f t="array" aca="1" ref="F65" ca="1">+_FV(E65,"Símbolo do ticker",TRUE)</f>
        <v>LDA</v>
      </c>
      <c r="G65" s="4" t="str" cm="1">
        <f t="array" aca="1" ref="G65" ca="1">+_FV(E65,"Setor")</f>
        <v>Insurance</v>
      </c>
      <c r="H65" s="4">
        <v>1.1679999999999999</v>
      </c>
      <c r="I65" s="7" cm="1">
        <f t="array" aca="1" ref="I65" ca="1">+_FV(E65,"Preço")</f>
        <v>1.3160000000000001</v>
      </c>
      <c r="J65" s="8">
        <f t="shared" ca="1" si="0"/>
        <v>0.12671232876712346</v>
      </c>
      <c r="K65" s="4" t="s">
        <v>587</v>
      </c>
      <c r="L65" s="4" t="s">
        <v>588</v>
      </c>
      <c r="M65" s="4" t="s">
        <v>71</v>
      </c>
      <c r="N65" s="4" t="s">
        <v>589</v>
      </c>
      <c r="O65" s="4" t="s">
        <v>590</v>
      </c>
    </row>
    <row r="66" spans="3:15" x14ac:dyDescent="0.2">
      <c r="C66" s="11">
        <v>46057</v>
      </c>
      <c r="D66" t="s">
        <v>591</v>
      </c>
      <c r="E66" t="e" vm="64">
        <v>#VALUE!</v>
      </c>
      <c r="F66" s="4" t="str" cm="1">
        <f t="array" aca="1" ref="F66" ca="1">+_FV(E66,"Símbolo do ticker",TRUE)</f>
        <v>YGMP</v>
      </c>
      <c r="G66" s="4" t="str" cm="1">
        <f t="array" aca="1" ref="G66" ca="1">+_FV(E66,"Setor")</f>
        <v>Residential &amp; Commercial REIT</v>
      </c>
      <c r="H66" s="4">
        <v>65</v>
      </c>
      <c r="I66" s="7" cm="1">
        <f t="array" aca="1" ref="I66" ca="1">+_FV(E66,"Preço")</f>
        <v>62.5</v>
      </c>
      <c r="J66" s="8">
        <f t="shared" ca="1" si="0"/>
        <v>-3.8461538461538436E-2</v>
      </c>
      <c r="K66" s="4">
        <v>5</v>
      </c>
      <c r="L66" s="4" t="s">
        <v>133</v>
      </c>
      <c r="M66" s="4" t="s">
        <v>134</v>
      </c>
      <c r="N66" s="4" t="s">
        <v>592</v>
      </c>
      <c r="O66" s="4" t="s">
        <v>593</v>
      </c>
    </row>
    <row r="67" spans="3:15" x14ac:dyDescent="0.2">
      <c r="C67" s="11">
        <v>46057</v>
      </c>
      <c r="D67" t="s">
        <v>594</v>
      </c>
      <c r="E67" t="e" vm="65">
        <v>#VALUE!</v>
      </c>
      <c r="F67" s="4" t="str" cm="1">
        <f t="array" aca="1" ref="F67" ca="1">+_FV(E67,"Símbolo do ticker",TRUE)</f>
        <v>A3M</v>
      </c>
      <c r="G67" s="4" t="str" cm="1">
        <f t="array" aca="1" ref="G67" ca="1">+_FV(E67,"Setor")</f>
        <v>Media &amp; Publishing</v>
      </c>
      <c r="H67" s="4">
        <v>5.2</v>
      </c>
      <c r="I67" s="7" cm="1">
        <f t="array" aca="1" ref="I67" ca="1">+_FV(E67,"Preço")</f>
        <v>5.2</v>
      </c>
      <c r="J67" s="8">
        <f t="shared" ref="J67:J130" ca="1" si="1">+I67/H67-1</f>
        <v>0</v>
      </c>
      <c r="K67" s="4" t="s">
        <v>595</v>
      </c>
      <c r="L67" s="4" t="s">
        <v>69</v>
      </c>
      <c r="M67" s="4" t="s">
        <v>70</v>
      </c>
      <c r="N67" s="4" t="s">
        <v>596</v>
      </c>
      <c r="O67" s="4" t="s">
        <v>347</v>
      </c>
    </row>
    <row r="68" spans="3:15" x14ac:dyDescent="0.2">
      <c r="C68" s="11">
        <v>46057</v>
      </c>
      <c r="D68" t="s">
        <v>597</v>
      </c>
      <c r="E68" t="e" vm="66">
        <v>#VALUE!</v>
      </c>
      <c r="F68" s="4" t="str" cm="1">
        <f t="array" aca="1" ref="F68" ca="1">+_FV(E68,"Símbolo do ticker",TRUE)</f>
        <v>AEDAS</v>
      </c>
      <c r="G68" s="4" t="str" cm="1">
        <f t="array" aca="1" ref="G68" ca="1">+_FV(E68,"Setor")</f>
        <v>Real Estate Operations</v>
      </c>
      <c r="H68" s="4">
        <v>23.95</v>
      </c>
      <c r="I68" s="7" cm="1">
        <f t="array" aca="1" ref="I68" ca="1">+_FV(E68,"Preço")</f>
        <v>21.2</v>
      </c>
      <c r="J68" s="8">
        <f t="shared" ca="1" si="1"/>
        <v>-0.1148225469728601</v>
      </c>
      <c r="K68" s="4" t="s">
        <v>598</v>
      </c>
      <c r="L68" s="4" t="s">
        <v>135</v>
      </c>
      <c r="M68" s="4" t="s">
        <v>136</v>
      </c>
      <c r="N68" s="4" t="s">
        <v>599</v>
      </c>
      <c r="O68" s="4" t="s">
        <v>600</v>
      </c>
    </row>
    <row r="69" spans="3:15" x14ac:dyDescent="0.2">
      <c r="C69" s="11">
        <v>46057</v>
      </c>
      <c r="D69" t="s">
        <v>141</v>
      </c>
      <c r="E69" t="e" vm="67">
        <v>#VALUE!</v>
      </c>
      <c r="F69" s="4" t="str" cm="1">
        <f t="array" aca="1" ref="F69" ca="1">+_FV(E69,"Símbolo do ticker",TRUE)</f>
        <v>YCPS</v>
      </c>
      <c r="G69" s="4" t="str" cm="1">
        <f t="array" aca="1" ref="G69" ca="1">+_FV(E69,"Setor")</f>
        <v>Residential &amp; Commercial REIT</v>
      </c>
      <c r="H69" s="4">
        <v>8.0500000000000007</v>
      </c>
      <c r="I69" s="7" cm="1">
        <f t="array" aca="1" ref="I69" ca="1">+_FV(E69,"Preço")</f>
        <v>9.65</v>
      </c>
      <c r="J69" s="8">
        <f t="shared" ca="1" si="1"/>
        <v>0.19875776397515521</v>
      </c>
      <c r="K69" s="4">
        <v>541</v>
      </c>
      <c r="L69" s="4" t="s">
        <v>601</v>
      </c>
      <c r="M69" s="4" t="s">
        <v>142</v>
      </c>
      <c r="N69" s="4" t="s">
        <v>602</v>
      </c>
      <c r="O69" s="4" t="s">
        <v>603</v>
      </c>
    </row>
    <row r="70" spans="3:15" x14ac:dyDescent="0.2">
      <c r="C70" s="11">
        <v>46057</v>
      </c>
      <c r="D70" t="s">
        <v>137</v>
      </c>
      <c r="E70" t="e" vm="68">
        <v>#VALUE!</v>
      </c>
      <c r="F70" s="4" t="str" cm="1">
        <f t="array" aca="1" ref="F70" ca="1">+_FV(E70,"Símbolo do ticker",TRUE)</f>
        <v>YVIV</v>
      </c>
      <c r="G70" s="4" t="str" cm="1">
        <f t="array" aca="1" ref="G70" ca="1">+_FV(E70,"Setor")</f>
        <v>Residential &amp; Commercial REIT</v>
      </c>
      <c r="H70" s="4">
        <v>1.36</v>
      </c>
      <c r="I70" s="7" cm="1">
        <f t="array" aca="1" ref="I70" ca="1">+_FV(E70,"Preço")</f>
        <v>1.35</v>
      </c>
      <c r="J70" s="8">
        <f t="shared" ca="1" si="1"/>
        <v>-7.3529411764705621E-3</v>
      </c>
      <c r="K70" s="4" t="s">
        <v>138</v>
      </c>
      <c r="L70" s="4" t="s">
        <v>139</v>
      </c>
      <c r="M70" s="4" t="s">
        <v>140</v>
      </c>
      <c r="N70" s="4" t="s">
        <v>604</v>
      </c>
      <c r="O70" s="4"/>
    </row>
    <row r="71" spans="3:15" x14ac:dyDescent="0.2">
      <c r="C71" s="11">
        <v>46057</v>
      </c>
      <c r="D71" t="s">
        <v>605</v>
      </c>
      <c r="E71" t="e" vm="69">
        <v>#VALUE!</v>
      </c>
      <c r="F71" s="4" t="str" cm="1">
        <f t="array" aca="1" ref="F71" ca="1">+_FV(E71,"Símbolo do ticker",TRUE)</f>
        <v>CASH</v>
      </c>
      <c r="G71" s="4" t="str" cm="1">
        <f t="array" aca="1" ref="G71" ca="1">+_FV(E71,"Setor")</f>
        <v>Professional &amp; Commercial Services</v>
      </c>
      <c r="H71" s="4">
        <v>0.64400000000000002</v>
      </c>
      <c r="I71" s="7" cm="1">
        <f t="array" aca="1" ref="I71" ca="1">+_FV(E71,"Preço")</f>
        <v>0.67400000000000004</v>
      </c>
      <c r="J71" s="8">
        <f t="shared" ca="1" si="1"/>
        <v>4.6583850931677162E-2</v>
      </c>
      <c r="K71" s="4" t="s">
        <v>606</v>
      </c>
      <c r="L71" s="4" t="s">
        <v>607</v>
      </c>
      <c r="M71" s="4" t="s">
        <v>143</v>
      </c>
      <c r="N71" s="4" t="s">
        <v>608</v>
      </c>
      <c r="O71" s="4" t="s">
        <v>609</v>
      </c>
    </row>
    <row r="72" spans="3:15" x14ac:dyDescent="0.2">
      <c r="C72" s="11">
        <v>46057</v>
      </c>
      <c r="D72" t="s">
        <v>610</v>
      </c>
      <c r="E72" t="e" vm="70">
        <v>#VALUE!</v>
      </c>
      <c r="F72" s="4" t="str" cm="1">
        <f t="array" aca="1" ref="F72" ca="1">+_FV(E72,"Símbolo do ticker",TRUE)</f>
        <v>CBAV</v>
      </c>
      <c r="G72" s="4" t="str" cm="1">
        <f t="array" aca="1" ref="G72" ca="1">+_FV(E72,"Setor")</f>
        <v>Healthcare Providers &amp; Services</v>
      </c>
      <c r="H72" s="4">
        <v>50.4</v>
      </c>
      <c r="I72" s="7" cm="1">
        <f t="array" aca="1" ref="I72" ca="1">+_FV(E72,"Preço")</f>
        <v>61</v>
      </c>
      <c r="J72" s="8">
        <f t="shared" ca="1" si="1"/>
        <v>0.21031746031746046</v>
      </c>
      <c r="K72" s="4" t="s">
        <v>269</v>
      </c>
      <c r="L72" s="4" t="s">
        <v>611</v>
      </c>
      <c r="M72" s="4" t="s">
        <v>72</v>
      </c>
      <c r="N72" s="4" t="s">
        <v>612</v>
      </c>
      <c r="O72" s="4" t="s">
        <v>613</v>
      </c>
    </row>
    <row r="73" spans="3:15" x14ac:dyDescent="0.2">
      <c r="C73" s="11">
        <v>46057</v>
      </c>
      <c r="D73" t="s">
        <v>614</v>
      </c>
      <c r="E73" t="e" vm="71">
        <v>#VALUE!</v>
      </c>
      <c r="F73" s="4" t="str" cm="1">
        <f t="array" aca="1" ref="F73" ca="1">+_FV(E73,"Símbolo do ticker",TRUE)</f>
        <v>R4</v>
      </c>
      <c r="G73" s="4" t="str" cm="1">
        <f t="array" aca="1" ref="G73" ca="1">+_FV(E73,"Setor")</f>
        <v>Investment Banking &amp; Investment Services</v>
      </c>
      <c r="H73" s="4">
        <v>19</v>
      </c>
      <c r="I73" s="7" cm="1">
        <f t="array" aca="1" ref="I73" ca="1">+_FV(E73,"Preço")</f>
        <v>19.350000000000001</v>
      </c>
      <c r="J73" s="8">
        <f t="shared" ca="1" si="1"/>
        <v>1.8421052631579116E-2</v>
      </c>
      <c r="K73" s="4" t="s">
        <v>615</v>
      </c>
      <c r="L73" s="4" t="s">
        <v>73</v>
      </c>
      <c r="M73" s="4" t="s">
        <v>74</v>
      </c>
      <c r="N73" s="4" t="s">
        <v>616</v>
      </c>
      <c r="O73" s="4" t="s">
        <v>504</v>
      </c>
    </row>
    <row r="74" spans="3:15" x14ac:dyDescent="0.2">
      <c r="C74" s="11">
        <v>46057</v>
      </c>
      <c r="D74" t="s">
        <v>617</v>
      </c>
      <c r="E74" t="e" vm="72">
        <v>#VALUE!</v>
      </c>
      <c r="F74" s="4" t="str" cm="1">
        <f t="array" aca="1" ref="F74" ca="1">+_FV(E74,"Símbolo do ticker",TRUE)</f>
        <v>SCLRE</v>
      </c>
      <c r="G74" s="4" t="str" cm="1">
        <f t="array" aca="1" ref="G74" ca="1">+_FV(E74,"Setor")</f>
        <v>Residential &amp; Commercial REIT</v>
      </c>
      <c r="H74" s="4" t="e" vm="73">
        <v>#VALUE!</v>
      </c>
      <c r="I74" s="7" t="e" cm="1" vm="73">
        <f t="array" ref="I74">+_FV(E74,"Preço")</f>
        <v>#VALUE!</v>
      </c>
      <c r="J74" s="8" t="s">
        <v>1075</v>
      </c>
      <c r="K74" s="4" t="s">
        <v>144</v>
      </c>
      <c r="L74" s="4" t="s">
        <v>145</v>
      </c>
      <c r="M74" s="4" t="s">
        <v>146</v>
      </c>
      <c r="N74" s="4" t="s">
        <v>618</v>
      </c>
      <c r="O74" s="4" t="s">
        <v>619</v>
      </c>
    </row>
    <row r="75" spans="3:15" x14ac:dyDescent="0.2">
      <c r="C75" s="11">
        <v>46057</v>
      </c>
      <c r="D75" t="s">
        <v>620</v>
      </c>
      <c r="E75" t="e" vm="74">
        <v>#VALUE!</v>
      </c>
      <c r="F75" s="4" t="str" cm="1">
        <f t="array" aca="1" ref="F75" ca="1">+_FV(E75,"Símbolo do ticker",TRUE)</f>
        <v>EAT</v>
      </c>
      <c r="G75" s="4" t="str" cm="1">
        <f t="array" aca="1" ref="G75" ca="1">+_FV(E75,"Setor")</f>
        <v>Hotels &amp; Entertainment Services</v>
      </c>
      <c r="H75" s="4">
        <v>3.2549999999999999</v>
      </c>
      <c r="I75" s="7" cm="1">
        <f t="array" aca="1" ref="I75" ca="1">+_FV(E75,"Preço")</f>
        <v>2.4900000000000002</v>
      </c>
      <c r="J75" s="8">
        <f t="shared" ca="1" si="1"/>
        <v>-0.23502304147465425</v>
      </c>
      <c r="K75" s="4" t="s">
        <v>621</v>
      </c>
      <c r="L75" s="4" t="s">
        <v>622</v>
      </c>
      <c r="M75" s="4" t="s">
        <v>147</v>
      </c>
      <c r="N75" s="4" t="s">
        <v>623</v>
      </c>
      <c r="O75" s="4" t="s">
        <v>375</v>
      </c>
    </row>
    <row r="76" spans="3:15" x14ac:dyDescent="0.2">
      <c r="C76" s="11">
        <v>46057</v>
      </c>
      <c r="D76" t="s">
        <v>624</v>
      </c>
      <c r="E76" t="e" vm="75">
        <v>#VALUE!</v>
      </c>
      <c r="F76" s="4" t="str" cm="1">
        <f t="array" aca="1" ref="F76" ca="1">+_FV(E76,"Símbolo do ticker",TRUE)</f>
        <v>ADX</v>
      </c>
      <c r="G76" s="4" t="str" cm="1">
        <f t="array" aca="1" ref="G76" ca="1">+_FV(E76,"Setor")</f>
        <v>Multiline Utilities</v>
      </c>
      <c r="H76" s="4">
        <v>1.32</v>
      </c>
      <c r="I76" s="7" cm="1">
        <f t="array" aca="1" ref="I76" ca="1">+_FV(E76,"Preço")</f>
        <v>1.198</v>
      </c>
      <c r="J76" s="8">
        <f t="shared" ca="1" si="1"/>
        <v>-9.242424242424252E-2</v>
      </c>
      <c r="K76" s="4" t="s">
        <v>625</v>
      </c>
      <c r="L76" s="4" t="s">
        <v>626</v>
      </c>
      <c r="M76" s="4" t="s">
        <v>75</v>
      </c>
      <c r="N76" s="4" t="s">
        <v>627</v>
      </c>
      <c r="O76" s="4" t="s">
        <v>628</v>
      </c>
    </row>
    <row r="77" spans="3:15" x14ac:dyDescent="0.2">
      <c r="C77" s="11">
        <v>46057</v>
      </c>
      <c r="D77" t="s">
        <v>629</v>
      </c>
      <c r="E77" t="e" vm="76">
        <v>#VALUE!</v>
      </c>
      <c r="F77" s="4" t="str" cm="1">
        <f t="array" aca="1" ref="F77" ca="1">+_FV(E77,"Símbolo do ticker",TRUE)</f>
        <v>YZBL</v>
      </c>
      <c r="G77" s="4" t="str" cm="1">
        <f t="array" aca="1" ref="G77" ca="1">+_FV(E77,"Setor")</f>
        <v>Residential &amp; Commercial REIT</v>
      </c>
      <c r="H77" s="4">
        <v>0.90500000000000003</v>
      </c>
      <c r="I77" s="7" cm="1">
        <f t="array" aca="1" ref="I77" ca="1">+_FV(E77,"Preço")</f>
        <v>0.94499999999999995</v>
      </c>
      <c r="J77" s="8">
        <f t="shared" ca="1" si="1"/>
        <v>4.4198895027624197E-2</v>
      </c>
      <c r="K77" s="4">
        <v>630</v>
      </c>
      <c r="L77" s="4" t="s">
        <v>148</v>
      </c>
      <c r="M77" s="4" t="s">
        <v>149</v>
      </c>
      <c r="N77" s="4" t="s">
        <v>630</v>
      </c>
      <c r="O77" s="4" t="s">
        <v>603</v>
      </c>
    </row>
    <row r="78" spans="3:15" x14ac:dyDescent="0.2">
      <c r="C78" s="11">
        <v>46057</v>
      </c>
      <c r="D78" t="s">
        <v>631</v>
      </c>
      <c r="E78" t="e" vm="77">
        <v>#VALUE!</v>
      </c>
      <c r="F78" s="4" t="str" cm="1">
        <f t="array" aca="1" ref="F78" ca="1">+_FV(E78,"Símbolo do ticker",TRUE)</f>
        <v>GSJ</v>
      </c>
      <c r="G78" s="4" t="str" cm="1">
        <f t="array" aca="1" ref="G78" ca="1">+_FV(E78,"Setor")</f>
        <v>Construction &amp; Engineering</v>
      </c>
      <c r="H78" s="4">
        <v>8.4499999999999993</v>
      </c>
      <c r="I78" s="7" cm="1">
        <f t="array" aca="1" ref="I78" ca="1">+_FV(E78,"Preço")</f>
        <v>8.2100000000000009</v>
      </c>
      <c r="J78" s="8">
        <f t="shared" ca="1" si="1"/>
        <v>-2.8402366863905182E-2</v>
      </c>
      <c r="K78" s="4" t="s">
        <v>632</v>
      </c>
      <c r="L78" s="4" t="s">
        <v>633</v>
      </c>
      <c r="M78" s="4" t="s">
        <v>76</v>
      </c>
      <c r="N78" s="4" t="s">
        <v>634</v>
      </c>
      <c r="O78" s="4" t="s">
        <v>600</v>
      </c>
    </row>
    <row r="79" spans="3:15" x14ac:dyDescent="0.2">
      <c r="C79" s="11">
        <v>46057</v>
      </c>
      <c r="D79" t="s">
        <v>10</v>
      </c>
      <c r="E79" t="e" vm="78">
        <v>#VALUE!</v>
      </c>
      <c r="F79" s="4" t="str" cm="1">
        <f t="array" aca="1" ref="F79" ca="1">+_FV(E79,"Símbolo do ticker",TRUE)</f>
        <v>ENC</v>
      </c>
      <c r="G79" s="4" t="str" cm="1">
        <f t="array" aca="1" ref="G79" ca="1">+_FV(E79,"Setor")</f>
        <v>Paper &amp; Forest Products</v>
      </c>
      <c r="H79" s="4">
        <v>2.278</v>
      </c>
      <c r="I79" s="7" cm="1">
        <f t="array" aca="1" ref="I79" ca="1">+_FV(E79,"Preço")</f>
        <v>2.5739999999999998</v>
      </c>
      <c r="J79" s="8">
        <f t="shared" ca="1" si="1"/>
        <v>0.1299385425812114</v>
      </c>
      <c r="K79" s="4" t="s">
        <v>635</v>
      </c>
      <c r="L79" s="4" t="s">
        <v>636</v>
      </c>
      <c r="M79" s="4" t="s">
        <v>77</v>
      </c>
      <c r="N79" s="4" t="s">
        <v>637</v>
      </c>
      <c r="O79" s="4" t="s">
        <v>638</v>
      </c>
    </row>
    <row r="80" spans="3:15" x14ac:dyDescent="0.2">
      <c r="C80" s="11">
        <v>46057</v>
      </c>
      <c r="D80" t="s">
        <v>9</v>
      </c>
      <c r="E80" t="e" vm="79">
        <v>#VALUE!</v>
      </c>
      <c r="F80" s="4" t="str" cm="1">
        <f t="array" aca="1" ref="F80" ca="1">+_FV(E80,"Símbolo do ticker",TRUE)</f>
        <v>MCM</v>
      </c>
      <c r="G80" s="4" t="str" cm="1">
        <f t="array" aca="1" ref="G80" ca="1">+_FV(E80,"Setor")</f>
        <v>Paper &amp; Forest Products</v>
      </c>
      <c r="H80" s="4">
        <v>14.1</v>
      </c>
      <c r="I80" s="7" cm="1">
        <f t="array" aca="1" ref="I80" ca="1">+_FV(E80,"Preço")</f>
        <v>13.6</v>
      </c>
      <c r="J80" s="8">
        <f t="shared" ca="1" si="1"/>
        <v>-3.546099290780147E-2</v>
      </c>
      <c r="K80" s="4" t="s">
        <v>639</v>
      </c>
      <c r="L80" s="4" t="s">
        <v>640</v>
      </c>
      <c r="M80" s="4" t="s">
        <v>78</v>
      </c>
      <c r="N80" s="4" t="s">
        <v>641</v>
      </c>
      <c r="O80" s="4" t="s">
        <v>642</v>
      </c>
    </row>
    <row r="81" spans="1:15" x14ac:dyDescent="0.2">
      <c r="C81" s="11">
        <v>46057</v>
      </c>
      <c r="D81" t="s">
        <v>643</v>
      </c>
      <c r="E81" t="e" vm="80">
        <v>#VALUE!</v>
      </c>
      <c r="F81" s="4" t="str" cm="1">
        <f t="array" aca="1" ref="F81" ca="1">+_FV(E81,"Símbolo do ticker",TRUE)</f>
        <v>DOM</v>
      </c>
      <c r="G81" s="4" t="str" cm="1">
        <f t="array" aca="1" ref="G81" ca="1">+_FV(E81,"Setor")</f>
        <v>Professional &amp; Commercial Services</v>
      </c>
      <c r="H81" s="4">
        <v>3.43</v>
      </c>
      <c r="I81" s="7" cm="1">
        <f t="array" aca="1" ref="I81" ca="1">+_FV(E81,"Preço")</f>
        <v>2.835</v>
      </c>
      <c r="J81" s="8">
        <f t="shared" ca="1" si="1"/>
        <v>-0.17346938775510212</v>
      </c>
      <c r="K81" s="4" t="s">
        <v>644</v>
      </c>
      <c r="L81" s="4" t="s">
        <v>645</v>
      </c>
      <c r="M81" s="4" t="s">
        <v>150</v>
      </c>
      <c r="N81" s="4" t="s">
        <v>646</v>
      </c>
      <c r="O81" s="4" t="s">
        <v>613</v>
      </c>
    </row>
    <row r="82" spans="1:15" x14ac:dyDescent="0.2">
      <c r="C82" s="11">
        <v>46057</v>
      </c>
      <c r="D82" t="s">
        <v>647</v>
      </c>
      <c r="E82" t="e" vm="81">
        <v>#VALUE!</v>
      </c>
      <c r="F82" s="4" t="str" cm="1">
        <f t="array" aca="1" ref="F82" ca="1">+_FV(E82,"Símbolo do ticker",TRUE)</f>
        <v>YATO</v>
      </c>
      <c r="G82" s="4" t="str" cm="1">
        <f t="array" aca="1" ref="G82" ca="1">+_FV(E82,"Setor")</f>
        <v>Residential &amp; Commercial REIT</v>
      </c>
      <c r="H82" s="4">
        <v>15.7</v>
      </c>
      <c r="I82" s="7" cm="1">
        <f t="array" aca="1" ref="I82" ca="1">+_FV(E82,"Preço")</f>
        <v>17.600000000000001</v>
      </c>
      <c r="J82" s="8">
        <f t="shared" ca="1" si="1"/>
        <v>0.12101910828025497</v>
      </c>
      <c r="K82" s="4">
        <v>855</v>
      </c>
      <c r="L82" s="4" t="s">
        <v>648</v>
      </c>
      <c r="M82" s="4" t="s">
        <v>151</v>
      </c>
      <c r="N82" s="4" t="s">
        <v>649</v>
      </c>
      <c r="O82" s="4" t="s">
        <v>470</v>
      </c>
    </row>
    <row r="83" spans="1:15" x14ac:dyDescent="0.2">
      <c r="C83" s="11">
        <v>46057</v>
      </c>
      <c r="D83" t="s">
        <v>650</v>
      </c>
      <c r="E83" t="e" vm="82">
        <v>#VALUE!</v>
      </c>
      <c r="F83" s="4" t="str" cm="1">
        <f t="array" aca="1" ref="F83" ca="1">+_FV(E83,"Símbolo do ticker",TRUE)</f>
        <v>OHLA</v>
      </c>
      <c r="G83" s="4" t="str" cm="1">
        <f t="array" aca="1" ref="G83" ca="1">+_FV(E83,"Setor")</f>
        <v>Construction &amp; Engineering</v>
      </c>
      <c r="H83" s="4">
        <v>0.35699999999999998</v>
      </c>
      <c r="I83" s="7" cm="1">
        <f t="array" aca="1" ref="I83" ca="1">+_FV(E83,"Preço")</f>
        <v>0.43259999999999998</v>
      </c>
      <c r="J83" s="8">
        <f t="shared" ca="1" si="1"/>
        <v>0.21176470588235285</v>
      </c>
      <c r="K83" s="4" t="s">
        <v>651</v>
      </c>
      <c r="L83" s="4" t="s">
        <v>79</v>
      </c>
      <c r="M83" s="4" t="s">
        <v>80</v>
      </c>
      <c r="N83" s="4" t="s">
        <v>652</v>
      </c>
      <c r="O83" s="4" t="s">
        <v>653</v>
      </c>
    </row>
    <row r="84" spans="1:15" x14ac:dyDescent="0.2">
      <c r="C84" s="11">
        <v>46057</v>
      </c>
      <c r="D84" t="s">
        <v>654</v>
      </c>
      <c r="E84" t="e" vm="83">
        <v>#VALUE!</v>
      </c>
      <c r="F84" s="4" t="str" cm="1">
        <f t="array" aca="1" ref="F84" ca="1">+_FV(E84,"Símbolo do ticker",TRUE)</f>
        <v>ALC</v>
      </c>
      <c r="G84" s="4" t="str" cm="1">
        <f t="array" aca="1" ref="G84" ca="1">+_FV(E84,"Setor")</f>
        <v>Software &amp; IT Services</v>
      </c>
      <c r="H84" s="4">
        <v>7.1</v>
      </c>
      <c r="I84" s="7" cm="1">
        <f t="array" aca="1" ref="I84" ca="1">+_FV(E84,"Preço")</f>
        <v>7</v>
      </c>
      <c r="J84" s="8">
        <f t="shared" ca="1" si="1"/>
        <v>-1.4084507042253502E-2</v>
      </c>
      <c r="K84" s="4" t="s">
        <v>269</v>
      </c>
      <c r="L84" s="4" t="s">
        <v>152</v>
      </c>
      <c r="M84" s="4" t="s">
        <v>153</v>
      </c>
      <c r="N84" s="4" t="s">
        <v>655</v>
      </c>
      <c r="O84" s="4" t="s">
        <v>567</v>
      </c>
    </row>
    <row r="85" spans="1:15" x14ac:dyDescent="0.2">
      <c r="C85" s="11">
        <v>46057</v>
      </c>
      <c r="D85" t="s">
        <v>7</v>
      </c>
      <c r="E85" t="e" vm="84">
        <v>#VALUE!</v>
      </c>
      <c r="F85" s="4" t="str" cm="1">
        <f t="array" aca="1" ref="F85" ca="1">+_FV(E85,"Símbolo do ticker",TRUE)</f>
        <v>PRS</v>
      </c>
      <c r="G85" s="4" t="str" cm="1">
        <f t="array" aca="1" ref="G85" ca="1">+_FV(E85,"Setor")</f>
        <v>Media &amp; Publishing</v>
      </c>
      <c r="H85" s="4">
        <v>0.35</v>
      </c>
      <c r="I85" s="7" cm="1">
        <f t="array" aca="1" ref="I85" ca="1">+_FV(E85,"Preço")</f>
        <v>2.9780000000000002</v>
      </c>
      <c r="J85" s="8">
        <f t="shared" ca="1" si="1"/>
        <v>7.5085714285714289</v>
      </c>
      <c r="K85" s="4" t="s">
        <v>656</v>
      </c>
      <c r="L85" s="4" t="s">
        <v>657</v>
      </c>
      <c r="M85" s="4" t="s">
        <v>81</v>
      </c>
      <c r="N85" s="4" t="s">
        <v>658</v>
      </c>
      <c r="O85" s="4" t="s">
        <v>613</v>
      </c>
    </row>
    <row r="86" spans="1:15" x14ac:dyDescent="0.2">
      <c r="C86" s="11">
        <v>46057</v>
      </c>
      <c r="D86" t="s">
        <v>659</v>
      </c>
      <c r="E86" t="e" vm="85">
        <v>#VALUE!</v>
      </c>
      <c r="F86" s="4" t="str" cm="1">
        <f t="array" aca="1" ref="F86" ca="1">+_FV(E86,"Símbolo do ticker",TRUE)</f>
        <v>TUB</v>
      </c>
      <c r="G86" s="4" t="str" cm="1">
        <f t="array" aca="1" ref="G86" ca="1">+_FV(E86,"Setor")</f>
        <v>Metals &amp; Mining</v>
      </c>
      <c r="H86" s="4">
        <v>3.41</v>
      </c>
      <c r="I86" s="7" cm="1">
        <f t="array" aca="1" ref="I86" ca="1">+_FV(E86,"Preço")</f>
        <v>3.08</v>
      </c>
      <c r="J86" s="8">
        <f t="shared" ca="1" si="1"/>
        <v>-9.6774193548387122E-2</v>
      </c>
      <c r="K86" s="4" t="s">
        <v>660</v>
      </c>
      <c r="L86" s="4" t="s">
        <v>661</v>
      </c>
      <c r="M86" s="4" t="s">
        <v>83</v>
      </c>
      <c r="N86" s="4" t="s">
        <v>662</v>
      </c>
      <c r="O86" s="4" t="s">
        <v>337</v>
      </c>
    </row>
    <row r="87" spans="1:15" x14ac:dyDescent="0.2">
      <c r="C87" s="11">
        <v>46057</v>
      </c>
      <c r="D87" t="s">
        <v>8</v>
      </c>
      <c r="E87" t="e" vm="86">
        <v>#VALUE!</v>
      </c>
      <c r="F87" s="4" t="str" cm="1">
        <f t="array" aca="1" ref="F87" ca="1">+_FV(E87,"Símbolo do ticker",TRUE)</f>
        <v>NXT</v>
      </c>
      <c r="G87" s="4" t="str" cm="1">
        <f t="array" aca="1" ref="G87" ca="1">+_FV(E87,"Setor")</f>
        <v>Textiles &amp; Apparel</v>
      </c>
      <c r="H87" s="4">
        <v>0.94</v>
      </c>
      <c r="I87" s="7" cm="1">
        <f t="array" aca="1" ref="I87" ca="1">+_FV(E87,"Preço")</f>
        <v>1.046</v>
      </c>
      <c r="J87" s="8">
        <f t="shared" ca="1" si="1"/>
        <v>0.11276595744680851</v>
      </c>
      <c r="K87" s="4" t="s">
        <v>663</v>
      </c>
      <c r="L87" s="4" t="s">
        <v>664</v>
      </c>
      <c r="M87" s="4" t="s">
        <v>84</v>
      </c>
      <c r="N87" s="4" t="s">
        <v>665</v>
      </c>
      <c r="O87" s="4" t="s">
        <v>666</v>
      </c>
    </row>
    <row r="88" spans="1:15" x14ac:dyDescent="0.2">
      <c r="C88" s="11">
        <v>46057</v>
      </c>
      <c r="D88" t="s">
        <v>154</v>
      </c>
      <c r="E88" t="e" vm="87">
        <v>#VALUE!</v>
      </c>
      <c r="F88" s="4" t="str" cm="1">
        <f t="array" aca="1" ref="F88" ca="1">+_FV(E88,"Símbolo do ticker",TRUE)</f>
        <v>YTST</v>
      </c>
      <c r="G88" s="4" t="str" cm="1">
        <f t="array" aca="1" ref="G88" ca="1">+_FV(E88,"Setor")</f>
        <v>Real Estate Operations</v>
      </c>
      <c r="H88" s="4">
        <v>3.1</v>
      </c>
      <c r="I88" s="7" cm="1">
        <f t="array" aca="1" ref="I88" ca="1">+_FV(E88,"Preço")</f>
        <v>3.18</v>
      </c>
      <c r="J88" s="8">
        <f t="shared" ca="1" si="1"/>
        <v>2.5806451612903292E-2</v>
      </c>
      <c r="K88" s="4">
        <v>18</v>
      </c>
      <c r="L88" s="4" t="s">
        <v>155</v>
      </c>
      <c r="M88" s="4" t="s">
        <v>156</v>
      </c>
      <c r="N88" s="4" t="s">
        <v>667</v>
      </c>
      <c r="O88" s="4" t="s">
        <v>593</v>
      </c>
    </row>
    <row r="89" spans="1:15" x14ac:dyDescent="0.2">
      <c r="C89" s="11">
        <v>46057</v>
      </c>
      <c r="D89" t="s">
        <v>668</v>
      </c>
      <c r="E89" t="e" vm="88">
        <v>#VALUE!</v>
      </c>
      <c r="F89" s="4" t="str" cm="1">
        <f t="array" aca="1" ref="F89" ca="1">+_FV(E89,"Símbolo do ticker",TRUE)</f>
        <v>AMP</v>
      </c>
      <c r="G89" s="4" t="str" cm="1">
        <f t="array" aca="1" ref="G89" ca="1">+_FV(E89,"Setor")</f>
        <v>Communications &amp; Networking</v>
      </c>
      <c r="H89" s="4">
        <v>0.17879999999999999</v>
      </c>
      <c r="I89" s="7" cm="1">
        <f t="array" aca="1" ref="I89" ca="1">+_FV(E89,"Preço")</f>
        <v>4.78</v>
      </c>
      <c r="J89" s="8">
        <f t="shared" ca="1" si="1"/>
        <v>25.733780760626402</v>
      </c>
      <c r="K89" s="4" t="s">
        <v>669</v>
      </c>
      <c r="L89" s="4" t="s">
        <v>670</v>
      </c>
      <c r="M89" s="4" t="s">
        <v>82</v>
      </c>
      <c r="N89" s="4" t="s">
        <v>671</v>
      </c>
      <c r="O89" s="4" t="s">
        <v>619</v>
      </c>
    </row>
    <row r="90" spans="1:15" x14ac:dyDescent="0.2">
      <c r="C90" s="11">
        <v>46057</v>
      </c>
      <c r="D90" t="s">
        <v>672</v>
      </c>
      <c r="E90" t="e" vm="89">
        <v>#VALUE!</v>
      </c>
      <c r="F90" s="4" t="str" cm="1">
        <f t="array" aca="1" ref="F90" ca="1">+_FV(E90,"Símbolo do ticker",TRUE)</f>
        <v>TLGO</v>
      </c>
      <c r="G90" s="4" t="str" cm="1">
        <f t="array" aca="1" ref="G90" ca="1">+_FV(E90,"Setor")</f>
        <v>Machinery, Equipment &amp; Components</v>
      </c>
      <c r="H90" s="4">
        <v>2.92</v>
      </c>
      <c r="I90" s="7" cm="1">
        <f t="array" aca="1" ref="I90" ca="1">+_FV(E90,"Preço")</f>
        <v>2.7250000000000001</v>
      </c>
      <c r="J90" s="8">
        <f t="shared" ca="1" si="1"/>
        <v>-6.6780821917808209E-2</v>
      </c>
      <c r="K90" s="4" t="s">
        <v>673</v>
      </c>
      <c r="L90" s="4" t="s">
        <v>674</v>
      </c>
      <c r="M90" s="4" t="s">
        <v>157</v>
      </c>
      <c r="N90" s="4" t="s">
        <v>675</v>
      </c>
      <c r="O90" s="4" t="s">
        <v>539</v>
      </c>
    </row>
    <row r="91" spans="1:15" x14ac:dyDescent="0.2">
      <c r="C91" s="11">
        <v>46057</v>
      </c>
      <c r="D91" t="s">
        <v>676</v>
      </c>
      <c r="E91" t="e" vm="90">
        <v>#VALUE!</v>
      </c>
      <c r="F91" s="4" t="str" cm="1">
        <f t="array" aca="1" ref="F91" ca="1">+_FV(E91,"Símbolo do ticker",TRUE)</f>
        <v>YFID</v>
      </c>
      <c r="G91" s="4" t="str" cm="1">
        <f t="array" aca="1" ref="G91" ca="1">+_FV(E91,"Setor")</f>
        <v>Residential &amp; Commercial REIT</v>
      </c>
      <c r="H91" s="4">
        <v>40</v>
      </c>
      <c r="I91" s="7" cm="1">
        <f t="array" aca="1" ref="I91" ca="1">+_FV(E91,"Preço")</f>
        <v>40</v>
      </c>
      <c r="J91" s="8">
        <f t="shared" ca="1" si="1"/>
        <v>0</v>
      </c>
      <c r="K91" s="4">
        <v>149</v>
      </c>
      <c r="L91" s="4" t="s">
        <v>159</v>
      </c>
      <c r="M91" s="4" t="s">
        <v>160</v>
      </c>
      <c r="N91" s="4" t="s">
        <v>677</v>
      </c>
      <c r="O91" s="4" t="s">
        <v>678</v>
      </c>
    </row>
    <row r="92" spans="1:15" s="1" customFormat="1" ht="15" x14ac:dyDescent="0.25">
      <c r="A92" s="1">
        <v>8</v>
      </c>
      <c r="B92" s="1" t="s">
        <v>1076</v>
      </c>
      <c r="C92" s="10">
        <v>46057</v>
      </c>
      <c r="D92" s="1" t="s">
        <v>679</v>
      </c>
      <c r="E92" s="1" t="e" vm="91">
        <v>#VALUE!</v>
      </c>
      <c r="F92" s="3" t="str" cm="1">
        <f t="array" aca="1" ref="F92" ca="1">+_FV(E92,"Símbolo do ticker",TRUE)</f>
        <v>EDR</v>
      </c>
      <c r="G92" s="3" t="str" cm="1">
        <f t="array" aca="1" ref="G92" ca="1">+_FV(E92,"Setor")</f>
        <v>Hotels &amp; Entertainment Services</v>
      </c>
      <c r="H92" s="3">
        <v>3.355</v>
      </c>
      <c r="I92" s="5" cm="1">
        <f t="array" aca="1" ref="I92" ca="1">+_FV(E92,"Preço")</f>
        <v>5.68</v>
      </c>
      <c r="J92" s="6">
        <f t="shared" ca="1" si="1"/>
        <v>0.69299552906110273</v>
      </c>
      <c r="K92" s="3" t="s">
        <v>680</v>
      </c>
      <c r="L92" s="3" t="s">
        <v>681</v>
      </c>
      <c r="M92" s="3" t="s">
        <v>158</v>
      </c>
      <c r="N92" s="3" t="s">
        <v>682</v>
      </c>
      <c r="O92" s="3" t="s">
        <v>683</v>
      </c>
    </row>
    <row r="93" spans="1:15" x14ac:dyDescent="0.2">
      <c r="C93" s="11">
        <v>46057</v>
      </c>
      <c r="D93" t="s">
        <v>684</v>
      </c>
      <c r="E93" t="e" vm="92">
        <v>#VALUE!</v>
      </c>
      <c r="F93" s="4" t="str" cm="1">
        <f t="array" aca="1" ref="F93" ca="1">+_FV(E93,"Símbolo do ticker",TRUE)</f>
        <v>ALNT</v>
      </c>
      <c r="G93" s="4" t="str" cm="1">
        <f t="array" aca="1" ref="G93" ca="1">+_FV(E93,"Setor")</f>
        <v>Investment Banking &amp; Investment Services</v>
      </c>
      <c r="H93" s="4">
        <v>9.0399999999999991</v>
      </c>
      <c r="I93" s="7" cm="1">
        <f t="array" aca="1" ref="I93" ca="1">+_FV(E93,"Preço")</f>
        <v>10.1</v>
      </c>
      <c r="J93" s="8">
        <f t="shared" ca="1" si="1"/>
        <v>0.11725663716814161</v>
      </c>
      <c r="K93" s="4" t="s">
        <v>685</v>
      </c>
      <c r="L93" s="4" t="s">
        <v>686</v>
      </c>
      <c r="M93" s="4" t="s">
        <v>85</v>
      </c>
      <c r="N93" s="4" t="s">
        <v>687</v>
      </c>
      <c r="O93" s="4" t="s">
        <v>688</v>
      </c>
    </row>
    <row r="94" spans="1:15" x14ac:dyDescent="0.2">
      <c r="C94" s="11">
        <v>46057</v>
      </c>
      <c r="D94" t="s">
        <v>689</v>
      </c>
      <c r="E94" t="e" vm="93">
        <v>#VALUE!</v>
      </c>
      <c r="F94" s="4" t="str" cm="1">
        <f t="array" aca="1" ref="F94" ca="1">+_FV(E94,"Símbolo do ticker",TRUE)</f>
        <v>YHTI</v>
      </c>
      <c r="G94" s="4" t="str" cm="1">
        <f t="array" aca="1" ref="G94" ca="1">+_FV(E94,"Setor")</f>
        <v>Residential &amp; Commercial REIT</v>
      </c>
      <c r="H94" s="4">
        <v>2.88</v>
      </c>
      <c r="I94" s="7" cm="1">
        <f t="array" aca="1" ref="I94" ca="1">+_FV(E94,"Preço")</f>
        <v>3</v>
      </c>
      <c r="J94" s="8">
        <f t="shared" ca="1" si="1"/>
        <v>4.1666666666666741E-2</v>
      </c>
      <c r="K94" s="4" t="s">
        <v>690</v>
      </c>
      <c r="L94" s="4" t="s">
        <v>691</v>
      </c>
      <c r="M94" s="4" t="s">
        <v>163</v>
      </c>
      <c r="N94" s="4" t="s">
        <v>692</v>
      </c>
      <c r="O94" s="4" t="s">
        <v>693</v>
      </c>
    </row>
    <row r="95" spans="1:15" x14ac:dyDescent="0.2">
      <c r="C95" s="11">
        <v>46057</v>
      </c>
      <c r="D95" t="s">
        <v>694</v>
      </c>
      <c r="E95" t="e" vm="94">
        <v>#VALUE!</v>
      </c>
      <c r="F95" s="4" t="str" cm="1">
        <f t="array" aca="1" ref="F95" ca="1">+_FV(E95,"Símbolo do ticker",TRUE)</f>
        <v>IZER</v>
      </c>
      <c r="G95" s="4" t="str" cm="1">
        <f t="array" aca="1" ref="G95" ca="1">+_FV(E95,"Setor")</f>
        <v>Software &amp; IT Services</v>
      </c>
      <c r="H95" s="4">
        <v>9.56</v>
      </c>
      <c r="I95" s="7" cm="1">
        <f t="array" aca="1" ref="I95" ca="1">+_FV(E95,"Preço")</f>
        <v>8.52</v>
      </c>
      <c r="J95" s="8">
        <f t="shared" ca="1" si="1"/>
        <v>-0.10878661087866115</v>
      </c>
      <c r="K95" s="4" t="s">
        <v>695</v>
      </c>
      <c r="L95" s="4" t="s">
        <v>696</v>
      </c>
      <c r="M95" s="4" t="s">
        <v>162</v>
      </c>
      <c r="N95" s="4" t="s">
        <v>697</v>
      </c>
      <c r="O95" s="4" t="s">
        <v>698</v>
      </c>
    </row>
    <row r="96" spans="1:15" x14ac:dyDescent="0.2">
      <c r="C96" s="11">
        <v>46057</v>
      </c>
      <c r="D96" t="s">
        <v>699</v>
      </c>
      <c r="E96" t="e" vm="95">
        <v>#VALUE!</v>
      </c>
      <c r="F96" s="4" t="str" cm="1">
        <f t="array" aca="1" ref="F96" ca="1">+_FV(E96,"Símbolo do ticker",TRUE)</f>
        <v>ECR</v>
      </c>
      <c r="G96" s="4" t="str" cm="1">
        <f t="array" aca="1" ref="G96" ca="1">+_FV(E96,"Setor")</f>
        <v>Chemicals</v>
      </c>
      <c r="H96" s="4">
        <v>3.4249999999999998</v>
      </c>
      <c r="I96" s="7" cm="1">
        <f t="array" aca="1" ref="I96" ca="1">+_FV(E96,"Preço")</f>
        <v>3.48</v>
      </c>
      <c r="J96" s="8">
        <f t="shared" ca="1" si="1"/>
        <v>1.6058394160584077E-2</v>
      </c>
      <c r="K96" s="4" t="s">
        <v>700</v>
      </c>
      <c r="L96" s="4" t="s">
        <v>86</v>
      </c>
      <c r="M96" s="4" t="s">
        <v>87</v>
      </c>
      <c r="N96" s="4" t="s">
        <v>701</v>
      </c>
      <c r="O96" s="4" t="s">
        <v>581</v>
      </c>
    </row>
    <row r="97" spans="1:15" x14ac:dyDescent="0.2">
      <c r="C97" s="11">
        <v>46057</v>
      </c>
      <c r="D97" t="s">
        <v>702</v>
      </c>
      <c r="E97" t="e" vm="96">
        <v>#VALUE!</v>
      </c>
      <c r="F97" s="4" t="str" cm="1">
        <f t="array" aca="1" ref="F97" ca="1">+_FV(E97,"Símbolo do ticker",TRUE)</f>
        <v>NAT</v>
      </c>
      <c r="G97" s="4" t="str" cm="1">
        <f t="array" aca="1" ref="G97" ca="1">+_FV(E97,"Setor")</f>
        <v>Pharmaceuticals</v>
      </c>
      <c r="H97" s="4">
        <v>0.7</v>
      </c>
      <c r="I97" s="7" cm="1">
        <f t="array" aca="1" ref="I97" ca="1">+_FV(E97,"Preço")</f>
        <v>0.59</v>
      </c>
      <c r="J97" s="8">
        <f t="shared" ca="1" si="1"/>
        <v>-0.15714285714285714</v>
      </c>
      <c r="K97" s="4" t="s">
        <v>703</v>
      </c>
      <c r="L97" s="4" t="s">
        <v>704</v>
      </c>
      <c r="M97" s="4" t="s">
        <v>164</v>
      </c>
      <c r="N97" s="4" t="s">
        <v>705</v>
      </c>
      <c r="O97" s="4" t="s">
        <v>706</v>
      </c>
    </row>
    <row r="98" spans="1:15" x14ac:dyDescent="0.2">
      <c r="C98" s="11">
        <v>46057</v>
      </c>
      <c r="D98" t="s">
        <v>707</v>
      </c>
      <c r="E98" t="e" vm="97">
        <v>#VALUE!</v>
      </c>
      <c r="F98" s="4" t="str" cm="1">
        <f t="array" aca="1" ref="F98" ca="1">+_FV(E98,"Símbolo do ticker",TRUE)</f>
        <v>ISUR</v>
      </c>
      <c r="G98" s="4" t="str" cm="1">
        <f t="array" aca="1" ref="G98" ca="1">+_FV(E98,"Setor")</f>
        <v>Real Estate Operations</v>
      </c>
      <c r="H98" s="4">
        <v>15.9</v>
      </c>
      <c r="I98" s="7" cm="1">
        <f t="array" aca="1" ref="I98" ca="1">+_FV(E98,"Preço")</f>
        <v>16.55</v>
      </c>
      <c r="J98" s="8">
        <f t="shared" ca="1" si="1"/>
        <v>4.088050314465419E-2</v>
      </c>
      <c r="K98" s="4" t="s">
        <v>708</v>
      </c>
      <c r="L98" s="4" t="s">
        <v>709</v>
      </c>
      <c r="M98" s="4" t="s">
        <v>88</v>
      </c>
      <c r="N98" s="4" t="s">
        <v>710</v>
      </c>
      <c r="O98" s="4" t="s">
        <v>711</v>
      </c>
    </row>
    <row r="99" spans="1:15" x14ac:dyDescent="0.2">
      <c r="C99" s="11">
        <v>46057</v>
      </c>
      <c r="D99" t="s">
        <v>712</v>
      </c>
      <c r="E99" t="e" vm="98">
        <v>#VALUE!</v>
      </c>
      <c r="F99" s="4" t="str" cm="1">
        <f t="array" aca="1" ref="F99" ca="1">+_FV(E99,"Símbolo do ticker",TRUE)</f>
        <v>ENER</v>
      </c>
      <c r="G99" s="4" t="str" cm="1">
        <f t="array" aca="1" ref="G99" ca="1">+_FV(E99,"Setor")</f>
        <v>Electrical Utilities &amp; IPPs</v>
      </c>
      <c r="H99" s="4">
        <v>4.95</v>
      </c>
      <c r="I99" s="7" cm="1">
        <f t="array" aca="1" ref="I99" ca="1">+_FV(E99,"Preço")</f>
        <v>4.0999999999999996</v>
      </c>
      <c r="J99" s="8">
        <f t="shared" ca="1" si="1"/>
        <v>-0.17171717171717182</v>
      </c>
      <c r="K99" s="4" t="s">
        <v>713</v>
      </c>
      <c r="L99" s="4" t="s">
        <v>714</v>
      </c>
      <c r="M99" s="4" t="s">
        <v>165</v>
      </c>
      <c r="N99" s="4" t="s">
        <v>715</v>
      </c>
      <c r="O99" s="4" t="s">
        <v>716</v>
      </c>
    </row>
    <row r="100" spans="1:15" x14ac:dyDescent="0.2">
      <c r="C100" s="11">
        <v>46057</v>
      </c>
      <c r="D100" t="s">
        <v>717</v>
      </c>
      <c r="E100" t="e" vm="99">
        <v>#VALUE!</v>
      </c>
      <c r="F100" s="4" t="str" cm="1">
        <f t="array" aca="1" ref="F100" ca="1">+_FV(E100,"Símbolo do ticker",TRUE)</f>
        <v>YSIL</v>
      </c>
      <c r="G100" s="4" t="str" cm="1">
        <f t="array" aca="1" ref="G100" ca="1">+_FV(E100,"Setor")</f>
        <v>Residential &amp; Commercial REIT</v>
      </c>
      <c r="H100" s="4">
        <v>11</v>
      </c>
      <c r="I100" s="7" cm="1">
        <f t="array" aca="1" ref="I100" ca="1">+_FV(E100,"Preço")</f>
        <v>10.9</v>
      </c>
      <c r="J100" s="8">
        <f t="shared" ca="1" si="1"/>
        <v>-9.0909090909090384E-3</v>
      </c>
      <c r="K100" s="4">
        <v>100</v>
      </c>
      <c r="L100" s="4" t="s">
        <v>166</v>
      </c>
      <c r="M100" s="4" t="s">
        <v>167</v>
      </c>
      <c r="N100" s="4" t="s">
        <v>718</v>
      </c>
      <c r="O100" s="4" t="s">
        <v>466</v>
      </c>
    </row>
    <row r="101" spans="1:15" s="1" customFormat="1" ht="15" x14ac:dyDescent="0.25">
      <c r="C101" s="10">
        <v>46057</v>
      </c>
      <c r="D101" s="1" t="s">
        <v>719</v>
      </c>
      <c r="E101" s="1" t="e" vm="100">
        <v>#VALUE!</v>
      </c>
      <c r="F101" s="3" t="str" cm="1">
        <f t="array" aca="1" ref="F101" ca="1">+_FV(E101,"Símbolo do ticker",TRUE)</f>
        <v>SOL</v>
      </c>
      <c r="G101" s="3" t="str" cm="1">
        <f t="array" aca="1" ref="G101" ca="1">+_FV(E101,"Setor")</f>
        <v>Renewable Energy</v>
      </c>
      <c r="H101" s="3">
        <v>0.6</v>
      </c>
      <c r="I101" s="5" cm="1">
        <f t="array" aca="1" ref="I101" ca="1">+_FV(E101,"Preço")</f>
        <v>0.84</v>
      </c>
      <c r="J101" s="6">
        <f t="shared" ca="1" si="1"/>
        <v>0.39999999999999991</v>
      </c>
      <c r="K101" s="3" t="s">
        <v>720</v>
      </c>
      <c r="L101" s="3" t="s">
        <v>721</v>
      </c>
      <c r="M101" s="3" t="s">
        <v>161</v>
      </c>
      <c r="N101" s="3"/>
      <c r="O101" s="3" t="s">
        <v>722</v>
      </c>
    </row>
    <row r="102" spans="1:15" x14ac:dyDescent="0.2">
      <c r="C102" s="11">
        <v>46057</v>
      </c>
      <c r="D102" t="s">
        <v>723</v>
      </c>
      <c r="E102" t="e" vm="101">
        <v>#VALUE!</v>
      </c>
      <c r="F102" s="4" t="str" cm="1">
        <f t="array" aca="1" ref="F102" ca="1">+_FV(E102,"Símbolo do ticker",TRUE)</f>
        <v>SEC</v>
      </c>
      <c r="G102" s="4" t="str" cm="1">
        <f t="array" aca="1" ref="G102" ca="1">+_FV(E102,"Setor")</f>
        <v>Media &amp; Publishing</v>
      </c>
      <c r="H102" s="4">
        <v>31.8</v>
      </c>
      <c r="I102" s="7" cm="1">
        <f t="array" aca="1" ref="I102" ca="1">+_FV(E102,"Preço")</f>
        <v>29</v>
      </c>
      <c r="J102" s="8">
        <f t="shared" ca="1" si="1"/>
        <v>-8.8050314465408785E-2</v>
      </c>
      <c r="K102" s="4">
        <v>92</v>
      </c>
      <c r="L102" s="4" t="s">
        <v>169</v>
      </c>
      <c r="M102" s="4" t="s">
        <v>170</v>
      </c>
      <c r="N102" s="4" t="s">
        <v>724</v>
      </c>
      <c r="O102" s="4" t="s">
        <v>725</v>
      </c>
    </row>
    <row r="103" spans="1:15" x14ac:dyDescent="0.2">
      <c r="C103" s="11">
        <v>46057</v>
      </c>
      <c r="D103" t="s">
        <v>726</v>
      </c>
      <c r="E103" t="e" vm="102">
        <v>#VALUE!</v>
      </c>
      <c r="F103" s="4" t="str" cm="1">
        <f t="array" aca="1" ref="F103" ca="1">+_FV(E103,"Símbolo do ticker",TRUE)</f>
        <v>ORY</v>
      </c>
      <c r="G103" s="4" t="str" cm="1">
        <f t="array" aca="1" ref="G103" ca="1">+_FV(E103,"Setor")</f>
        <v>Biotechnology &amp; Medical Research</v>
      </c>
      <c r="H103" s="4">
        <v>3.1749999999999998</v>
      </c>
      <c r="I103" s="7" cm="1">
        <f t="array" aca="1" ref="I103" ca="1">+_FV(E103,"Preço")</f>
        <v>2.9159999999999999</v>
      </c>
      <c r="J103" s="8">
        <f t="shared" ca="1" si="1"/>
        <v>-8.1574803149606301E-2</v>
      </c>
      <c r="K103" s="4" t="s">
        <v>727</v>
      </c>
      <c r="L103" s="4" t="s">
        <v>728</v>
      </c>
      <c r="M103" s="4" t="s">
        <v>729</v>
      </c>
      <c r="N103" s="4" t="s">
        <v>730</v>
      </c>
      <c r="O103" s="4" t="s">
        <v>731</v>
      </c>
    </row>
    <row r="104" spans="1:15" x14ac:dyDescent="0.2">
      <c r="C104" s="11">
        <v>46057</v>
      </c>
      <c r="D104" t="s">
        <v>732</v>
      </c>
      <c r="E104" t="e" vm="103">
        <v>#VALUE!</v>
      </c>
      <c r="F104" s="4" t="str" cm="1">
        <f t="array" aca="1" ref="F104" ca="1">+_FV(E104,"Símbolo do ticker",TRUE)</f>
        <v>ARM</v>
      </c>
      <c r="G104" s="4" t="str" cm="1">
        <f t="array" aca="1" ref="G104" ca="1">+_FV(E104,"Setor")</f>
        <v>Residential &amp; Commercial REIT</v>
      </c>
      <c r="H104" s="4">
        <v>7.9</v>
      </c>
      <c r="I104" s="7" cm="1">
        <f t="array" aca="1" ref="I104" ca="1">+_FV(E104,"Preço")</f>
        <v>10.1</v>
      </c>
      <c r="J104" s="8">
        <f t="shared" ca="1" si="1"/>
        <v>0.27848101265822778</v>
      </c>
      <c r="K104" s="4">
        <v>454</v>
      </c>
      <c r="L104" s="4" t="s">
        <v>733</v>
      </c>
      <c r="M104" s="4" t="s">
        <v>168</v>
      </c>
      <c r="N104" s="4" t="s">
        <v>734</v>
      </c>
      <c r="O104" s="4" t="s">
        <v>735</v>
      </c>
    </row>
    <row r="105" spans="1:15" x14ac:dyDescent="0.2">
      <c r="C105" s="11">
        <v>46057</v>
      </c>
      <c r="D105" t="s">
        <v>736</v>
      </c>
      <c r="E105" t="e" vm="104">
        <v>#VALUE!</v>
      </c>
      <c r="F105" s="4" t="str" cm="1">
        <f t="array" aca="1" ref="F105" ca="1">+_FV(E105,"Símbolo do ticker",TRUE)</f>
        <v>YVIT</v>
      </c>
      <c r="G105" s="4" t="str" cm="1">
        <f t="array" aca="1" ref="G105" ca="1">+_FV(E105,"Setor")</f>
        <v>Residential &amp; Commercial REIT</v>
      </c>
      <c r="H105" s="4">
        <v>16.5</v>
      </c>
      <c r="I105" s="7" cm="1">
        <f t="array" aca="1" ref="I105" ca="1">+_FV(E105,"Preço")</f>
        <v>18</v>
      </c>
      <c r="J105" s="8">
        <f t="shared" ca="1" si="1"/>
        <v>9.0909090909090828E-2</v>
      </c>
      <c r="K105" s="4" t="s">
        <v>282</v>
      </c>
      <c r="L105" s="4" t="s">
        <v>171</v>
      </c>
      <c r="M105" s="4" t="s">
        <v>172</v>
      </c>
      <c r="N105" s="4" t="s">
        <v>737</v>
      </c>
      <c r="O105" s="4" t="s">
        <v>738</v>
      </c>
    </row>
    <row r="106" spans="1:15" x14ac:dyDescent="0.2">
      <c r="C106" s="11">
        <v>46057</v>
      </c>
      <c r="D106" t="s">
        <v>739</v>
      </c>
      <c r="E106" t="e" vm="105">
        <v>#VALUE!</v>
      </c>
      <c r="F106" s="4" t="str" cm="1">
        <f t="array" aca="1" ref="F106" ca="1">+_FV(E106,"Símbolo do ticker",TRUE)</f>
        <v>YIRG</v>
      </c>
      <c r="G106" s="4" t="str" cm="1">
        <f t="array" aca="1" ref="G106" ca="1">+_FV(E106,"Setor")</f>
        <v>Residential &amp; Commercial REIT</v>
      </c>
      <c r="H106" s="4">
        <v>5.6</v>
      </c>
      <c r="I106" s="7" cm="1">
        <f t="array" aca="1" ref="I106" ca="1">+_FV(E106,"Preço")</f>
        <v>5.6</v>
      </c>
      <c r="J106" s="8">
        <f t="shared" ca="1" si="1"/>
        <v>0</v>
      </c>
      <c r="K106" s="4">
        <v>286</v>
      </c>
      <c r="L106" s="4" t="s">
        <v>173</v>
      </c>
      <c r="M106" s="4" t="s">
        <v>174</v>
      </c>
      <c r="N106" s="4" t="s">
        <v>740</v>
      </c>
      <c r="O106" s="4" t="s">
        <v>735</v>
      </c>
    </row>
    <row r="107" spans="1:15" x14ac:dyDescent="0.2">
      <c r="C107" s="11">
        <v>46057</v>
      </c>
      <c r="D107" t="s">
        <v>742</v>
      </c>
      <c r="E107" t="e" vm="106">
        <v>#VALUE!</v>
      </c>
      <c r="F107" s="4" t="str" cm="1">
        <f t="array" aca="1" ref="F107" ca="1">+_FV(E107,"Símbolo do ticker",TRUE)</f>
        <v>SQRL</v>
      </c>
      <c r="G107" s="4" t="str" cm="1">
        <f t="array" aca="1" ref="G107" ca="1">+_FV(E107,"Setor")</f>
        <v>Media &amp; Publishing</v>
      </c>
      <c r="H107" s="4">
        <v>2.4500000000000002</v>
      </c>
      <c r="I107" s="7" cm="1">
        <f t="array" aca="1" ref="I107" ca="1">+_FV(E107,"Preço")</f>
        <v>2.15</v>
      </c>
      <c r="J107" s="8">
        <f t="shared" ca="1" si="1"/>
        <v>-0.12244897959183687</v>
      </c>
      <c r="K107" s="4" t="s">
        <v>743</v>
      </c>
      <c r="L107" s="4" t="s">
        <v>744</v>
      </c>
      <c r="M107" s="4" t="s">
        <v>89</v>
      </c>
      <c r="N107" s="4"/>
      <c r="O107" s="4" t="s">
        <v>745</v>
      </c>
    </row>
    <row r="108" spans="1:15" x14ac:dyDescent="0.2">
      <c r="C108" s="11">
        <v>46057</v>
      </c>
      <c r="D108" t="s">
        <v>746</v>
      </c>
      <c r="E108" t="e" vm="107">
        <v>#VALUE!</v>
      </c>
      <c r="F108" s="4" t="str" cm="1">
        <f t="array" aca="1" ref="F108" ca="1">+_FV(E108,"Símbolo do ticker",TRUE)</f>
        <v>IBG</v>
      </c>
      <c r="G108" s="4" t="str" cm="1">
        <f t="array" aca="1" ref="G108" ca="1">+_FV(E108,"Setor")</f>
        <v>Paper &amp; Forest Products</v>
      </c>
      <c r="H108" s="4">
        <v>21</v>
      </c>
      <c r="I108" s="7" cm="1">
        <f t="array" aca="1" ref="I108" ca="1">+_FV(E108,"Preço")</f>
        <v>18.350000000000001</v>
      </c>
      <c r="J108" s="8">
        <f t="shared" ca="1" si="1"/>
        <v>-0.12619047619047608</v>
      </c>
      <c r="K108" s="4" t="s">
        <v>747</v>
      </c>
      <c r="L108" s="4" t="s">
        <v>748</v>
      </c>
      <c r="M108" s="4" t="s">
        <v>91</v>
      </c>
      <c r="N108" s="4" t="s">
        <v>525</v>
      </c>
      <c r="O108" s="4" t="s">
        <v>435</v>
      </c>
    </row>
    <row r="109" spans="1:15" x14ac:dyDescent="0.2">
      <c r="C109" s="11">
        <v>46057</v>
      </c>
      <c r="D109" t="s">
        <v>749</v>
      </c>
      <c r="E109" t="e" vm="108">
        <v>#VALUE!</v>
      </c>
      <c r="F109" s="4" t="str" cm="1">
        <f t="array" aca="1" ref="F109" ca="1">+_FV(E109,"Símbolo do ticker",TRUE)</f>
        <v>RJF</v>
      </c>
      <c r="G109" s="4" t="str" cm="1">
        <f t="array" aca="1" ref="G109" ca="1">+_FV(E109,"Setor")</f>
        <v>Pharmaceuticals</v>
      </c>
      <c r="H109" s="4">
        <v>2.75</v>
      </c>
      <c r="I109" s="7" cm="1">
        <f t="array" aca="1" ref="I109" ca="1">+_FV(E109,"Preço")</f>
        <v>2.75</v>
      </c>
      <c r="J109" s="8">
        <f t="shared" ca="1" si="1"/>
        <v>0</v>
      </c>
      <c r="K109" s="4" t="s">
        <v>750</v>
      </c>
      <c r="L109" s="4" t="s">
        <v>751</v>
      </c>
      <c r="M109" s="4" t="s">
        <v>90</v>
      </c>
      <c r="N109" s="4" t="s">
        <v>752</v>
      </c>
      <c r="O109" s="4" t="s">
        <v>753</v>
      </c>
    </row>
    <row r="110" spans="1:15" x14ac:dyDescent="0.2">
      <c r="C110" s="11">
        <v>46057</v>
      </c>
      <c r="D110" t="s">
        <v>754</v>
      </c>
      <c r="E110" t="e" vm="109">
        <v>#VALUE!</v>
      </c>
      <c r="F110" s="4" t="str" cm="1">
        <f t="array" aca="1" ref="F110" ca="1">+_FV(E110,"Símbolo do ticker",TRUE)</f>
        <v>ATRY</v>
      </c>
      <c r="G110" s="4" t="str" cm="1">
        <f t="array" aca="1" ref="G110" ca="1">+_FV(E110,"Setor")</f>
        <v>Healthcare Providers &amp; Services</v>
      </c>
      <c r="H110" s="4">
        <v>2.93</v>
      </c>
      <c r="I110" s="7" cm="1">
        <f t="array" aca="1" ref="I110" ca="1">+_FV(E110,"Preço")</f>
        <v>2.6150000000000002</v>
      </c>
      <c r="J110" s="8">
        <f t="shared" ca="1" si="1"/>
        <v>-0.10750853242320813</v>
      </c>
      <c r="K110" s="4" t="s">
        <v>755</v>
      </c>
      <c r="L110" s="4" t="s">
        <v>756</v>
      </c>
      <c r="M110" s="4" t="s">
        <v>175</v>
      </c>
      <c r="N110" s="4" t="s">
        <v>757</v>
      </c>
      <c r="O110" s="4" t="s">
        <v>758</v>
      </c>
    </row>
    <row r="111" spans="1:15" x14ac:dyDescent="0.2">
      <c r="C111" s="11">
        <v>46057</v>
      </c>
      <c r="D111" t="s">
        <v>759</v>
      </c>
      <c r="E111" t="e" vm="110">
        <v>#VALUE!</v>
      </c>
      <c r="F111" s="4" t="str" cm="1">
        <f t="array" aca="1" ref="F111" ca="1">+_FV(E111,"Símbolo do ticker",TRUE)</f>
        <v>PRM</v>
      </c>
      <c r="G111" s="4" t="str" cm="1">
        <f t="array" aca="1" ref="G111" ca="1">+_FV(E111,"Setor")</f>
        <v>Healthcare Equipment &amp; Supplies</v>
      </c>
      <c r="H111" s="4">
        <v>12.9</v>
      </c>
      <c r="I111" s="7" cm="1">
        <f t="array" aca="1" ref="I111" ca="1">+_FV(E111,"Preço")</f>
        <v>13.3</v>
      </c>
      <c r="J111" s="8">
        <f t="shared" ca="1" si="1"/>
        <v>3.1007751937984551E-2</v>
      </c>
      <c r="K111" s="4" t="s">
        <v>760</v>
      </c>
      <c r="L111" s="4" t="s">
        <v>761</v>
      </c>
      <c r="M111" s="4" t="s">
        <v>92</v>
      </c>
      <c r="N111" s="4" t="s">
        <v>762</v>
      </c>
      <c r="O111" s="4" t="s">
        <v>763</v>
      </c>
    </row>
    <row r="112" spans="1:15" s="1" customFormat="1" ht="15" x14ac:dyDescent="0.25">
      <c r="A112" s="1">
        <v>10</v>
      </c>
      <c r="B112" s="1" t="s">
        <v>1066</v>
      </c>
      <c r="C112" s="10">
        <v>46057</v>
      </c>
      <c r="D112" s="1" t="s">
        <v>766</v>
      </c>
      <c r="E112" s="1" t="e" vm="111">
        <v>#VALUE!</v>
      </c>
      <c r="F112" s="3" t="str" cm="1">
        <f t="array" aca="1" ref="F112" ca="1">+_FV(E112,"Símbolo do ticker",TRUE)</f>
        <v>AZK</v>
      </c>
      <c r="G112" s="3" t="str" cm="1">
        <f t="array" aca="1" ref="G112" ca="1">+_FV(E112,"Setor")</f>
        <v>Machinery, Equipment &amp; Components</v>
      </c>
      <c r="H112" s="3">
        <v>8.66</v>
      </c>
      <c r="I112" s="5" cm="1">
        <f t="array" aca="1" ref="I112" ca="1">+_FV(E112,"Preço")</f>
        <v>10.3</v>
      </c>
      <c r="J112" s="6">
        <f t="shared" ca="1" si="1"/>
        <v>0.18937644341801385</v>
      </c>
      <c r="K112" s="3" t="s">
        <v>767</v>
      </c>
      <c r="L112" s="3" t="s">
        <v>768</v>
      </c>
      <c r="M112" s="3" t="s">
        <v>93</v>
      </c>
      <c r="N112" s="3" t="s">
        <v>769</v>
      </c>
      <c r="O112" s="3" t="s">
        <v>770</v>
      </c>
    </row>
    <row r="113" spans="1:15" x14ac:dyDescent="0.2">
      <c r="C113" s="11">
        <v>46057</v>
      </c>
      <c r="D113" t="s">
        <v>176</v>
      </c>
      <c r="E113" t="e" vm="112">
        <v>#VALUE!</v>
      </c>
      <c r="F113" s="4" t="str" cm="1">
        <f t="array" aca="1" ref="F113" ca="1">+_FV(E113,"Símbolo do ticker",TRUE)</f>
        <v>YTRI</v>
      </c>
      <c r="G113" s="4" t="str" cm="1">
        <f t="array" aca="1" ref="G113" ca="1">+_FV(E113,"Setor")</f>
        <v>Residential &amp; Commercial REIT</v>
      </c>
      <c r="H113" s="4">
        <v>40.4</v>
      </c>
      <c r="I113" s="7" cm="1">
        <f t="array" aca="1" ref="I113" ca="1">+_FV(E113,"Preço")</f>
        <v>39.799999999999997</v>
      </c>
      <c r="J113" s="8">
        <f t="shared" ca="1" si="1"/>
        <v>-1.4851485148514865E-2</v>
      </c>
      <c r="K113" s="4">
        <v>123</v>
      </c>
      <c r="L113" s="4" t="s">
        <v>177</v>
      </c>
      <c r="M113" s="4" t="s">
        <v>178</v>
      </c>
      <c r="N113" s="4" t="s">
        <v>771</v>
      </c>
      <c r="O113" s="4"/>
    </row>
    <row r="114" spans="1:15" x14ac:dyDescent="0.2">
      <c r="C114" s="11">
        <v>46057</v>
      </c>
      <c r="D114" t="s">
        <v>773</v>
      </c>
      <c r="E114" t="e" vm="113">
        <v>#VALUE!</v>
      </c>
      <c r="F114" s="4" t="str" cm="1">
        <f t="array" aca="1" ref="F114" ca="1">+_FV(E114,"Símbolo do ticker",TRUE)</f>
        <v>YORE</v>
      </c>
      <c r="G114" s="4" t="str" cm="1">
        <f t="array" aca="1" ref="G114" ca="1">+_FV(E114,"Setor")</f>
        <v>Residential &amp; Commercial REIT</v>
      </c>
      <c r="H114" s="4">
        <v>0.95</v>
      </c>
      <c r="I114" s="7" cm="1">
        <f t="array" aca="1" ref="I114" ca="1">+_FV(E114,"Preço")</f>
        <v>0.98</v>
      </c>
      <c r="J114" s="8">
        <f t="shared" ca="1" si="1"/>
        <v>3.1578947368421151E-2</v>
      </c>
      <c r="K114" s="4" t="s">
        <v>774</v>
      </c>
      <c r="L114" s="4" t="s">
        <v>775</v>
      </c>
      <c r="M114" s="4" t="s">
        <v>179</v>
      </c>
      <c r="N114" s="4" t="s">
        <v>776</v>
      </c>
      <c r="O114" s="4" t="s">
        <v>735</v>
      </c>
    </row>
    <row r="115" spans="1:15" x14ac:dyDescent="0.2">
      <c r="C115" s="11">
        <v>46057</v>
      </c>
      <c r="D115" t="s">
        <v>777</v>
      </c>
      <c r="E115" t="e" vm="114">
        <v>#VALUE!</v>
      </c>
      <c r="F115" s="4" t="str" cm="1">
        <f t="array" aca="1" ref="F115" ca="1">+_FV(E115,"Símbolo do ticker",TRUE)</f>
        <v>VINTE*</v>
      </c>
      <c r="G115" s="4" t="str" cm="1">
        <f t="array" aca="1" ref="G115" ca="1">+_FV(E115,"Setor")</f>
        <v>Real Estate Operations</v>
      </c>
      <c r="H115" s="4">
        <v>35.159999999999997</v>
      </c>
      <c r="I115" s="7" cm="1">
        <f t="array" aca="1" ref="I115" ca="1">+_FV(E115,"Preço")</f>
        <v>35.99</v>
      </c>
      <c r="J115" s="8">
        <f t="shared" ca="1" si="1"/>
        <v>2.3606370875995708E-2</v>
      </c>
      <c r="K115" s="4">
        <v>609</v>
      </c>
      <c r="L115" s="4" t="s">
        <v>180</v>
      </c>
      <c r="M115" s="4" t="s">
        <v>181</v>
      </c>
      <c r="N115" s="4" t="s">
        <v>778</v>
      </c>
      <c r="O115" s="4" t="s">
        <v>779</v>
      </c>
    </row>
    <row r="116" spans="1:15" x14ac:dyDescent="0.2">
      <c r="C116" s="11">
        <v>46057</v>
      </c>
      <c r="D116" t="s">
        <v>780</v>
      </c>
      <c r="E116" t="e" vm="115">
        <v>#VALUE!</v>
      </c>
      <c r="F116" s="4" t="str" cm="1">
        <f t="array" aca="1" ref="F116" ca="1">+_FV(E116,"Símbolo do ticker",TRUE)</f>
        <v>SCBYT</v>
      </c>
      <c r="G116" s="4" t="str" cm="1">
        <f t="array" aca="1" ref="G116" ca="1">+_FV(E116,"Setor")</f>
        <v>Hotels &amp; Entertainment Services</v>
      </c>
      <c r="H116" s="4">
        <v>5.4</v>
      </c>
      <c r="I116" s="7" cm="1">
        <f t="array" aca="1" ref="I116" ca="1">+_FV(E116,"Preço")</f>
        <v>4.3600000000000003</v>
      </c>
      <c r="J116" s="8">
        <f t="shared" ca="1" si="1"/>
        <v>-0.19259259259259254</v>
      </c>
      <c r="K116" s="4">
        <v>743</v>
      </c>
      <c r="L116" s="4" t="s">
        <v>781</v>
      </c>
      <c r="M116" s="4" t="s">
        <v>182</v>
      </c>
      <c r="N116" s="4" t="s">
        <v>782</v>
      </c>
      <c r="O116" s="4" t="s">
        <v>783</v>
      </c>
    </row>
    <row r="117" spans="1:15" x14ac:dyDescent="0.2">
      <c r="C117" s="11">
        <v>46057</v>
      </c>
      <c r="D117" t="s">
        <v>183</v>
      </c>
      <c r="E117" t="e" vm="116">
        <v>#VALUE!</v>
      </c>
      <c r="F117" s="4" t="str" cm="1">
        <f t="array" aca="1" ref="F117" ca="1">+_FV(E117,"Símbolo do ticker",TRUE)</f>
        <v>YDOA</v>
      </c>
      <c r="G117" s="4" t="str" cm="1">
        <f t="array" aca="1" ref="G117" ca="1">+_FV(E117,"Setor")</f>
        <v>Residential &amp; Commercial REIT</v>
      </c>
      <c r="H117" s="4">
        <v>25.2</v>
      </c>
      <c r="I117" s="7" cm="1">
        <f t="array" aca="1" ref="I117" ca="1">+_FV(E117,"Preço")</f>
        <v>25.2</v>
      </c>
      <c r="J117" s="8">
        <f t="shared" ca="1" si="1"/>
        <v>0</v>
      </c>
      <c r="K117" s="4">
        <v>189</v>
      </c>
      <c r="L117" s="4" t="s">
        <v>184</v>
      </c>
      <c r="M117" s="4" t="s">
        <v>185</v>
      </c>
      <c r="N117" s="4" t="s">
        <v>784</v>
      </c>
      <c r="O117" s="4" t="s">
        <v>785</v>
      </c>
    </row>
    <row r="118" spans="1:15" x14ac:dyDescent="0.2">
      <c r="C118" s="11">
        <v>46057</v>
      </c>
      <c r="D118" t="s">
        <v>786</v>
      </c>
      <c r="E118" t="e" vm="117">
        <v>#VALUE!</v>
      </c>
      <c r="F118" s="4" t="str" cm="1">
        <f t="array" aca="1" ref="F118" ca="1">+_FV(E118,"Símbolo do ticker",TRUE)</f>
        <v>AI</v>
      </c>
      <c r="G118" s="4" t="str" cm="1">
        <f t="array" aca="1" ref="G118" ca="1">+_FV(E118,"Setor")</f>
        <v>Electronic Equipment &amp; Parts</v>
      </c>
      <c r="H118" s="4">
        <v>9.7900000000000001E-2</v>
      </c>
      <c r="I118" s="7" cm="1">
        <f t="array" aca="1" ref="I118" ca="1">+_FV(E118,"Preço")</f>
        <v>9.1899999999999996E-2</v>
      </c>
      <c r="J118" s="8">
        <f t="shared" ca="1" si="1"/>
        <v>-6.128702757916249E-2</v>
      </c>
      <c r="K118" s="4" t="s">
        <v>787</v>
      </c>
      <c r="L118" s="4" t="s">
        <v>788</v>
      </c>
      <c r="M118" s="4" t="s">
        <v>94</v>
      </c>
      <c r="N118" s="4" t="s">
        <v>789</v>
      </c>
      <c r="O118" s="4" t="s">
        <v>790</v>
      </c>
    </row>
    <row r="119" spans="1:15" x14ac:dyDescent="0.2">
      <c r="C119" s="11">
        <v>46057</v>
      </c>
      <c r="D119" t="s">
        <v>187</v>
      </c>
      <c r="E119" t="e" vm="118">
        <v>#VALUE!</v>
      </c>
      <c r="F119" s="4" t="str" cm="1">
        <f t="array" aca="1" ref="F119" ca="1">+_FV(E119,"Símbolo do ticker",TRUE)</f>
        <v>BKY</v>
      </c>
      <c r="G119" s="4" t="str" cm="1">
        <f t="array" aca="1" ref="G119" ca="1">+_FV(E119,"Setor")</f>
        <v>Metals &amp; Mining</v>
      </c>
      <c r="H119" s="4">
        <v>0.317</v>
      </c>
      <c r="I119" s="7" cm="1">
        <f t="array" aca="1" ref="I119" ca="1">+_FV(E119,"Preço")</f>
        <v>0.29249999999999998</v>
      </c>
      <c r="J119" s="8">
        <f t="shared" ca="1" si="1"/>
        <v>-7.7287066246056857E-2</v>
      </c>
      <c r="K119" s="4" t="s">
        <v>791</v>
      </c>
      <c r="L119" s="4" t="s">
        <v>792</v>
      </c>
      <c r="M119" s="4" t="s">
        <v>25</v>
      </c>
      <c r="N119" s="4" t="s">
        <v>793</v>
      </c>
      <c r="O119" s="4" t="s">
        <v>683</v>
      </c>
    </row>
    <row r="120" spans="1:15" x14ac:dyDescent="0.2">
      <c r="C120" s="11">
        <v>46057</v>
      </c>
      <c r="D120" t="s">
        <v>794</v>
      </c>
      <c r="E120" t="e" vm="119">
        <v>#VALUE!</v>
      </c>
      <c r="F120" s="4" t="str" cm="1">
        <f t="array" aca="1" ref="F120" ca="1">+_FV(E120,"Símbolo do ticker",TRUE)</f>
        <v>NTH</v>
      </c>
      <c r="G120" s="4" t="str" cm="1">
        <f t="array" aca="1" ref="G120" ca="1">+_FV(E120,"Setor")</f>
        <v>Specialty Retailers</v>
      </c>
      <c r="H120" s="4">
        <v>2.41</v>
      </c>
      <c r="I120" s="7" cm="1">
        <f t="array" aca="1" ref="I120" ca="1">+_FV(E120,"Preço")</f>
        <v>2.58</v>
      </c>
      <c r="J120" s="8">
        <f t="shared" ca="1" si="1"/>
        <v>7.0539419087136901E-2</v>
      </c>
      <c r="K120" s="4" t="s">
        <v>795</v>
      </c>
      <c r="L120" s="4" t="s">
        <v>796</v>
      </c>
      <c r="M120" s="4" t="s">
        <v>186</v>
      </c>
      <c r="N120" s="4" t="s">
        <v>797</v>
      </c>
      <c r="O120" s="4" t="s">
        <v>413</v>
      </c>
    </row>
    <row r="121" spans="1:15" x14ac:dyDescent="0.2">
      <c r="C121" s="11">
        <v>46057</v>
      </c>
      <c r="D121" t="s">
        <v>798</v>
      </c>
      <c r="E121" t="e" vm="120">
        <v>#VALUE!</v>
      </c>
      <c r="F121" s="4" t="str" cm="1">
        <f t="array" aca="1" ref="F121" ca="1">+_FV(E121,"Símbolo do ticker",TRUE)</f>
        <v>GAM</v>
      </c>
      <c r="G121" s="4" t="str" cm="1">
        <f t="array" aca="1" ref="G121" ca="1">+_FV(E121,"Setor")</f>
        <v>Professional &amp; Commercial Services</v>
      </c>
      <c r="H121" s="4">
        <v>1.52</v>
      </c>
      <c r="I121" s="7" cm="1">
        <f t="array" aca="1" ref="I121" ca="1">+_FV(E121,"Preço")</f>
        <v>1.4950000000000001</v>
      </c>
      <c r="J121" s="8">
        <f t="shared" ca="1" si="1"/>
        <v>-1.6447368421052544E-2</v>
      </c>
      <c r="K121" s="4" t="s">
        <v>799</v>
      </c>
      <c r="L121" s="4" t="s">
        <v>800</v>
      </c>
      <c r="M121" s="4" t="s">
        <v>95</v>
      </c>
      <c r="N121" s="4" t="s">
        <v>801</v>
      </c>
      <c r="O121" s="4" t="s">
        <v>802</v>
      </c>
    </row>
    <row r="122" spans="1:15" x14ac:dyDescent="0.2">
      <c r="C122" s="11">
        <v>46057</v>
      </c>
      <c r="D122" t="s">
        <v>803</v>
      </c>
      <c r="E122" t="e" vm="121">
        <v>#VALUE!</v>
      </c>
      <c r="F122" s="4" t="str" cm="1">
        <f t="array" aca="1" ref="F122" ca="1">+_FV(E122,"Símbolo do ticker",TRUE)</f>
        <v>YADR</v>
      </c>
      <c r="G122" s="4" t="str" cm="1">
        <f t="array" aca="1" ref="G122" ca="1">+_FV(E122,"Setor")</f>
        <v>Residential &amp; Commercial REIT</v>
      </c>
      <c r="H122" s="4">
        <v>10.4</v>
      </c>
      <c r="I122" s="7" cm="1">
        <f t="array" aca="1" ref="I122" ca="1">+_FV(E122,"Preço")</f>
        <v>9.8000000000000007</v>
      </c>
      <c r="J122" s="8">
        <f t="shared" ca="1" si="1"/>
        <v>-5.7692307692307709E-2</v>
      </c>
      <c r="K122" s="4">
        <v>603</v>
      </c>
      <c r="L122" s="4" t="s">
        <v>188</v>
      </c>
      <c r="M122" s="4" t="s">
        <v>189</v>
      </c>
      <c r="N122" s="4" t="s">
        <v>804</v>
      </c>
      <c r="O122" s="4" t="s">
        <v>678</v>
      </c>
    </row>
    <row r="123" spans="1:15" x14ac:dyDescent="0.2">
      <c r="C123" s="11">
        <v>46057</v>
      </c>
      <c r="D123" t="s">
        <v>805</v>
      </c>
      <c r="E123" t="e" vm="122">
        <v>#VALUE!</v>
      </c>
      <c r="F123" s="4" t="str" cm="1">
        <f t="array" aca="1" ref="F123" ca="1">+_FV(E123,"Símbolo do ticker",TRUE)</f>
        <v>YISC</v>
      </c>
      <c r="G123" s="4" t="str" cm="1">
        <f t="array" aca="1" ref="G123" ca="1">+_FV(E123,"Setor")</f>
        <v>Real Estate Operations</v>
      </c>
      <c r="H123" s="4">
        <v>18</v>
      </c>
      <c r="I123" s="7" cm="1">
        <f t="array" aca="1" ref="I123" ca="1">+_FV(E123,"Preço")</f>
        <v>18</v>
      </c>
      <c r="J123" s="8">
        <f t="shared" ca="1" si="1"/>
        <v>0</v>
      </c>
      <c r="K123" s="4">
        <v>263</v>
      </c>
      <c r="L123" s="4" t="s">
        <v>190</v>
      </c>
      <c r="M123" s="4" t="s">
        <v>191</v>
      </c>
      <c r="N123" s="4" t="s">
        <v>806</v>
      </c>
      <c r="O123" s="4" t="s">
        <v>466</v>
      </c>
    </row>
    <row r="124" spans="1:15" x14ac:dyDescent="0.2">
      <c r="C124" s="11">
        <v>46057</v>
      </c>
      <c r="D124" t="s">
        <v>807</v>
      </c>
      <c r="E124" t="e" vm="123">
        <v>#VALUE!</v>
      </c>
      <c r="F124" s="4" t="str" cm="1">
        <f t="array" aca="1" ref="F124" ca="1">+_FV(E124,"Símbolo do ticker",TRUE)</f>
        <v>YTRM</v>
      </c>
      <c r="G124" s="4" t="str" cm="1">
        <f t="array" aca="1" ref="G124" ca="1">+_FV(E124,"Setor")</f>
        <v>Residential &amp; Commercial REIT</v>
      </c>
      <c r="H124" s="4">
        <v>23.8</v>
      </c>
      <c r="I124" s="7" cm="1">
        <f t="array" aca="1" ref="I124" ca="1">+_FV(E124,"Preço")</f>
        <v>25.6</v>
      </c>
      <c r="J124" s="8">
        <f t="shared" ca="1" si="1"/>
        <v>7.5630252100840289E-2</v>
      </c>
      <c r="K124" s="4">
        <v>185</v>
      </c>
      <c r="L124" s="4" t="s">
        <v>192</v>
      </c>
      <c r="M124" s="4" t="s">
        <v>25</v>
      </c>
      <c r="N124" s="4"/>
      <c r="O124" s="4"/>
    </row>
    <row r="125" spans="1:15" x14ac:dyDescent="0.2">
      <c r="C125" s="11">
        <v>46057</v>
      </c>
      <c r="D125" t="s">
        <v>808</v>
      </c>
      <c r="E125" t="e" vm="124">
        <v>#VALUE!</v>
      </c>
      <c r="F125" s="4" t="str" cm="1">
        <f t="array" aca="1" ref="F125" ca="1">+_FV(E125,"Símbolo do ticker",TRUE)</f>
        <v>OLE</v>
      </c>
      <c r="G125" s="4" t="str" cm="1">
        <f t="array" aca="1" ref="G125" ca="1">+_FV(E125,"Setor")</f>
        <v>Food &amp; Tobacco</v>
      </c>
      <c r="H125" s="4">
        <v>0.23599999999999999</v>
      </c>
      <c r="I125" s="7" cm="1">
        <f t="array" aca="1" ref="I125" ca="1">+_FV(E125,"Preço")</f>
        <v>0.33500000000000002</v>
      </c>
      <c r="J125" s="8">
        <f t="shared" ca="1" si="1"/>
        <v>0.41949152542372903</v>
      </c>
      <c r="K125" s="4" t="s">
        <v>809</v>
      </c>
      <c r="L125" s="4" t="s">
        <v>810</v>
      </c>
      <c r="M125" s="4" t="s">
        <v>96</v>
      </c>
      <c r="N125" s="4" t="s">
        <v>811</v>
      </c>
      <c r="O125" s="4" t="s">
        <v>812</v>
      </c>
    </row>
    <row r="126" spans="1:15" x14ac:dyDescent="0.2">
      <c r="C126" s="11">
        <v>46057</v>
      </c>
      <c r="D126" t="s">
        <v>193</v>
      </c>
      <c r="E126" t="e" vm="125">
        <v>#VALUE!</v>
      </c>
      <c r="F126" s="4" t="str" cm="1">
        <f t="array" aca="1" ref="F126" ca="1">+_FV(E126,"Símbolo do ticker",TRUE)</f>
        <v>YTEM</v>
      </c>
      <c r="G126" s="4" t="str" cm="1">
        <f t="array" aca="1" ref="G126" ca="1">+_FV(E126,"Setor")</f>
        <v>Residential &amp; Commercial REIT</v>
      </c>
      <c r="H126" s="4">
        <v>3.36</v>
      </c>
      <c r="I126" s="7" cm="1">
        <f t="array" aca="1" ref="I126" ca="1">+_FV(E126,"Preço")</f>
        <v>3.16</v>
      </c>
      <c r="J126" s="8">
        <f t="shared" ca="1" si="1"/>
        <v>-5.9523809523809423E-2</v>
      </c>
      <c r="K126" s="4" t="s">
        <v>194</v>
      </c>
      <c r="L126" s="4" t="s">
        <v>195</v>
      </c>
      <c r="M126" s="4" t="s">
        <v>196</v>
      </c>
      <c r="N126" s="4" t="s">
        <v>813</v>
      </c>
      <c r="O126" s="4" t="s">
        <v>779</v>
      </c>
    </row>
    <row r="127" spans="1:15" s="1" customFormat="1" ht="15" x14ac:dyDescent="0.25">
      <c r="A127" s="1">
        <v>10</v>
      </c>
      <c r="B127" s="1" t="s">
        <v>1067</v>
      </c>
      <c r="C127" s="10">
        <v>46057</v>
      </c>
      <c r="D127" s="1" t="s">
        <v>814</v>
      </c>
      <c r="E127" s="1" t="e" vm="126">
        <v>#VALUE!</v>
      </c>
      <c r="F127" s="3" t="str" cm="1">
        <f t="array" aca="1" ref="F127" ca="1">+_FV(E127,"Símbolo do ticker",TRUE)</f>
        <v>NEA</v>
      </c>
      <c r="G127" s="3" t="str" cm="1">
        <f t="array" aca="1" ref="G127" ca="1">+_FV(E127,"Setor")</f>
        <v>Machinery, Equipment &amp; Components</v>
      </c>
      <c r="H127" s="3">
        <v>9.68</v>
      </c>
      <c r="I127" s="5" cm="1">
        <f t="array" aca="1" ref="I127" ca="1">+_FV(E127,"Preço")</f>
        <v>9.5</v>
      </c>
      <c r="J127" s="6">
        <f t="shared" ca="1" si="1"/>
        <v>-1.8595041322314043E-2</v>
      </c>
      <c r="K127" s="3" t="s">
        <v>815</v>
      </c>
      <c r="L127" s="3" t="s">
        <v>816</v>
      </c>
      <c r="M127" s="3" t="s">
        <v>97</v>
      </c>
      <c r="N127" s="3" t="s">
        <v>817</v>
      </c>
      <c r="O127" s="3" t="s">
        <v>688</v>
      </c>
    </row>
    <row r="128" spans="1:15" x14ac:dyDescent="0.2">
      <c r="C128" s="11">
        <v>46057</v>
      </c>
      <c r="D128" t="s">
        <v>818</v>
      </c>
      <c r="E128" t="e" vm="127">
        <v>#VALUE!</v>
      </c>
      <c r="F128" s="4" t="str" cm="1">
        <f t="array" aca="1" ref="F128" ca="1">+_FV(E128,"Símbolo do ticker",TRUE)</f>
        <v>YTAN</v>
      </c>
      <c r="G128" s="4" t="str" cm="1">
        <f t="array" aca="1" ref="G128" ca="1">+_FV(E128,"Setor")</f>
        <v>Residential &amp; Commercial REIT</v>
      </c>
      <c r="H128" s="4">
        <v>12.1</v>
      </c>
      <c r="I128" s="7" cm="1">
        <f t="array" aca="1" ref="I128" ca="1">+_FV(E128,"Preço")</f>
        <v>12.1</v>
      </c>
      <c r="J128" s="8">
        <f t="shared" ca="1" si="1"/>
        <v>0</v>
      </c>
      <c r="K128" s="4">
        <v>428</v>
      </c>
      <c r="L128" s="4" t="s">
        <v>197</v>
      </c>
      <c r="M128" s="4" t="s">
        <v>198</v>
      </c>
      <c r="N128" s="4" t="s">
        <v>819</v>
      </c>
      <c r="O128" s="4" t="s">
        <v>785</v>
      </c>
    </row>
    <row r="129" spans="3:15" x14ac:dyDescent="0.2">
      <c r="C129" s="11">
        <v>46057</v>
      </c>
      <c r="D129" t="s">
        <v>820</v>
      </c>
      <c r="E129" t="e" vm="128">
        <v>#VALUE!</v>
      </c>
      <c r="F129" s="4" t="str" cm="1">
        <f t="array" aca="1" ref="F129" ca="1">+_FV(E129,"Símbolo do ticker",TRUE)</f>
        <v>AMEN</v>
      </c>
      <c r="G129" s="4" t="str" cm="1">
        <f t="array" aca="1" ref="G129" ca="1">+_FV(E129,"Setor")</f>
        <v>Software &amp; IT Services</v>
      </c>
      <c r="H129" s="4">
        <v>8.15</v>
      </c>
      <c r="I129" s="7" cm="1">
        <f t="array" aca="1" ref="I129" ca="1">+_FV(E129,"Preço")</f>
        <v>8.15</v>
      </c>
      <c r="J129" s="8">
        <f t="shared" ca="1" si="1"/>
        <v>0</v>
      </c>
      <c r="K129" s="4">
        <v>10</v>
      </c>
      <c r="L129" s="4" t="s">
        <v>199</v>
      </c>
      <c r="M129" s="4" t="s">
        <v>200</v>
      </c>
      <c r="N129" s="4" t="s">
        <v>821</v>
      </c>
      <c r="O129" s="4" t="s">
        <v>765</v>
      </c>
    </row>
    <row r="130" spans="3:15" x14ac:dyDescent="0.2">
      <c r="C130" s="11">
        <v>46057</v>
      </c>
      <c r="D130" t="s">
        <v>202</v>
      </c>
      <c r="E130" t="e" vm="129">
        <v>#VALUE!</v>
      </c>
      <c r="F130" s="4" t="str" cm="1">
        <f t="array" aca="1" ref="F130" ca="1">+_FV(E130,"Símbolo do ticker",TRUE)</f>
        <v>GGR</v>
      </c>
      <c r="G130" s="4" t="str" cm="1">
        <f t="array" aca="1" ref="G130" ca="1">+_FV(E130,"Setor")</f>
        <v>Renewable Energy</v>
      </c>
      <c r="H130" s="4">
        <v>3.86</v>
      </c>
      <c r="I130" s="7" cm="1">
        <f t="array" aca="1" ref="I130" ca="1">+_FV(E130,"Preço")</f>
        <v>2.04</v>
      </c>
      <c r="J130" s="8">
        <f t="shared" ca="1" si="1"/>
        <v>-0.47150259067357514</v>
      </c>
      <c r="K130" s="4" t="s">
        <v>822</v>
      </c>
      <c r="L130" s="4" t="s">
        <v>823</v>
      </c>
      <c r="M130" s="4" t="s">
        <v>25</v>
      </c>
      <c r="N130" s="4" t="s">
        <v>824</v>
      </c>
      <c r="O130" s="4" t="s">
        <v>825</v>
      </c>
    </row>
    <row r="131" spans="3:15" x14ac:dyDescent="0.2">
      <c r="C131" s="11">
        <v>46057</v>
      </c>
      <c r="D131" t="s">
        <v>826</v>
      </c>
      <c r="E131" t="e" vm="130">
        <v>#VALUE!</v>
      </c>
      <c r="F131" s="4" t="str" cm="1">
        <f t="array" aca="1" ref="F131" ca="1">+_FV(E131,"Símbolo do ticker",TRUE)</f>
        <v>CLR</v>
      </c>
      <c r="G131" s="4" t="str" cm="1">
        <f t="array" aca="1" ref="G131" ca="1">+_FV(E131,"Setor")</f>
        <v>Construction &amp; Engineering</v>
      </c>
      <c r="H131" s="4">
        <v>6.12</v>
      </c>
      <c r="I131" s="7" cm="1">
        <f t="array" aca="1" ref="I131" ca="1">+_FV(E131,"Preço")</f>
        <v>22</v>
      </c>
      <c r="J131" s="8">
        <f t="shared" ref="J131:J194" ca="1" si="2">+I131/H131-1</f>
        <v>2.5947712418300655</v>
      </c>
      <c r="K131" s="4" t="s">
        <v>827</v>
      </c>
      <c r="L131" s="4" t="s">
        <v>828</v>
      </c>
      <c r="M131" s="4" t="s">
        <v>201</v>
      </c>
      <c r="N131" s="4" t="s">
        <v>829</v>
      </c>
      <c r="O131" s="4" t="s">
        <v>830</v>
      </c>
    </row>
    <row r="132" spans="3:15" x14ac:dyDescent="0.2">
      <c r="C132" s="11">
        <v>46057</v>
      </c>
      <c r="D132" t="s">
        <v>203</v>
      </c>
      <c r="E132" t="e" vm="131">
        <v>#VALUE!</v>
      </c>
      <c r="F132" s="4" t="str" cm="1">
        <f t="array" aca="1" ref="F132" ca="1">+_FV(E132,"Símbolo do ticker",TRUE)</f>
        <v>SNG</v>
      </c>
      <c r="G132" s="4" t="str" cm="1">
        <f t="array" aca="1" ref="G132" ca="1">+_FV(E132,"Setor")</f>
        <v>Software &amp; IT Services</v>
      </c>
      <c r="H132" s="4">
        <v>2.02</v>
      </c>
      <c r="I132" s="7" cm="1">
        <f t="array" aca="1" ref="I132" ca="1">+_FV(E132,"Preço")</f>
        <v>2.1</v>
      </c>
      <c r="J132" s="8">
        <f t="shared" ca="1" si="2"/>
        <v>3.9603960396039639E-2</v>
      </c>
      <c r="K132" s="4" t="s">
        <v>204</v>
      </c>
      <c r="L132" s="4" t="s">
        <v>831</v>
      </c>
      <c r="M132" s="4" t="s">
        <v>205</v>
      </c>
      <c r="N132" s="4"/>
      <c r="O132" s="4" t="s">
        <v>499</v>
      </c>
    </row>
    <row r="133" spans="3:15" x14ac:dyDescent="0.2">
      <c r="C133" s="11">
        <v>46057</v>
      </c>
      <c r="D133" t="s">
        <v>832</v>
      </c>
      <c r="E133" t="e" vm="132">
        <v>#VALUE!</v>
      </c>
      <c r="F133" s="4" t="str" cm="1">
        <f t="array" aca="1" ref="F133" ca="1">+_FV(E133,"Símbolo do ticker",TRUE)</f>
        <v>YGOP</v>
      </c>
      <c r="G133" s="4" t="str" cm="1">
        <f t="array" aca="1" ref="G133" ca="1">+_FV(E133,"Setor")</f>
        <v>Real Estate Operations</v>
      </c>
      <c r="H133" s="4">
        <v>16.7</v>
      </c>
      <c r="I133" s="7" cm="1">
        <f t="array" aca="1" ref="I133" ca="1">+_FV(E133,"Preço")</f>
        <v>17.399999999999999</v>
      </c>
      <c r="J133" s="8">
        <f t="shared" ca="1" si="2"/>
        <v>4.1916167664670656E-2</v>
      </c>
      <c r="K133" s="4">
        <v>652</v>
      </c>
      <c r="L133" s="4" t="s">
        <v>206</v>
      </c>
      <c r="M133" s="4" t="s">
        <v>207</v>
      </c>
      <c r="N133" s="4" t="s">
        <v>833</v>
      </c>
      <c r="O133" s="4" t="s">
        <v>698</v>
      </c>
    </row>
    <row r="134" spans="3:15" x14ac:dyDescent="0.2">
      <c r="C134" s="11">
        <v>46057</v>
      </c>
      <c r="D134" t="s">
        <v>834</v>
      </c>
      <c r="E134" t="e" vm="133">
        <v>#VALUE!</v>
      </c>
      <c r="F134" s="4" t="str" cm="1">
        <f t="array" aca="1" ref="F134" ca="1">+_FV(E134,"Símbolo do ticker",TRUE)</f>
        <v>YHSP</v>
      </c>
      <c r="G134" s="4" t="str" cm="1">
        <f t="array" aca="1" ref="G134" ca="1">+_FV(E134,"Setor")</f>
        <v>Residential &amp; Commercial REIT</v>
      </c>
      <c r="H134" s="4">
        <v>9</v>
      </c>
      <c r="I134" s="7" cm="1">
        <f t="array" aca="1" ref="I134" ca="1">+_FV(E134,"Preço")</f>
        <v>9.3000000000000007</v>
      </c>
      <c r="J134" s="8">
        <f t="shared" ca="1" si="2"/>
        <v>3.3333333333333437E-2</v>
      </c>
      <c r="K134" s="4">
        <v>285</v>
      </c>
      <c r="L134" s="4" t="s">
        <v>208</v>
      </c>
      <c r="M134" s="4" t="s">
        <v>209</v>
      </c>
      <c r="N134" s="4" t="s">
        <v>835</v>
      </c>
      <c r="O134" s="4" t="s">
        <v>836</v>
      </c>
    </row>
    <row r="135" spans="3:15" x14ac:dyDescent="0.2">
      <c r="C135" s="11">
        <v>46057</v>
      </c>
      <c r="D135" t="s">
        <v>837</v>
      </c>
      <c r="E135" t="e" vm="134">
        <v>#VALUE!</v>
      </c>
      <c r="F135" s="4" t="str" cm="1">
        <f t="array" aca="1" ref="F135" ca="1">+_FV(E135,"Símbolo do ticker",TRUE)</f>
        <v>YADV</v>
      </c>
      <c r="G135" s="4" t="str" cm="1">
        <f t="array" aca="1" ref="G135" ca="1">+_FV(E135,"Setor")</f>
        <v>Residential &amp; Commercial REIT</v>
      </c>
      <c r="H135" s="4">
        <v>14.1</v>
      </c>
      <c r="I135" s="7" cm="1">
        <f t="array" aca="1" ref="I135" ca="1">+_FV(E135,"Preço")</f>
        <v>13.7</v>
      </c>
      <c r="J135" s="8">
        <f t="shared" ca="1" si="2"/>
        <v>-2.8368794326241176E-2</v>
      </c>
      <c r="K135" s="4">
        <v>261</v>
      </c>
      <c r="L135" s="4" t="s">
        <v>838</v>
      </c>
      <c r="M135" s="4" t="s">
        <v>210</v>
      </c>
      <c r="N135" s="4"/>
      <c r="O135" s="4" t="s">
        <v>741</v>
      </c>
    </row>
    <row r="136" spans="3:15" x14ac:dyDescent="0.2">
      <c r="C136" s="11">
        <v>46057</v>
      </c>
      <c r="D136" t="s">
        <v>839</v>
      </c>
      <c r="E136" t="e" vm="135">
        <v>#VALUE!</v>
      </c>
      <c r="F136" s="4" t="str" cm="1">
        <f t="array" aca="1" ref="F136" ca="1">+_FV(E136,"Símbolo do ticker",TRUE)</f>
        <v>YIBI</v>
      </c>
      <c r="G136" s="4" t="str" cm="1">
        <f t="array" aca="1" ref="G136" ca="1">+_FV(E136,"Setor")</f>
        <v>Real Estate Operations</v>
      </c>
      <c r="H136" s="4">
        <v>1.1399999999999999</v>
      </c>
      <c r="I136" s="7" cm="1">
        <f t="array" aca="1" ref="I136" ca="1">+_FV(E136,"Preço")</f>
        <v>1.31</v>
      </c>
      <c r="J136" s="8">
        <f t="shared" ca="1" si="2"/>
        <v>0.1491228070175441</v>
      </c>
      <c r="K136" s="4">
        <v>750</v>
      </c>
      <c r="L136" s="4" t="s">
        <v>211</v>
      </c>
      <c r="M136" s="4" t="s">
        <v>25</v>
      </c>
      <c r="N136" s="4"/>
      <c r="O136" s="4"/>
    </row>
    <row r="137" spans="3:15" x14ac:dyDescent="0.2">
      <c r="C137" s="11">
        <v>46057</v>
      </c>
      <c r="D137" t="s">
        <v>840</v>
      </c>
      <c r="E137" t="e" vm="136">
        <v>#VALUE!</v>
      </c>
      <c r="F137" s="4" t="str" cm="1">
        <f t="array" aca="1" ref="F137" ca="1">+_FV(E137,"Símbolo do ticker",TRUE)</f>
        <v>STNA</v>
      </c>
      <c r="G137" s="4" t="e" cm="1" vm="137">
        <f t="array" ref="G137">+_FV(E137,"Setor")</f>
        <v>#VALUE!</v>
      </c>
      <c r="H137" s="4">
        <v>12.4</v>
      </c>
      <c r="I137" s="7" cm="1">
        <f t="array" aca="1" ref="I137" ca="1">+_FV(E137,"Preço")</f>
        <v>15.4</v>
      </c>
      <c r="J137" s="8">
        <f t="shared" ca="1" si="2"/>
        <v>0.24193548387096775</v>
      </c>
      <c r="K137" s="4">
        <v>94</v>
      </c>
      <c r="L137" s="4" t="s">
        <v>212</v>
      </c>
      <c r="M137" s="4" t="s">
        <v>25</v>
      </c>
      <c r="N137" s="4" t="s">
        <v>841</v>
      </c>
      <c r="O137" s="4" t="s">
        <v>842</v>
      </c>
    </row>
    <row r="138" spans="3:15" x14ac:dyDescent="0.2">
      <c r="C138" s="11">
        <v>46057</v>
      </c>
      <c r="D138" t="s">
        <v>843</v>
      </c>
      <c r="E138" t="e" vm="138">
        <v>#VALUE!</v>
      </c>
      <c r="F138" s="4" t="str" cm="1">
        <f t="array" aca="1" ref="F138" ca="1">+_FV(E138,"Símbolo do ticker",TRUE)</f>
        <v>APG</v>
      </c>
      <c r="G138" s="4" t="str" cm="1">
        <f t="array" aca="1" ref="G138" ca="1">+_FV(E138,"Setor")</f>
        <v>Investment Banking &amp; Investment Services</v>
      </c>
      <c r="H138" s="4">
        <v>15.7</v>
      </c>
      <c r="I138" s="7" cm="1">
        <f t="array" aca="1" ref="I138" ca="1">+_FV(E138,"Preço")</f>
        <v>17.7</v>
      </c>
      <c r="J138" s="8">
        <f t="shared" ca="1" si="2"/>
        <v>0.12738853503184711</v>
      </c>
      <c r="K138" s="4">
        <v>417</v>
      </c>
      <c r="L138" s="4" t="s">
        <v>213</v>
      </c>
      <c r="M138" s="4" t="s">
        <v>214</v>
      </c>
      <c r="N138" s="4" t="s">
        <v>844</v>
      </c>
      <c r="O138" s="4" t="s">
        <v>845</v>
      </c>
    </row>
    <row r="139" spans="3:15" x14ac:dyDescent="0.2">
      <c r="C139" s="11">
        <v>46057</v>
      </c>
      <c r="D139" t="s">
        <v>846</v>
      </c>
      <c r="E139" t="e" vm="139">
        <v>#VALUE!</v>
      </c>
      <c r="F139" s="4" t="str" cm="1">
        <f t="array" aca="1" ref="F139" ca="1">+_FV(E139,"Símbolo do ticker",TRUE)</f>
        <v>VYT</v>
      </c>
      <c r="G139" s="4" t="str" cm="1">
        <f t="array" aca="1" ref="G139" ca="1">+_FV(E139,"Setor")</f>
        <v>Professional &amp; Commercial Services</v>
      </c>
      <c r="H139" s="4">
        <v>12.2</v>
      </c>
      <c r="I139" s="7" cm="1">
        <f t="array" aca="1" ref="I139" ca="1">+_FV(E139,"Preço")</f>
        <v>17</v>
      </c>
      <c r="J139" s="8">
        <f t="shared" ca="1" si="2"/>
        <v>0.39344262295081966</v>
      </c>
      <c r="K139" s="4" t="s">
        <v>847</v>
      </c>
      <c r="L139" s="4" t="s">
        <v>848</v>
      </c>
      <c r="M139" s="4" t="s">
        <v>224</v>
      </c>
      <c r="N139" s="4" t="s">
        <v>849</v>
      </c>
      <c r="O139" s="4" t="s">
        <v>850</v>
      </c>
    </row>
    <row r="140" spans="3:15" x14ac:dyDescent="0.2">
      <c r="C140" s="11">
        <v>46057</v>
      </c>
      <c r="D140" t="s">
        <v>216</v>
      </c>
      <c r="E140" t="e" vm="140">
        <v>#VALUE!</v>
      </c>
      <c r="F140" s="4" t="str" cm="1">
        <f t="array" aca="1" ref="F140" ca="1">+_FV(E140,"Símbolo do ticker",TRUE)</f>
        <v>LLYC</v>
      </c>
      <c r="G140" s="4" t="str" cm="1">
        <f t="array" aca="1" ref="G140" ca="1">+_FV(E140,"Setor")</f>
        <v>Media &amp; Publishing</v>
      </c>
      <c r="H140" s="4">
        <v>7</v>
      </c>
      <c r="I140" s="7" cm="1">
        <f t="array" aca="1" ref="I140" ca="1">+_FV(E140,"Preço")</f>
        <v>4.58</v>
      </c>
      <c r="J140" s="8">
        <f t="shared" ca="1" si="2"/>
        <v>-0.34571428571428575</v>
      </c>
      <c r="K140" s="4" t="s">
        <v>217</v>
      </c>
      <c r="L140" s="4" t="s">
        <v>851</v>
      </c>
      <c r="M140" s="4" t="s">
        <v>218</v>
      </c>
      <c r="N140" s="4" t="s">
        <v>852</v>
      </c>
      <c r="O140" s="4" t="s">
        <v>772</v>
      </c>
    </row>
    <row r="141" spans="3:15" x14ac:dyDescent="0.2">
      <c r="C141" s="11">
        <v>46057</v>
      </c>
      <c r="D141" t="s">
        <v>853</v>
      </c>
      <c r="E141" t="e" vm="141">
        <v>#VALUE!</v>
      </c>
      <c r="F141" s="4" t="str" cm="1">
        <f t="array" aca="1" ref="F141" ca="1">+_FV(E141,"Símbolo do ticker",TRUE)</f>
        <v>SCBKF</v>
      </c>
      <c r="G141" s="4" t="e" cm="1" vm="137">
        <f t="array" ref="G141">+_FV(E141,"Setor")</f>
        <v>#VALUE!</v>
      </c>
      <c r="H141" s="4">
        <v>0.4</v>
      </c>
      <c r="I141" s="7" cm="1">
        <f t="array" aca="1" ref="I141" ca="1">+_FV(E141,"Preço")</f>
        <v>0.4</v>
      </c>
      <c r="J141" s="8">
        <f t="shared" ca="1" si="2"/>
        <v>0</v>
      </c>
      <c r="K141" s="4" t="s">
        <v>854</v>
      </c>
      <c r="L141" s="4" t="s">
        <v>855</v>
      </c>
      <c r="M141" s="4" t="s">
        <v>215</v>
      </c>
      <c r="N141" s="4" t="s">
        <v>856</v>
      </c>
      <c r="O141" s="4" t="s">
        <v>857</v>
      </c>
    </row>
    <row r="142" spans="3:15" x14ac:dyDescent="0.2">
      <c r="C142" s="11">
        <v>46057</v>
      </c>
      <c r="D142" t="s">
        <v>858</v>
      </c>
      <c r="E142" t="e" vm="142">
        <v>#VALUE!</v>
      </c>
      <c r="F142" s="4" t="str" cm="1">
        <f t="array" aca="1" ref="F142" ca="1">+_FV(E142,"Símbolo do ticker",TRUE)</f>
        <v>LIB</v>
      </c>
      <c r="G142" s="4" t="str" cm="1">
        <f t="array" aca="1" ref="G142" ca="1">+_FV(E142,"Setor")</f>
        <v>Real Estate Operations</v>
      </c>
      <c r="H142" s="4">
        <v>3.66</v>
      </c>
      <c r="I142" s="7" cm="1">
        <f t="array" aca="1" ref="I142" ca="1">+_FV(E142,"Preço")</f>
        <v>3.05</v>
      </c>
      <c r="J142" s="8">
        <f t="shared" ca="1" si="2"/>
        <v>-0.16666666666666674</v>
      </c>
      <c r="K142" s="4" t="s">
        <v>859</v>
      </c>
      <c r="L142" s="4" t="s">
        <v>860</v>
      </c>
      <c r="M142" s="4" t="s">
        <v>227</v>
      </c>
      <c r="N142" s="4" t="s">
        <v>861</v>
      </c>
      <c r="O142" s="4" t="s">
        <v>770</v>
      </c>
    </row>
    <row r="143" spans="3:15" x14ac:dyDescent="0.2">
      <c r="C143" s="11">
        <v>46057</v>
      </c>
      <c r="D143" t="s">
        <v>862</v>
      </c>
      <c r="E143" t="e" vm="143">
        <v>#VALUE!</v>
      </c>
      <c r="F143" s="4" t="str" cm="1">
        <f t="array" aca="1" ref="F143" ca="1">+_FV(E143,"Símbolo do ticker",TRUE)</f>
        <v>VOC</v>
      </c>
      <c r="G143" s="4" t="str" cm="1">
        <f t="array" aca="1" ref="G143" ca="1">+_FV(E143,"Setor")</f>
        <v>Media &amp; Publishing</v>
      </c>
      <c r="H143" s="4">
        <v>0.64</v>
      </c>
      <c r="I143" s="7" cm="1">
        <f t="array" aca="1" ref="I143" ca="1">+_FV(E143,"Preço")</f>
        <v>0.83</v>
      </c>
      <c r="J143" s="8">
        <f t="shared" ca="1" si="2"/>
        <v>0.296875</v>
      </c>
      <c r="K143" s="4" t="s">
        <v>98</v>
      </c>
      <c r="L143" s="4" t="s">
        <v>863</v>
      </c>
      <c r="M143" s="4" t="s">
        <v>99</v>
      </c>
      <c r="N143" s="4" t="s">
        <v>864</v>
      </c>
      <c r="O143" s="4" t="s">
        <v>865</v>
      </c>
    </row>
    <row r="144" spans="3:15" x14ac:dyDescent="0.2">
      <c r="C144" s="11">
        <v>46057</v>
      </c>
      <c r="D144" t="s">
        <v>866</v>
      </c>
      <c r="E144" t="e" vm="144">
        <v>#VALUE!</v>
      </c>
      <c r="F144" s="4" t="str" cm="1">
        <f t="array" aca="1" ref="F144" ca="1">+_FV(E144,"Símbolo do ticker",TRUE)</f>
        <v>YIPS</v>
      </c>
      <c r="G144" s="4" t="str" cm="1">
        <f t="array" aca="1" ref="G144" ca="1">+_FV(E144,"Setor")</f>
        <v>Residential &amp; Commercial REIT</v>
      </c>
      <c r="H144" s="4">
        <v>0.97</v>
      </c>
      <c r="I144" s="7" cm="1">
        <f t="array" aca="1" ref="I144" ca="1">+_FV(E144,"Preço")</f>
        <v>0.74</v>
      </c>
      <c r="J144" s="8">
        <f t="shared" ca="1" si="2"/>
        <v>-0.2371134020618556</v>
      </c>
      <c r="K144" s="4" t="s">
        <v>219</v>
      </c>
      <c r="L144" s="4" t="s">
        <v>220</v>
      </c>
      <c r="M144" s="4" t="s">
        <v>221</v>
      </c>
      <c r="N144" s="4" t="s">
        <v>867</v>
      </c>
      <c r="O144" s="4" t="s">
        <v>836</v>
      </c>
    </row>
    <row r="145" spans="1:15" x14ac:dyDescent="0.2">
      <c r="C145" s="11">
        <v>46057</v>
      </c>
      <c r="D145" t="s">
        <v>868</v>
      </c>
      <c r="E145" t="e" vm="145">
        <v>#VALUE!</v>
      </c>
      <c r="F145" s="4" t="str" cm="1">
        <f t="array" aca="1" ref="F145" ca="1">+_FV(E145,"Símbolo do ticker",TRUE)</f>
        <v>UMB</v>
      </c>
      <c r="G145" s="4" t="str" cm="1">
        <f t="array" aca="1" ref="G145" ca="1">+_FV(E145,"Setor")</f>
        <v>Construction &amp; Engineering</v>
      </c>
      <c r="H145" s="4">
        <v>3.36</v>
      </c>
      <c r="I145" s="7" cm="1">
        <f t="array" aca="1" ref="I145" ca="1">+_FV(E145,"Preço")</f>
        <v>3.16</v>
      </c>
      <c r="J145" s="8">
        <f t="shared" ca="1" si="2"/>
        <v>-5.9523809523809423E-2</v>
      </c>
      <c r="K145" s="4" t="s">
        <v>869</v>
      </c>
      <c r="L145" s="4" t="s">
        <v>222</v>
      </c>
      <c r="M145" s="4" t="s">
        <v>223</v>
      </c>
      <c r="N145" s="4" t="s">
        <v>870</v>
      </c>
      <c r="O145" s="4" t="s">
        <v>871</v>
      </c>
    </row>
    <row r="146" spans="1:15" x14ac:dyDescent="0.2">
      <c r="C146" s="11">
        <v>46057</v>
      </c>
      <c r="D146" t="s">
        <v>872</v>
      </c>
      <c r="E146" t="e" vm="146">
        <v>#VALUE!</v>
      </c>
      <c r="F146" s="4" t="str" cm="1">
        <f t="array" aca="1" ref="F146" ca="1">+_FV(E146,"Símbolo do ticker",TRUE)</f>
        <v>ETC</v>
      </c>
      <c r="G146" s="4" t="str" cm="1">
        <f t="array" aca="1" ref="G146" ca="1">+_FV(E146,"Setor")</f>
        <v>Electrical Utilities &amp; IPPs</v>
      </c>
      <c r="H146" s="4">
        <v>2.62</v>
      </c>
      <c r="I146" s="7" cm="1">
        <f t="array" aca="1" ref="I146" ca="1">+_FV(E146,"Preço")</f>
        <v>1.36</v>
      </c>
      <c r="J146" s="8">
        <f t="shared" ca="1" si="2"/>
        <v>-0.48091603053435117</v>
      </c>
      <c r="K146" s="4" t="s">
        <v>873</v>
      </c>
      <c r="L146" s="4" t="s">
        <v>874</v>
      </c>
      <c r="M146" s="4" t="s">
        <v>25</v>
      </c>
      <c r="N146" s="4" t="s">
        <v>875</v>
      </c>
      <c r="O146" s="4" t="s">
        <v>876</v>
      </c>
    </row>
    <row r="147" spans="1:15" x14ac:dyDescent="0.2">
      <c r="C147" s="11">
        <v>46057</v>
      </c>
      <c r="D147" t="s">
        <v>877</v>
      </c>
      <c r="E147" t="e" vm="147">
        <v>#VALUE!</v>
      </c>
      <c r="F147" s="4" t="str" cm="1">
        <f t="array" aca="1" ref="F147" ca="1">+_FV(E147,"Símbolo do ticker",TRUE)</f>
        <v>ALQ</v>
      </c>
      <c r="G147" s="4" t="str" cm="1">
        <f t="array" aca="1" ref="G147" ca="1">+_FV(E147,"Setor")</f>
        <v>Professional &amp; Commercial Services</v>
      </c>
      <c r="H147" s="4">
        <v>12.8</v>
      </c>
      <c r="I147" s="7" cm="1">
        <f t="array" aca="1" ref="I147" ca="1">+_FV(E147,"Preço")</f>
        <v>17</v>
      </c>
      <c r="J147" s="8">
        <f t="shared" ca="1" si="2"/>
        <v>0.328125</v>
      </c>
      <c r="K147" s="4">
        <v>399</v>
      </c>
      <c r="L147" s="4" t="s">
        <v>225</v>
      </c>
      <c r="M147" s="4" t="s">
        <v>226</v>
      </c>
      <c r="N147" s="4" t="s">
        <v>878</v>
      </c>
      <c r="O147" s="4" t="s">
        <v>879</v>
      </c>
    </row>
    <row r="148" spans="1:15" x14ac:dyDescent="0.2">
      <c r="C148" s="11">
        <v>46057</v>
      </c>
      <c r="D148" t="s">
        <v>228</v>
      </c>
      <c r="E148" t="e" vm="148">
        <v>#VALUE!</v>
      </c>
      <c r="F148" s="4" t="str" cm="1">
        <f t="array" aca="1" ref="F148" ca="1">+_FV(E148,"Símbolo do ticker",TRUE)</f>
        <v>YMIL</v>
      </c>
      <c r="G148" s="4" t="str" cm="1">
        <f t="array" aca="1" ref="G148" ca="1">+_FV(E148,"Setor")</f>
        <v>Residential &amp; Commercial REIT</v>
      </c>
      <c r="H148" s="4">
        <v>27.2</v>
      </c>
      <c r="I148" s="7" cm="1">
        <f t="array" aca="1" ref="I148" ca="1">+_FV(E148,"Preço")</f>
        <v>18.5</v>
      </c>
      <c r="J148" s="8">
        <f t="shared" ca="1" si="2"/>
        <v>-0.31985294117647056</v>
      </c>
      <c r="K148" s="4">
        <v>205</v>
      </c>
      <c r="L148" s="4" t="s">
        <v>229</v>
      </c>
      <c r="M148" s="4" t="s">
        <v>25</v>
      </c>
      <c r="N148" s="4"/>
      <c r="O148" s="4"/>
    </row>
    <row r="149" spans="1:15" s="1" customFormat="1" ht="15" x14ac:dyDescent="0.25">
      <c r="A149" s="1">
        <v>7</v>
      </c>
      <c r="B149" s="1" t="s">
        <v>1068</v>
      </c>
      <c r="C149" s="10">
        <v>46057</v>
      </c>
      <c r="D149" s="1" t="s">
        <v>880</v>
      </c>
      <c r="E149" s="1" t="e" vm="149">
        <v>#VALUE!</v>
      </c>
      <c r="F149" s="3" t="str" cm="1">
        <f t="array" aca="1" ref="F149" ca="1">+_FV(E149,"Símbolo do ticker",TRUE)</f>
        <v>SCO</v>
      </c>
      <c r="G149" s="3" t="str" cm="1">
        <f t="array" aca="1" ref="G149" ca="1">+_FV(E149,"Setor")</f>
        <v>Software &amp; IT Services</v>
      </c>
      <c r="H149" s="3">
        <v>7.15</v>
      </c>
      <c r="I149" s="5" cm="1">
        <f t="array" aca="1" ref="I149" ca="1">+_FV(E149,"Preço")</f>
        <v>5.8</v>
      </c>
      <c r="J149" s="6">
        <f t="shared" ca="1" si="2"/>
        <v>-0.18881118881118886</v>
      </c>
      <c r="K149" s="3" t="s">
        <v>881</v>
      </c>
      <c r="L149" s="3" t="s">
        <v>230</v>
      </c>
      <c r="M149" s="3" t="s">
        <v>25</v>
      </c>
      <c r="N149" s="3"/>
      <c r="O149" s="3"/>
    </row>
    <row r="150" spans="1:15" x14ac:dyDescent="0.2">
      <c r="C150" s="11">
        <v>46057</v>
      </c>
      <c r="D150" t="s">
        <v>882</v>
      </c>
      <c r="E150" t="e" vm="150">
        <v>#VALUE!</v>
      </c>
      <c r="F150" s="4" t="str" cm="1">
        <f t="array" aca="1" ref="F150" ca="1">+_FV(E150,"Símbolo do ticker",TRUE)</f>
        <v>SCORS</v>
      </c>
      <c r="G150" s="4" t="str" cm="1">
        <f t="array" aca="1" ref="G150" ca="1">+_FV(E150,"Setor")</f>
        <v>Residential &amp; Commercial REIT</v>
      </c>
      <c r="H150" s="4">
        <v>13</v>
      </c>
      <c r="I150" s="7" cm="1">
        <f t="array" aca="1" ref="I150" ca="1">+_FV(E150,"Preço")</f>
        <v>13</v>
      </c>
      <c r="J150" s="8">
        <f t="shared" ca="1" si="2"/>
        <v>0</v>
      </c>
      <c r="K150" s="4">
        <v>1</v>
      </c>
      <c r="L150" s="4" t="s">
        <v>233</v>
      </c>
      <c r="M150" s="4" t="s">
        <v>234</v>
      </c>
      <c r="N150" s="4" t="s">
        <v>883</v>
      </c>
      <c r="O150" s="4"/>
    </row>
    <row r="151" spans="1:15" x14ac:dyDescent="0.2">
      <c r="C151" s="11">
        <v>46057</v>
      </c>
      <c r="D151" t="s">
        <v>884</v>
      </c>
      <c r="E151" t="e" vm="151">
        <v>#VALUE!</v>
      </c>
      <c r="F151" s="4" t="str" cm="1">
        <f t="array" aca="1" ref="F151" ca="1">+_FV(E151,"Símbolo do ticker",TRUE)</f>
        <v>EIDF</v>
      </c>
      <c r="G151" s="4" t="str" cm="1">
        <f t="array" aca="1" ref="G151" ca="1">+_FV(E151,"Setor")</f>
        <v>Renewable Energy</v>
      </c>
      <c r="H151" s="4">
        <v>0.94499999999999995</v>
      </c>
      <c r="I151" s="7" cm="1">
        <f t="array" aca="1" ref="I151" ca="1">+_FV(E151,"Preço")</f>
        <v>0.44</v>
      </c>
      <c r="J151" s="8">
        <f t="shared" ca="1" si="2"/>
        <v>-0.53439153439153442</v>
      </c>
      <c r="K151" s="4" t="s">
        <v>885</v>
      </c>
      <c r="L151" s="4" t="s">
        <v>886</v>
      </c>
      <c r="M151" s="4" t="s">
        <v>231</v>
      </c>
      <c r="N151" s="4" t="s">
        <v>887</v>
      </c>
      <c r="O151" s="4" t="s">
        <v>888</v>
      </c>
    </row>
    <row r="152" spans="1:15" x14ac:dyDescent="0.2">
      <c r="C152" s="11">
        <v>46057</v>
      </c>
      <c r="D152" t="s">
        <v>889</v>
      </c>
      <c r="E152" t="e" vm="152">
        <v>#VALUE!</v>
      </c>
      <c r="F152" s="4" t="str" cm="1">
        <f t="array" aca="1" ref="F152" ca="1">+_FV(E152,"Símbolo do ticker",TRUE)</f>
        <v>FACE</v>
      </c>
      <c r="G152" s="4" t="str" cm="1">
        <f t="array" aca="1" ref="G152" ca="1">+_FV(E152,"Setor")</f>
        <v>Software &amp; IT Services</v>
      </c>
      <c r="H152" s="4">
        <v>2.39</v>
      </c>
      <c r="I152" s="7" cm="1">
        <f t="array" aca="1" ref="I152" ca="1">+_FV(E152,"Preço")</f>
        <v>1.74</v>
      </c>
      <c r="J152" s="8">
        <f t="shared" ca="1" si="2"/>
        <v>-0.27196652719665271</v>
      </c>
      <c r="K152" s="4" t="s">
        <v>890</v>
      </c>
      <c r="L152" s="4" t="s">
        <v>891</v>
      </c>
      <c r="M152" s="4" t="s">
        <v>232</v>
      </c>
      <c r="N152" s="4" t="s">
        <v>892</v>
      </c>
      <c r="O152" s="4" t="s">
        <v>893</v>
      </c>
    </row>
    <row r="153" spans="1:15" x14ac:dyDescent="0.2">
      <c r="C153" s="11">
        <v>46057</v>
      </c>
      <c r="D153" t="s">
        <v>894</v>
      </c>
      <c r="E153" t="e" vm="153">
        <v>#VALUE!</v>
      </c>
      <c r="F153" s="4" t="str" cm="1">
        <f t="array" aca="1" ref="F153" ca="1">+_FV(E153,"Símbolo do ticker",TRUE)</f>
        <v>YARP</v>
      </c>
      <c r="G153" s="4" t="str" cm="1">
        <f t="array" aca="1" ref="G153" ca="1">+_FV(E153,"Setor")</f>
        <v>Residential &amp; Commercial REIT</v>
      </c>
      <c r="H153" s="4">
        <v>2.8</v>
      </c>
      <c r="I153" s="7" cm="1">
        <f t="array" aca="1" ref="I153" ca="1">+_FV(E153,"Preço")</f>
        <v>2.86</v>
      </c>
      <c r="J153" s="8">
        <f t="shared" ca="1" si="2"/>
        <v>2.1428571428571352E-2</v>
      </c>
      <c r="K153" s="4">
        <v>150</v>
      </c>
      <c r="L153" s="4" t="s">
        <v>235</v>
      </c>
      <c r="M153" s="4" t="s">
        <v>236</v>
      </c>
      <c r="N153" s="4" t="s">
        <v>895</v>
      </c>
      <c r="O153" s="4" t="s">
        <v>785</v>
      </c>
    </row>
    <row r="154" spans="1:15" x14ac:dyDescent="0.2">
      <c r="C154" s="11">
        <v>46057</v>
      </c>
      <c r="D154" t="s">
        <v>896</v>
      </c>
      <c r="E154" t="e" vm="154">
        <v>#VALUE!</v>
      </c>
      <c r="F154" s="4" t="str" cm="1">
        <f t="array" aca="1" ref="F154" ca="1">+_FV(E154,"Símbolo do ticker",TRUE)</f>
        <v>LGT</v>
      </c>
      <c r="G154" s="4" t="str" cm="1">
        <f t="array" aca="1" ref="G154" ca="1">+_FV(E154,"Setor")</f>
        <v>Metals &amp; Mining</v>
      </c>
      <c r="H154" s="4">
        <v>5.7</v>
      </c>
      <c r="I154" s="7" cm="1">
        <f t="array" aca="1" ref="I154" ca="1">+_FV(E154,"Preço")</f>
        <v>5.64</v>
      </c>
      <c r="J154" s="8">
        <f t="shared" ca="1" si="2"/>
        <v>-1.0526315789473717E-2</v>
      </c>
      <c r="K154" s="4" t="s">
        <v>897</v>
      </c>
      <c r="L154" s="4" t="s">
        <v>898</v>
      </c>
      <c r="M154" s="4" t="s">
        <v>100</v>
      </c>
      <c r="N154" s="4" t="s">
        <v>899</v>
      </c>
      <c r="O154" s="4" t="s">
        <v>496</v>
      </c>
    </row>
    <row r="155" spans="1:15" x14ac:dyDescent="0.2">
      <c r="C155" s="11">
        <v>46057</v>
      </c>
      <c r="D155" t="s">
        <v>900</v>
      </c>
      <c r="E155" t="e" vm="155">
        <v>#VALUE!</v>
      </c>
      <c r="F155" s="4" t="str" cm="1">
        <f t="array" aca="1" ref="F155" ca="1">+_FV(E155,"Símbolo do ticker",TRUE)</f>
        <v>MTB</v>
      </c>
      <c r="G155" s="4" t="str" cm="1">
        <f t="array" aca="1" ref="G155" ca="1">+_FV(E155,"Setor")</f>
        <v>Real Estate Operations</v>
      </c>
      <c r="H155" s="4">
        <v>1.82</v>
      </c>
      <c r="I155" s="7" cm="1">
        <f t="array" aca="1" ref="I155" ca="1">+_FV(E155,"Preço")</f>
        <v>1.93</v>
      </c>
      <c r="J155" s="8">
        <f t="shared" ca="1" si="2"/>
        <v>6.0439560439560447E-2</v>
      </c>
      <c r="K155" s="4" t="s">
        <v>901</v>
      </c>
      <c r="L155" s="4" t="s">
        <v>902</v>
      </c>
      <c r="M155" s="4" t="s">
        <v>101</v>
      </c>
      <c r="N155" s="4" t="s">
        <v>903</v>
      </c>
      <c r="O155" s="4" t="s">
        <v>413</v>
      </c>
    </row>
    <row r="156" spans="1:15" x14ac:dyDescent="0.2">
      <c r="C156" s="11">
        <v>46057</v>
      </c>
      <c r="D156" t="s">
        <v>904</v>
      </c>
      <c r="E156" t="e" vm="156">
        <v>#VALUE!</v>
      </c>
      <c r="F156" s="4" t="str" cm="1">
        <f t="array" aca="1" ref="F156" ca="1">+_FV(E156,"Símbolo do ticker",TRUE)</f>
        <v>PANG</v>
      </c>
      <c r="G156" s="4" t="str" cm="1">
        <f t="array" aca="1" ref="G156" ca="1">+_FV(E156,"Setor")</f>
        <v>Biotechnology &amp; Medical Research</v>
      </c>
      <c r="H156" s="4">
        <v>1.65</v>
      </c>
      <c r="I156" s="7" cm="1">
        <f t="array" aca="1" ref="I156" ca="1">+_FV(E156,"Preço")</f>
        <v>1.55</v>
      </c>
      <c r="J156" s="8">
        <f t="shared" ca="1" si="2"/>
        <v>-6.0606060606060552E-2</v>
      </c>
      <c r="K156" s="4" t="s">
        <v>905</v>
      </c>
      <c r="L156" s="4" t="s">
        <v>906</v>
      </c>
      <c r="M156" s="4" t="s">
        <v>237</v>
      </c>
      <c r="N156" s="4" t="s">
        <v>907</v>
      </c>
      <c r="O156" s="4" t="s">
        <v>603</v>
      </c>
    </row>
    <row r="157" spans="1:15" x14ac:dyDescent="0.2">
      <c r="C157" s="11">
        <v>46057</v>
      </c>
      <c r="D157" t="s">
        <v>908</v>
      </c>
      <c r="E157" t="e" vm="157">
        <v>#VALUE!</v>
      </c>
      <c r="F157" s="4" t="str" cm="1">
        <f t="array" aca="1" ref="F157" ca="1">+_FV(E157,"Símbolo do ticker",TRUE)</f>
        <v>SCIG2</v>
      </c>
      <c r="G157" s="4" t="str" cm="1">
        <f t="array" aca="1" ref="G157" ca="1">+_FV(E157,"Setor")</f>
        <v>Real Estate Operations</v>
      </c>
      <c r="H157" s="4" t="e" vm="73">
        <v>#VALUE!</v>
      </c>
      <c r="I157" s="7" t="e" cm="1" vm="73">
        <f t="array" ref="I157">+_FV(E157,"Preço")</f>
        <v>#VALUE!</v>
      </c>
      <c r="J157" s="8" t="s">
        <v>1075</v>
      </c>
      <c r="K157" s="4" t="s">
        <v>238</v>
      </c>
      <c r="L157" s="4" t="s">
        <v>239</v>
      </c>
      <c r="M157" s="4" t="s">
        <v>25</v>
      </c>
      <c r="N157" s="4"/>
      <c r="O157" s="4"/>
    </row>
    <row r="158" spans="1:15" x14ac:dyDescent="0.2">
      <c r="C158" s="11">
        <v>46057</v>
      </c>
      <c r="D158" t="s">
        <v>909</v>
      </c>
      <c r="E158" t="e" vm="158">
        <v>#VALUE!</v>
      </c>
      <c r="F158" s="4" t="str" cm="1">
        <f t="array" aca="1" ref="F158" ca="1">+_FV(E158,"Símbolo do ticker",TRUE)</f>
        <v>ADZ</v>
      </c>
      <c r="G158" s="4" t="str" cm="1">
        <f t="array" aca="1" ref="G158" ca="1">+_FV(E158,"Setor")</f>
        <v>Textiles &amp; Apparel</v>
      </c>
      <c r="H158" s="4">
        <v>5.9</v>
      </c>
      <c r="I158" s="7" cm="1">
        <f t="array" aca="1" ref="I158" ca="1">+_FV(E158,"Preço")</f>
        <v>6.05</v>
      </c>
      <c r="J158" s="8">
        <f t="shared" ca="1" si="2"/>
        <v>2.5423728813559254E-2</v>
      </c>
      <c r="K158" s="4" t="s">
        <v>910</v>
      </c>
      <c r="L158" s="4" t="s">
        <v>911</v>
      </c>
      <c r="M158" s="4" t="s">
        <v>102</v>
      </c>
      <c r="N158" s="4" t="s">
        <v>912</v>
      </c>
      <c r="O158" s="4" t="s">
        <v>590</v>
      </c>
    </row>
    <row r="159" spans="1:15" x14ac:dyDescent="0.2">
      <c r="C159" s="11">
        <v>46057</v>
      </c>
      <c r="D159" t="s">
        <v>913</v>
      </c>
      <c r="E159" t="e" vm="159">
        <v>#VALUE!</v>
      </c>
      <c r="F159" s="4" t="str" cm="1">
        <f t="array" aca="1" ref="F159" ca="1">+_FV(E159,"Símbolo do ticker",TRUE)</f>
        <v>YINB1</v>
      </c>
      <c r="G159" s="4" t="str" cm="1">
        <f t="array" aca="1" ref="G159" ca="1">+_FV(E159,"Setor")</f>
        <v>Residential &amp; Commercial REIT</v>
      </c>
      <c r="H159" s="4">
        <v>1.1299999999999999</v>
      </c>
      <c r="I159" s="7" cm="1">
        <f t="array" aca="1" ref="I159" ca="1">+_FV(E159,"Preço")</f>
        <v>1.1299999999999999</v>
      </c>
      <c r="J159" s="8">
        <f t="shared" ca="1" si="2"/>
        <v>0</v>
      </c>
      <c r="K159" s="4" t="s">
        <v>240</v>
      </c>
      <c r="L159" s="4" t="s">
        <v>241</v>
      </c>
      <c r="M159" s="4" t="s">
        <v>242</v>
      </c>
      <c r="N159" s="4" t="s">
        <v>914</v>
      </c>
      <c r="O159" s="4" t="s">
        <v>915</v>
      </c>
    </row>
    <row r="160" spans="1:15" x14ac:dyDescent="0.2">
      <c r="C160" s="11">
        <v>46057</v>
      </c>
      <c r="D160" t="s">
        <v>916</v>
      </c>
      <c r="E160" t="e" vm="160">
        <v>#VALUE!</v>
      </c>
      <c r="F160" s="4" t="str" cm="1">
        <f t="array" aca="1" ref="F160" ca="1">+_FV(E160,"Símbolo do ticker",TRUE)</f>
        <v>EZE</v>
      </c>
      <c r="G160" s="4" t="str" cm="1">
        <f t="array" aca="1" ref="G160" ca="1">+_FV(E160,"Setor")</f>
        <v>Construction &amp; Engineering</v>
      </c>
      <c r="H160" s="4">
        <v>8.4599999999999995E-2</v>
      </c>
      <c r="I160" s="7" cm="1">
        <f t="array" aca="1" ref="I160" ca="1">+_FV(E160,"Preço")</f>
        <v>6.7599999999999993E-2</v>
      </c>
      <c r="J160" s="8">
        <f t="shared" ca="1" si="2"/>
        <v>-0.20094562647754144</v>
      </c>
      <c r="K160" s="4" t="s">
        <v>104</v>
      </c>
      <c r="L160" s="4" t="s">
        <v>917</v>
      </c>
      <c r="M160" s="4" t="s">
        <v>105</v>
      </c>
      <c r="N160" s="4" t="s">
        <v>918</v>
      </c>
      <c r="O160" s="4" t="s">
        <v>764</v>
      </c>
    </row>
    <row r="161" spans="3:15" x14ac:dyDescent="0.2">
      <c r="C161" s="11">
        <v>46057</v>
      </c>
      <c r="D161" t="s">
        <v>919</v>
      </c>
      <c r="E161" t="e" vm="161">
        <v>#VALUE!</v>
      </c>
      <c r="F161" s="4" t="str" cm="1">
        <f t="array" aca="1" ref="F161" ca="1">+_FV(E161,"Símbolo do ticker",TRUE)</f>
        <v>PAR</v>
      </c>
      <c r="G161" s="4" t="str" cm="1">
        <f t="array" aca="1" ref="G161" ca="1">+_FV(E161,"Setor")</f>
        <v>Telecommunications Services</v>
      </c>
      <c r="H161" s="4">
        <v>2.6</v>
      </c>
      <c r="I161" s="7" cm="1">
        <f t="array" aca="1" ref="I161" ca="1">+_FV(E161,"Preço")</f>
        <v>0.86</v>
      </c>
      <c r="J161" s="8">
        <f t="shared" ca="1" si="2"/>
        <v>-0.6692307692307693</v>
      </c>
      <c r="K161" s="4" t="s">
        <v>920</v>
      </c>
      <c r="L161" s="4" t="s">
        <v>244</v>
      </c>
      <c r="M161" s="4" t="s">
        <v>245</v>
      </c>
      <c r="N161" s="4" t="s">
        <v>921</v>
      </c>
      <c r="O161" s="4" t="s">
        <v>731</v>
      </c>
    </row>
    <row r="162" spans="3:15" x14ac:dyDescent="0.2">
      <c r="C162" s="11">
        <v>46057</v>
      </c>
      <c r="D162" t="s">
        <v>922</v>
      </c>
      <c r="E162" t="e" vm="162">
        <v>#VALUE!</v>
      </c>
      <c r="F162" s="4" t="str" cm="1">
        <f t="array" aca="1" ref="F162" ca="1">+_FV(E162,"Símbolo do ticker",TRUE)</f>
        <v>GIGA</v>
      </c>
      <c r="G162" s="4" t="str" cm="1">
        <f t="array" aca="1" ref="G162" ca="1">+_FV(E162,"Setor")</f>
        <v>Telecommunications Services</v>
      </c>
      <c r="H162" s="4">
        <v>3.9</v>
      </c>
      <c r="I162" s="7" cm="1">
        <f t="array" aca="1" ref="I162" ca="1">+_FV(E162,"Preço")</f>
        <v>3.09</v>
      </c>
      <c r="J162" s="8">
        <f t="shared" ca="1" si="2"/>
        <v>-0.20769230769230773</v>
      </c>
      <c r="K162" s="4" t="s">
        <v>923</v>
      </c>
      <c r="L162" s="4" t="s">
        <v>924</v>
      </c>
      <c r="M162" s="4" t="s">
        <v>246</v>
      </c>
      <c r="N162" s="4" t="s">
        <v>925</v>
      </c>
      <c r="O162" s="4" t="s">
        <v>926</v>
      </c>
    </row>
    <row r="163" spans="3:15" x14ac:dyDescent="0.2">
      <c r="C163" s="11">
        <v>46057</v>
      </c>
      <c r="D163" t="s">
        <v>927</v>
      </c>
      <c r="E163" t="e" vm="163">
        <v>#VALUE!</v>
      </c>
      <c r="F163" s="4" t="str" cm="1">
        <f t="array" aca="1" ref="F163" ca="1">+_FV(E163,"Símbolo do ticker",TRUE)</f>
        <v>AGIL</v>
      </c>
      <c r="G163" s="4" t="str" cm="1">
        <f t="array" aca="1" ref="G163" ca="1">+_FV(E163,"Setor")</f>
        <v>Software &amp; IT Services</v>
      </c>
      <c r="H163" s="4">
        <v>2.1</v>
      </c>
      <c r="I163" s="7" cm="1">
        <f t="array" aca="1" ref="I163" ca="1">+_FV(E163,"Preço")</f>
        <v>2.2000000000000002</v>
      </c>
      <c r="J163" s="8">
        <f t="shared" ca="1" si="2"/>
        <v>4.7619047619047672E-2</v>
      </c>
      <c r="K163" s="4" t="s">
        <v>928</v>
      </c>
      <c r="L163" s="4" t="s">
        <v>929</v>
      </c>
      <c r="M163" s="4" t="s">
        <v>243</v>
      </c>
      <c r="N163" s="4" t="s">
        <v>930</v>
      </c>
      <c r="O163" s="4" t="s">
        <v>666</v>
      </c>
    </row>
    <row r="164" spans="3:15" x14ac:dyDescent="0.2">
      <c r="C164" s="11">
        <v>46057</v>
      </c>
      <c r="D164" t="s">
        <v>931</v>
      </c>
      <c r="E164" t="e" vm="164">
        <v>#VALUE!</v>
      </c>
      <c r="F164" s="4" t="str" cm="1">
        <f t="array" aca="1" ref="F164" ca="1">+_FV(E164,"Símbolo do ticker",TRUE)</f>
        <v>YINB4</v>
      </c>
      <c r="G164" s="4" t="str" cm="1">
        <f t="array" aca="1" ref="G164" ca="1">+_FV(E164,"Setor")</f>
        <v>Residential &amp; Commercial REIT</v>
      </c>
      <c r="H164" s="4">
        <v>0.94499999999999995</v>
      </c>
      <c r="I164" s="7" cm="1">
        <f t="array" aca="1" ref="I164" ca="1">+_FV(E164,"Preço")</f>
        <v>0.95499999999999996</v>
      </c>
      <c r="J164" s="8">
        <f t="shared" ca="1" si="2"/>
        <v>1.0582010582010692E-2</v>
      </c>
      <c r="K164" s="4">
        <v>500</v>
      </c>
      <c r="L164" s="4" t="s">
        <v>247</v>
      </c>
      <c r="M164" s="4" t="s">
        <v>248</v>
      </c>
      <c r="N164" s="4" t="s">
        <v>932</v>
      </c>
      <c r="O164" s="4" t="s">
        <v>738</v>
      </c>
    </row>
    <row r="165" spans="3:15" x14ac:dyDescent="0.2">
      <c r="C165" s="11">
        <v>46057</v>
      </c>
      <c r="D165" t="s">
        <v>12</v>
      </c>
      <c r="E165" t="e" vm="165">
        <v>#VALUE!</v>
      </c>
      <c r="F165" s="4" t="str" cm="1">
        <f t="array" aca="1" ref="F165" ca="1">+_FV(E165,"Símbolo do ticker",TRUE)</f>
        <v>TRG</v>
      </c>
      <c r="G165" s="4" t="str" cm="1">
        <f t="array" aca="1" ref="G165" ca="1">+_FV(E165,"Setor")</f>
        <v>Metals &amp; Mining</v>
      </c>
      <c r="H165" s="4">
        <v>0.26150000000000001</v>
      </c>
      <c r="I165" s="7" cm="1">
        <f t="array" aca="1" ref="I165" ca="1">+_FV(E165,"Preço")</f>
        <v>0.14380000000000001</v>
      </c>
      <c r="J165" s="8">
        <f t="shared" ca="1" si="2"/>
        <v>-0.450095602294455</v>
      </c>
      <c r="K165" s="4" t="s">
        <v>933</v>
      </c>
      <c r="L165" s="4" t="s">
        <v>934</v>
      </c>
      <c r="M165" s="4" t="s">
        <v>103</v>
      </c>
      <c r="N165" s="4" t="s">
        <v>935</v>
      </c>
      <c r="O165" s="4" t="s">
        <v>753</v>
      </c>
    </row>
    <row r="166" spans="3:15" x14ac:dyDescent="0.2">
      <c r="C166" s="11">
        <v>46057</v>
      </c>
      <c r="D166" t="s">
        <v>936</v>
      </c>
      <c r="E166" t="e" vm="166">
        <v>#VALUE!</v>
      </c>
      <c r="F166" s="4" t="str" cm="1">
        <f t="array" aca="1" ref="F166" ca="1">+_FV(E166,"Símbolo do ticker",TRUE)</f>
        <v>ENRS</v>
      </c>
      <c r="G166" s="4" t="str" cm="1">
        <f t="array" aca="1" ref="G166" ca="1">+_FV(E166,"Setor")</f>
        <v>Renewable Energy</v>
      </c>
      <c r="H166" s="4">
        <v>1.03</v>
      </c>
      <c r="I166" s="7" cm="1">
        <f t="array" aca="1" ref="I166" ca="1">+_FV(E166,"Preço")</f>
        <v>0.36</v>
      </c>
      <c r="J166" s="8">
        <f t="shared" ca="1" si="2"/>
        <v>-0.65048543689320393</v>
      </c>
      <c r="K166" s="4" t="s">
        <v>937</v>
      </c>
      <c r="L166" s="4" t="s">
        <v>938</v>
      </c>
      <c r="M166" s="4" t="s">
        <v>249</v>
      </c>
      <c r="N166" s="4" t="s">
        <v>939</v>
      </c>
      <c r="O166" s="4" t="s">
        <v>926</v>
      </c>
    </row>
    <row r="167" spans="3:15" x14ac:dyDescent="0.2">
      <c r="C167" s="11">
        <v>46057</v>
      </c>
      <c r="D167" t="s">
        <v>940</v>
      </c>
      <c r="E167" t="e" vm="167">
        <v>#VALUE!</v>
      </c>
      <c r="F167" s="4" t="str" cm="1">
        <f t="array" aca="1" ref="F167" ca="1">+_FV(E167,"Símbolo do ticker",TRUE)</f>
        <v>SCAP7</v>
      </c>
      <c r="G167" s="4" t="str" cm="1">
        <f t="array" aca="1" ref="G167" ca="1">+_FV(E167,"Setor")</f>
        <v>Residential &amp; Commercial REIT</v>
      </c>
      <c r="H167" s="4">
        <v>5.6</v>
      </c>
      <c r="I167" s="7" cm="1">
        <f t="array" aca="1" ref="I167" ca="1">+_FV(E167,"Preço")</f>
        <v>5.6</v>
      </c>
      <c r="J167" s="8">
        <f t="shared" ca="1" si="2"/>
        <v>0</v>
      </c>
      <c r="K167" s="4">
        <v>827</v>
      </c>
      <c r="L167" s="4" t="s">
        <v>250</v>
      </c>
      <c r="M167" s="4" t="s">
        <v>251</v>
      </c>
      <c r="N167" s="4" t="s">
        <v>941</v>
      </c>
      <c r="O167" s="4" t="s">
        <v>785</v>
      </c>
    </row>
    <row r="168" spans="3:15" x14ac:dyDescent="0.2">
      <c r="C168" s="11">
        <v>46057</v>
      </c>
      <c r="D168" t="s">
        <v>942</v>
      </c>
      <c r="E168" t="e" vm="168">
        <v>#VALUE!</v>
      </c>
      <c r="F168" s="4" t="str" cm="1">
        <f t="array" aca="1" ref="F168" ca="1">+_FV(E168,"Símbolo do ticker",TRUE)</f>
        <v>480S</v>
      </c>
      <c r="G168" s="4" t="str" cm="1">
        <f t="array" aca="1" ref="G168" ca="1">+_FV(E168,"Setor")</f>
        <v>Software &amp; IT Services</v>
      </c>
      <c r="H168" s="4">
        <v>15</v>
      </c>
      <c r="I168" s="7" cm="1">
        <f t="array" aca="1" ref="I168" ca="1">+_FV(E168,"Preço")</f>
        <v>18.2</v>
      </c>
      <c r="J168" s="8">
        <f t="shared" ca="1" si="2"/>
        <v>0.21333333333333337</v>
      </c>
      <c r="K168" s="4" t="s">
        <v>943</v>
      </c>
      <c r="L168" s="4" t="s">
        <v>252</v>
      </c>
      <c r="M168" s="4" t="s">
        <v>25</v>
      </c>
      <c r="N168" s="4"/>
      <c r="O168" s="4"/>
    </row>
    <row r="169" spans="3:15" x14ac:dyDescent="0.2">
      <c r="C169" s="11">
        <v>46057</v>
      </c>
      <c r="D169" t="s">
        <v>944</v>
      </c>
      <c r="E169" t="e" vm="169">
        <v>#VALUE!</v>
      </c>
      <c r="F169" s="4" t="str" cm="1">
        <f t="array" aca="1" ref="F169" ca="1">+_FV(E169,"Símbolo do ticker",TRUE)</f>
        <v>MDF</v>
      </c>
      <c r="G169" s="4" t="str" cm="1">
        <f t="array" aca="1" ref="G169" ca="1">+_FV(E169,"Setor")</f>
        <v>Construction &amp; Engineering</v>
      </c>
      <c r="H169" s="4">
        <v>0.1802</v>
      </c>
      <c r="I169" s="7" cm="1">
        <f t="array" aca="1" ref="I169" ca="1">+_FV(E169,"Preço")</f>
        <v>0.19700000000000001</v>
      </c>
      <c r="J169" s="8">
        <f t="shared" ca="1" si="2"/>
        <v>9.3229744728079877E-2</v>
      </c>
      <c r="K169" s="4" t="s">
        <v>945</v>
      </c>
      <c r="L169" s="4" t="s">
        <v>946</v>
      </c>
      <c r="M169" s="4" t="s">
        <v>106</v>
      </c>
      <c r="N169" s="4" t="s">
        <v>947</v>
      </c>
      <c r="O169" s="4" t="s">
        <v>491</v>
      </c>
    </row>
    <row r="170" spans="3:15" x14ac:dyDescent="0.2">
      <c r="C170" s="11">
        <v>46057</v>
      </c>
      <c r="D170" t="s">
        <v>948</v>
      </c>
      <c r="E170" t="e" vm="170">
        <v>#VALUE!</v>
      </c>
      <c r="F170" s="4" t="str" cm="1">
        <f t="array" aca="1" ref="F170" ca="1">+_FV(E170,"Símbolo do ticker",TRUE)</f>
        <v>YHCR</v>
      </c>
      <c r="G170" s="4" t="str" cm="1">
        <f t="array" aca="1" ref="G170" ca="1">+_FV(E170,"Setor")</f>
        <v>Real Estate Operations</v>
      </c>
      <c r="H170" s="4">
        <v>6.2</v>
      </c>
      <c r="I170" s="7" cm="1">
        <f t="array" aca="1" ref="I170" ca="1">+_FV(E170,"Preço")</f>
        <v>6.15</v>
      </c>
      <c r="J170" s="8">
        <f t="shared" ca="1" si="2"/>
        <v>-8.0645161290322509E-3</v>
      </c>
      <c r="K170" s="4">
        <v>630</v>
      </c>
      <c r="L170" s="4" t="s">
        <v>254</v>
      </c>
      <c r="M170" s="4" t="s">
        <v>25</v>
      </c>
      <c r="N170" s="4"/>
      <c r="O170" s="4"/>
    </row>
    <row r="171" spans="3:15" x14ac:dyDescent="0.2">
      <c r="C171" s="11">
        <v>46057</v>
      </c>
      <c r="D171" t="s">
        <v>949</v>
      </c>
      <c r="E171" t="e" vm="171">
        <v>#VALUE!</v>
      </c>
      <c r="F171" s="4" t="str" cm="1">
        <f t="array" aca="1" ref="F171" ca="1">+_FV(E171,"Símbolo do ticker",TRUE)</f>
        <v>NBI</v>
      </c>
      <c r="G171" s="4" t="str" cm="1">
        <f t="array" aca="1" ref="G171" ca="1">+_FV(E171,"Setor")</f>
        <v>Machinery, Equipment &amp; Components</v>
      </c>
      <c r="H171" s="4">
        <v>3.1</v>
      </c>
      <c r="I171" s="7" cm="1">
        <f t="array" aca="1" ref="I171" ca="1">+_FV(E171,"Preço")</f>
        <v>3.06</v>
      </c>
      <c r="J171" s="8">
        <f t="shared" ca="1" si="2"/>
        <v>-1.2903225806451646E-2</v>
      </c>
      <c r="K171" s="4" t="s">
        <v>950</v>
      </c>
      <c r="L171" s="4" t="s">
        <v>951</v>
      </c>
      <c r="M171" s="4" t="s">
        <v>253</v>
      </c>
      <c r="N171" s="4" t="s">
        <v>952</v>
      </c>
      <c r="O171" s="4" t="s">
        <v>953</v>
      </c>
    </row>
    <row r="172" spans="3:15" x14ac:dyDescent="0.2">
      <c r="C172" s="11">
        <v>46057</v>
      </c>
      <c r="D172" t="s">
        <v>954</v>
      </c>
      <c r="E172" t="e" vm="172">
        <v>#VALUE!</v>
      </c>
      <c r="F172" s="4" t="str" cm="1">
        <f t="array" aca="1" ref="F172" ca="1">+_FV(E172,"Símbolo do ticker",TRUE)</f>
        <v>YQUO</v>
      </c>
      <c r="G172" s="4" t="str" cm="1">
        <f t="array" aca="1" ref="G172" ca="1">+_FV(E172,"Setor")</f>
        <v>Residential &amp; Commercial REIT</v>
      </c>
      <c r="H172" s="4">
        <v>1.28</v>
      </c>
      <c r="I172" s="7" cm="1">
        <f t="array" aca="1" ref="I172" ca="1">+_FV(E172,"Preço")</f>
        <v>1.18</v>
      </c>
      <c r="J172" s="8">
        <f t="shared" ca="1" si="2"/>
        <v>-7.8125000000000111E-2</v>
      </c>
      <c r="K172" s="4" t="s">
        <v>955</v>
      </c>
      <c r="L172" s="4" t="s">
        <v>255</v>
      </c>
      <c r="M172" s="4" t="s">
        <v>256</v>
      </c>
      <c r="N172" s="4"/>
      <c r="O172" s="4" t="s">
        <v>735</v>
      </c>
    </row>
    <row r="173" spans="3:15" x14ac:dyDescent="0.2">
      <c r="C173" s="11">
        <v>46057</v>
      </c>
      <c r="D173" t="s">
        <v>956</v>
      </c>
      <c r="E173" t="e" vm="173">
        <v>#VALUE!</v>
      </c>
      <c r="F173" s="4" t="str" cm="1">
        <f t="array" aca="1" ref="F173" ca="1">+_FV(E173,"Símbolo do ticker",TRUE)</f>
        <v>YBAR</v>
      </c>
      <c r="G173" s="4" t="str" cm="1">
        <f t="array" aca="1" ref="G173" ca="1">+_FV(E173,"Setor")</f>
        <v>Residential &amp; Commercial REIT</v>
      </c>
      <c r="H173" s="4">
        <v>1.45</v>
      </c>
      <c r="I173" s="7" cm="1">
        <f t="array" aca="1" ref="I173" ca="1">+_FV(E173,"Preço")</f>
        <v>1.45</v>
      </c>
      <c r="J173" s="8">
        <f t="shared" ca="1" si="2"/>
        <v>0</v>
      </c>
      <c r="K173" s="4" t="s">
        <v>257</v>
      </c>
      <c r="L173" s="4" t="s">
        <v>258</v>
      </c>
      <c r="M173" s="4" t="s">
        <v>259</v>
      </c>
      <c r="N173" s="4" t="s">
        <v>957</v>
      </c>
      <c r="O173" s="4" t="s">
        <v>915</v>
      </c>
    </row>
    <row r="174" spans="3:15" x14ac:dyDescent="0.2">
      <c r="C174" s="11">
        <v>46057</v>
      </c>
      <c r="D174" t="s">
        <v>958</v>
      </c>
      <c r="E174" t="e" vm="174">
        <v>#VALUE!</v>
      </c>
      <c r="F174" s="4" t="str" cm="1">
        <f t="array" aca="1" ref="F174" ca="1">+_FV(E174,"Símbolo do ticker",TRUE)</f>
        <v>DESA</v>
      </c>
      <c r="G174" s="4" t="str" cm="1">
        <f t="array" aca="1" ref="G174" ca="1">+_FV(E174,"Setor")</f>
        <v>Machinery, Equipment &amp; Components</v>
      </c>
      <c r="H174" s="4">
        <v>19</v>
      </c>
      <c r="I174" s="7" cm="1">
        <f t="array" aca="1" ref="I174" ca="1">+_FV(E174,"Preço")</f>
        <v>24.2</v>
      </c>
      <c r="J174" s="8">
        <f t="shared" ca="1" si="2"/>
        <v>0.27368421052631575</v>
      </c>
      <c r="K174" s="4">
        <v>492</v>
      </c>
      <c r="L174" s="4" t="s">
        <v>260</v>
      </c>
      <c r="M174" s="4" t="s">
        <v>261</v>
      </c>
      <c r="N174" s="4" t="s">
        <v>959</v>
      </c>
      <c r="O174" s="4" t="s">
        <v>342</v>
      </c>
    </row>
    <row r="175" spans="3:15" x14ac:dyDescent="0.2">
      <c r="C175" s="11">
        <v>46057</v>
      </c>
      <c r="D175" t="s">
        <v>960</v>
      </c>
      <c r="E175" t="e" vm="175">
        <v>#VALUE!</v>
      </c>
      <c r="F175" s="4" t="str" cm="1">
        <f t="array" aca="1" ref="F175" ca="1">+_FV(E175,"Símbolo do ticker",TRUE)</f>
        <v>END</v>
      </c>
      <c r="G175" s="4" t="str" cm="1">
        <f t="array" aca="1" ref="G175" ca="1">+_FV(E175,"Setor")</f>
        <v>Machinery, Equipment &amp; Components</v>
      </c>
      <c r="H175" s="4">
        <v>2.99</v>
      </c>
      <c r="I175" s="7" cm="1">
        <f t="array" aca="1" ref="I175" ca="1">+_FV(E175,"Preço")</f>
        <v>3.35</v>
      </c>
      <c r="J175" s="8">
        <f t="shared" ca="1" si="2"/>
        <v>0.12040133779264206</v>
      </c>
      <c r="K175" s="4" t="s">
        <v>961</v>
      </c>
      <c r="L175" s="4" t="s">
        <v>962</v>
      </c>
      <c r="M175" s="4" t="s">
        <v>25</v>
      </c>
      <c r="N175" s="4"/>
      <c r="O175" s="4"/>
    </row>
    <row r="176" spans="3:15" x14ac:dyDescent="0.2">
      <c r="C176" s="11">
        <v>46057</v>
      </c>
      <c r="D176" t="s">
        <v>963</v>
      </c>
      <c r="E176" t="e" vm="176">
        <v>#VALUE!</v>
      </c>
      <c r="F176" s="4" t="str" cm="1">
        <f t="array" aca="1" ref="F176" ca="1">+_FV(E176,"Símbolo do ticker",TRUE)</f>
        <v>ISE</v>
      </c>
      <c r="G176" s="4" t="str" cm="1">
        <f t="array" aca="1" ref="G176" ca="1">+_FV(E176,"Setor")</f>
        <v>Professional &amp; Commercial Services</v>
      </c>
      <c r="H176" s="4">
        <v>0.56499999999999995</v>
      </c>
      <c r="I176" s="7" cm="1">
        <f t="array" aca="1" ref="I176" ca="1">+_FV(E176,"Preço")</f>
        <v>0.56499999999999995</v>
      </c>
      <c r="J176" s="8">
        <f t="shared" ca="1" si="2"/>
        <v>0</v>
      </c>
      <c r="K176" s="4">
        <v>301</v>
      </c>
      <c r="L176" s="4" t="s">
        <v>107</v>
      </c>
      <c r="M176" s="4" t="s">
        <v>108</v>
      </c>
      <c r="N176" s="4" t="s">
        <v>964</v>
      </c>
      <c r="O176" s="4" t="s">
        <v>470</v>
      </c>
    </row>
    <row r="177" spans="3:15" x14ac:dyDescent="0.2">
      <c r="C177" s="11">
        <v>46057</v>
      </c>
      <c r="D177" t="s">
        <v>966</v>
      </c>
      <c r="E177" t="e" vm="177">
        <v>#VALUE!</v>
      </c>
      <c r="F177" s="4" t="str" cm="1">
        <f t="array" aca="1" ref="F177" ca="1">+_FV(E177,"Símbolo do ticker",TRUE)</f>
        <v>LAB</v>
      </c>
      <c r="G177" s="4" t="str" cm="1">
        <f t="array" aca="1" ref="G177" ca="1">+_FV(E177,"Setor")</f>
        <v>Pharmaceuticals</v>
      </c>
      <c r="H177" s="4">
        <v>4.5</v>
      </c>
      <c r="I177" s="7" cm="1">
        <f t="array" aca="1" ref="I177" ca="1">+_FV(E177,"Preço")</f>
        <v>6.55</v>
      </c>
      <c r="J177" s="8">
        <f t="shared" ca="1" si="2"/>
        <v>0.45555555555555549</v>
      </c>
      <c r="K177" s="4" t="s">
        <v>68</v>
      </c>
      <c r="L177" s="4" t="s">
        <v>967</v>
      </c>
      <c r="M177" s="4" t="s">
        <v>262</v>
      </c>
      <c r="N177" s="4" t="s">
        <v>968</v>
      </c>
      <c r="O177" s="4" t="s">
        <v>969</v>
      </c>
    </row>
    <row r="178" spans="3:15" x14ac:dyDescent="0.2">
      <c r="C178" s="11">
        <v>46057</v>
      </c>
      <c r="D178" t="s">
        <v>970</v>
      </c>
      <c r="E178" t="e" vm="178">
        <v>#VALUE!</v>
      </c>
      <c r="F178" s="4" t="str" cm="1">
        <f t="array" aca="1" ref="F178" ca="1">+_FV(E178,"Símbolo do ticker",TRUE)</f>
        <v>YNUM</v>
      </c>
      <c r="G178" s="4" t="str" cm="1">
        <f t="array" aca="1" ref="G178" ca="1">+_FV(E178,"Setor")</f>
        <v>Residential &amp; Commercial REIT</v>
      </c>
      <c r="H178" s="4">
        <v>1.99</v>
      </c>
      <c r="I178" s="7" cm="1">
        <f t="array" aca="1" ref="I178" ca="1">+_FV(E178,"Preço")</f>
        <v>2.36</v>
      </c>
      <c r="J178" s="8">
        <f t="shared" ca="1" si="2"/>
        <v>0.18592964824120606</v>
      </c>
      <c r="K178" s="4" t="s">
        <v>263</v>
      </c>
      <c r="L178" s="4" t="s">
        <v>264</v>
      </c>
      <c r="M178" s="4" t="s">
        <v>265</v>
      </c>
      <c r="N178" s="4" t="s">
        <v>971</v>
      </c>
      <c r="O178" s="4" t="s">
        <v>972</v>
      </c>
    </row>
    <row r="179" spans="3:15" x14ac:dyDescent="0.2">
      <c r="C179" s="11">
        <v>46057</v>
      </c>
      <c r="D179" t="s">
        <v>973</v>
      </c>
      <c r="E179" t="e" vm="179">
        <v>#VALUE!</v>
      </c>
      <c r="F179" s="4" t="str" cm="1">
        <f t="array" aca="1" ref="F179" ca="1">+_FV(E179,"Símbolo do ticker",TRUE)</f>
        <v>HLZ</v>
      </c>
      <c r="G179" s="4" t="str" cm="1">
        <f t="array" aca="1" ref="G179" ca="1">+_FV(E179,"Setor")</f>
        <v>Electrical Utilities &amp; IPPs</v>
      </c>
      <c r="H179" s="4">
        <v>0.84</v>
      </c>
      <c r="I179" s="7" cm="1">
        <f t="array" aca="1" ref="I179" ca="1">+_FV(E179,"Preço")</f>
        <v>0.82</v>
      </c>
      <c r="J179" s="8">
        <f t="shared" ca="1" si="2"/>
        <v>-2.3809523809523836E-2</v>
      </c>
      <c r="K179" s="4" t="s">
        <v>974</v>
      </c>
      <c r="L179" s="4" t="s">
        <v>266</v>
      </c>
      <c r="M179" s="4" t="s">
        <v>267</v>
      </c>
      <c r="N179" s="4" t="s">
        <v>975</v>
      </c>
      <c r="O179" s="4" t="s">
        <v>976</v>
      </c>
    </row>
    <row r="180" spans="3:15" x14ac:dyDescent="0.2">
      <c r="C180" s="11">
        <v>46057</v>
      </c>
      <c r="D180" t="s">
        <v>977</v>
      </c>
      <c r="E180" t="e" vm="180">
        <v>#VALUE!</v>
      </c>
      <c r="F180" s="4" t="str" cm="1">
        <f t="array" aca="1" ref="F180" ca="1">+_FV(E180,"Símbolo do ticker",TRUE)</f>
        <v>OPTS</v>
      </c>
      <c r="G180" s="4" t="str" cm="1">
        <f t="array" aca="1" ref="G180" ca="1">+_FV(E180,"Setor")</f>
        <v>Telecommunications Services</v>
      </c>
      <c r="H180" s="4">
        <v>7.55</v>
      </c>
      <c r="I180" s="7" cm="1">
        <f t="array" aca="1" ref="I180" ca="1">+_FV(E180,"Preço")</f>
        <v>7.15</v>
      </c>
      <c r="J180" s="8">
        <f t="shared" ca="1" si="2"/>
        <v>-5.2980132450331063E-2</v>
      </c>
      <c r="K180" s="4">
        <v>418</v>
      </c>
      <c r="L180" s="4" t="s">
        <v>268</v>
      </c>
      <c r="M180" s="4" t="s">
        <v>25</v>
      </c>
      <c r="N180" s="4"/>
      <c r="O180" s="4"/>
    </row>
    <row r="181" spans="3:15" x14ac:dyDescent="0.2">
      <c r="C181" s="11">
        <v>46057</v>
      </c>
      <c r="D181" t="s">
        <v>15</v>
      </c>
      <c r="E181" t="e" vm="181">
        <v>#VALUE!</v>
      </c>
      <c r="F181" s="4" t="str" cm="1">
        <f t="array" aca="1" ref="F181" ca="1">+_FV(E181,"Símbolo do ticker",TRUE)</f>
        <v>REN</v>
      </c>
      <c r="G181" s="4" t="str" cm="1">
        <f t="array" aca="1" ref="G181" ca="1">+_FV(E181,"Setor")</f>
        <v>Real Estate Operations</v>
      </c>
      <c r="H181" s="4">
        <v>0.77700000000000002</v>
      </c>
      <c r="I181" s="7" cm="1">
        <f t="array" aca="1" ref="I181" ca="1">+_FV(E181,"Preço")</f>
        <v>0.71</v>
      </c>
      <c r="J181" s="8">
        <f t="shared" ca="1" si="2"/>
        <v>-8.6229086229086316E-2</v>
      </c>
      <c r="K181" s="4" t="s">
        <v>978</v>
      </c>
      <c r="L181" s="4" t="s">
        <v>979</v>
      </c>
      <c r="M181" s="4" t="s">
        <v>109</v>
      </c>
      <c r="N181" s="4" t="s">
        <v>980</v>
      </c>
      <c r="O181" s="4" t="s">
        <v>981</v>
      </c>
    </row>
    <row r="182" spans="3:15" x14ac:dyDescent="0.2">
      <c r="C182" s="11">
        <v>46057</v>
      </c>
      <c r="D182" t="s">
        <v>982</v>
      </c>
      <c r="E182" t="e" vm="182">
        <v>#VALUE!</v>
      </c>
      <c r="F182" s="4" t="str" cm="1">
        <f t="array" aca="1" ref="F182" ca="1">+_FV(E182,"Símbolo do ticker",TRUE)</f>
        <v>NYE</v>
      </c>
      <c r="G182" s="4" t="str" cm="1">
        <f t="array" aca="1" ref="G182" ca="1">+_FV(E182,"Setor")</f>
        <v>Real Estate Operations</v>
      </c>
      <c r="H182" s="4">
        <v>6.0000000000000001E-3</v>
      </c>
      <c r="I182" s="7" cm="1">
        <f t="array" aca="1" ref="I182" ca="1">+_FV(E182,"Preço")</f>
        <v>3.8E-3</v>
      </c>
      <c r="J182" s="8">
        <f t="shared" ca="1" si="2"/>
        <v>-0.3666666666666667</v>
      </c>
      <c r="K182" s="4" t="s">
        <v>983</v>
      </c>
      <c r="L182" s="4" t="s">
        <v>984</v>
      </c>
      <c r="M182" s="4" t="s">
        <v>1</v>
      </c>
      <c r="N182" s="4" t="s">
        <v>985</v>
      </c>
      <c r="O182" s="4" t="s">
        <v>321</v>
      </c>
    </row>
    <row r="183" spans="3:15" x14ac:dyDescent="0.2">
      <c r="C183" s="11">
        <v>46057</v>
      </c>
      <c r="D183" t="s">
        <v>270</v>
      </c>
      <c r="E183" t="e" vm="183">
        <v>#VALUE!</v>
      </c>
      <c r="F183" s="4" t="str" cm="1">
        <f t="array" aca="1" ref="F183" ca="1">+_FV(E183,"Símbolo do ticker",TRUE)</f>
        <v>YMIB</v>
      </c>
      <c r="G183" s="4" t="str" cm="1">
        <f t="array" aca="1" ref="G183" ca="1">+_FV(E183,"Setor")</f>
        <v>Real Estate Operations</v>
      </c>
      <c r="H183" s="4">
        <v>1.04</v>
      </c>
      <c r="I183" s="7" cm="1">
        <f t="array" aca="1" ref="I183" ca="1">+_FV(E183,"Preço")</f>
        <v>0.995</v>
      </c>
      <c r="J183" s="8">
        <f t="shared" ca="1" si="2"/>
        <v>-4.3269230769230838E-2</v>
      </c>
      <c r="K183" s="4" t="s">
        <v>271</v>
      </c>
      <c r="L183" s="4" t="s">
        <v>272</v>
      </c>
      <c r="M183" s="4" t="s">
        <v>273</v>
      </c>
      <c r="N183" s="4" t="s">
        <v>986</v>
      </c>
      <c r="O183" s="4" t="s">
        <v>915</v>
      </c>
    </row>
    <row r="184" spans="3:15" x14ac:dyDescent="0.2">
      <c r="C184" s="11">
        <v>46057</v>
      </c>
      <c r="D184" t="s">
        <v>987</v>
      </c>
      <c r="E184" t="e" vm="184">
        <v>#VALUE!</v>
      </c>
      <c r="F184" s="4" t="str" cm="1">
        <f t="array" aca="1" ref="F184" ca="1">+_FV(E184,"Símbolo do ticker",TRUE)</f>
        <v>YMAT</v>
      </c>
      <c r="G184" s="4" t="str" cm="1">
        <f t="array" aca="1" ref="G184" ca="1">+_FV(E184,"Setor")</f>
        <v>Residential &amp; Commercial REIT</v>
      </c>
      <c r="H184" s="4">
        <v>1.01</v>
      </c>
      <c r="I184" s="7" cm="1">
        <f t="array" aca="1" ref="I184" ca="1">+_FV(E184,"Preço")</f>
        <v>1.01</v>
      </c>
      <c r="J184" s="8">
        <f t="shared" ca="1" si="2"/>
        <v>0</v>
      </c>
      <c r="K184" s="4">
        <v>200</v>
      </c>
      <c r="L184" s="4" t="s">
        <v>274</v>
      </c>
      <c r="M184" s="4" t="s">
        <v>25</v>
      </c>
      <c r="N184" s="4"/>
      <c r="O184" s="4"/>
    </row>
    <row r="185" spans="3:15" x14ac:dyDescent="0.2">
      <c r="C185" s="11">
        <v>46057</v>
      </c>
      <c r="D185" t="s">
        <v>988</v>
      </c>
      <c r="E185" t="e" vm="185">
        <v>#VALUE!</v>
      </c>
      <c r="F185" s="4" t="str" cm="1">
        <f t="array" aca="1" ref="F185" ca="1">+_FV(E185,"Símbolo do ticker",TRUE)</f>
        <v>SCGV</v>
      </c>
      <c r="G185" s="4" t="str" cm="1">
        <f t="array" aca="1" ref="G185" ca="1">+_FV(E185,"Setor")</f>
        <v>Hotels &amp; Entertainment Services</v>
      </c>
      <c r="H185" s="4">
        <v>3.86</v>
      </c>
      <c r="I185" s="7" cm="1">
        <f t="array" aca="1" ref="I185" ca="1">+_FV(E185,"Preço")</f>
        <v>2.6</v>
      </c>
      <c r="J185" s="8">
        <f t="shared" ca="1" si="2"/>
        <v>-0.32642487046632118</v>
      </c>
      <c r="K185" s="4" t="s">
        <v>989</v>
      </c>
      <c r="L185" s="4" t="s">
        <v>990</v>
      </c>
      <c r="M185" s="4" t="s">
        <v>25</v>
      </c>
      <c r="N185" s="4"/>
      <c r="O185" s="4"/>
    </row>
    <row r="186" spans="3:15" x14ac:dyDescent="0.2">
      <c r="C186" s="11">
        <v>46057</v>
      </c>
      <c r="D186" t="s">
        <v>991</v>
      </c>
      <c r="E186" t="e" vm="186">
        <v>#VALUE!</v>
      </c>
      <c r="F186" s="4" t="str" cm="1">
        <f t="array" aca="1" ref="F186" ca="1">+_FV(E186,"Símbolo do ticker",TRUE)</f>
        <v>LLN</v>
      </c>
      <c r="G186" s="4" t="str" cm="1">
        <f t="array" aca="1" ref="G186" ca="1">+_FV(E186,"Setor")</f>
        <v>Telecommunications Services</v>
      </c>
      <c r="H186" s="4">
        <v>1.22</v>
      </c>
      <c r="I186" s="7" cm="1">
        <f t="array" aca="1" ref="I186" ca="1">+_FV(E186,"Preço")</f>
        <v>1.35</v>
      </c>
      <c r="J186" s="8">
        <f t="shared" ca="1" si="2"/>
        <v>0.10655737704918034</v>
      </c>
      <c r="K186" s="4" t="s">
        <v>992</v>
      </c>
      <c r="L186" s="4" t="s">
        <v>993</v>
      </c>
      <c r="M186" s="4" t="s">
        <v>275</v>
      </c>
      <c r="N186" s="4" t="s">
        <v>994</v>
      </c>
      <c r="O186" s="4" t="s">
        <v>995</v>
      </c>
    </row>
    <row r="187" spans="3:15" x14ac:dyDescent="0.2">
      <c r="C187" s="11">
        <v>46057</v>
      </c>
      <c r="D187" t="s">
        <v>996</v>
      </c>
      <c r="E187" t="e" vm="187">
        <v>#VALUE!</v>
      </c>
      <c r="F187" s="4" t="str" cm="1">
        <f t="array" aca="1" ref="F187" ca="1">+_FV(E187,"Símbolo do ticker",TRUE)</f>
        <v>COM</v>
      </c>
      <c r="G187" s="4" t="str" cm="1">
        <f t="array" aca="1" ref="G187" ca="1">+_FV(E187,"Setor")</f>
        <v>Professional &amp; Commercial Services</v>
      </c>
      <c r="H187" s="4">
        <v>1.05</v>
      </c>
      <c r="I187" s="7" cm="1">
        <f t="array" aca="1" ref="I187" ca="1">+_FV(E187,"Preço")</f>
        <v>0.95</v>
      </c>
      <c r="J187" s="8">
        <f t="shared" ca="1" si="2"/>
        <v>-9.5238095238095344E-2</v>
      </c>
      <c r="K187" s="4" t="s">
        <v>997</v>
      </c>
      <c r="L187" s="4" t="s">
        <v>276</v>
      </c>
      <c r="M187" s="4" t="s">
        <v>279</v>
      </c>
      <c r="N187" s="4" t="s">
        <v>998</v>
      </c>
      <c r="O187" s="4" t="s">
        <v>999</v>
      </c>
    </row>
    <row r="188" spans="3:15" x14ac:dyDescent="0.2">
      <c r="C188" s="11">
        <v>46057</v>
      </c>
      <c r="D188" t="s">
        <v>1000</v>
      </c>
      <c r="E188" t="e" vm="188">
        <v>#VALUE!</v>
      </c>
      <c r="F188" s="4" t="str" cm="1">
        <f t="array" aca="1" ref="F188" ca="1">+_FV(E188,"Símbolo do ticker",TRUE)</f>
        <v>NZI</v>
      </c>
      <c r="G188" s="4" t="str" cm="1">
        <f t="array" aca="1" ref="G188" ca="1">+_FV(E188,"Setor")</f>
        <v>Leisure Products</v>
      </c>
      <c r="H188" s="4">
        <v>1.1100000000000001</v>
      </c>
      <c r="I188" s="7" cm="1">
        <f t="array" aca="1" ref="I188" ca="1">+_FV(E188,"Preço")</f>
        <v>1.02</v>
      </c>
      <c r="J188" s="8">
        <f t="shared" ca="1" si="2"/>
        <v>-8.1081081081081141E-2</v>
      </c>
      <c r="K188" s="4" t="s">
        <v>277</v>
      </c>
      <c r="L188" s="4" t="s">
        <v>278</v>
      </c>
      <c r="M188" s="4" t="s">
        <v>25</v>
      </c>
      <c r="N188" s="4"/>
      <c r="O188" s="4"/>
    </row>
    <row r="189" spans="3:15" x14ac:dyDescent="0.2">
      <c r="C189" s="11">
        <v>46057</v>
      </c>
      <c r="D189" t="s">
        <v>1001</v>
      </c>
      <c r="E189" t="e" vm="189">
        <v>#VALUE!</v>
      </c>
      <c r="F189" s="4" t="str" cm="1">
        <f t="array" aca="1" ref="F189" ca="1">+_FV(E189,"Símbolo do ticker",TRUE)</f>
        <v>IFLEX</v>
      </c>
      <c r="G189" s="4" t="str" cm="1">
        <f t="array" aca="1" ref="G189" ca="1">+_FV(E189,"Setor")</f>
        <v>Containers &amp; Packaging</v>
      </c>
      <c r="H189" s="4">
        <v>1.7</v>
      </c>
      <c r="I189" s="7" cm="1">
        <f t="array" aca="1" ref="I189" ca="1">+_FV(E189,"Preço")</f>
        <v>1.57</v>
      </c>
      <c r="J189" s="8">
        <f t="shared" ca="1" si="2"/>
        <v>-7.6470588235294068E-2</v>
      </c>
      <c r="K189" s="4" t="s">
        <v>1002</v>
      </c>
      <c r="L189" s="4" t="s">
        <v>1003</v>
      </c>
      <c r="M189" s="4" t="s">
        <v>25</v>
      </c>
      <c r="N189" s="4"/>
      <c r="O189" s="4"/>
    </row>
    <row r="190" spans="3:15" x14ac:dyDescent="0.2">
      <c r="C190" s="11">
        <v>46057</v>
      </c>
      <c r="D190" t="s">
        <v>1004</v>
      </c>
      <c r="E190" t="e" vm="190">
        <v>#VALUE!</v>
      </c>
      <c r="F190" s="4" t="str" cm="1">
        <f t="array" aca="1" ref="F190" ca="1">+_FV(E190,"Símbolo do ticker",TRUE)</f>
        <v>RDG</v>
      </c>
      <c r="G190" s="4" t="str" cm="1">
        <f t="array" aca="1" ref="G190" ca="1">+_FV(E190,"Setor")</f>
        <v>Software &amp; IT Services</v>
      </c>
      <c r="H190" s="4">
        <v>7.2</v>
      </c>
      <c r="I190" s="7" cm="1">
        <f t="array" aca="1" ref="I190" ca="1">+_FV(E190,"Preço")</f>
        <v>0.89500000000000002</v>
      </c>
      <c r="J190" s="8">
        <f t="shared" ca="1" si="2"/>
        <v>-0.87569444444444444</v>
      </c>
      <c r="K190" s="4">
        <v>640</v>
      </c>
      <c r="L190" s="4" t="s">
        <v>280</v>
      </c>
      <c r="M190" s="4" t="s">
        <v>25</v>
      </c>
      <c r="N190" s="4"/>
      <c r="O190" s="4"/>
    </row>
    <row r="191" spans="3:15" x14ac:dyDescent="0.2">
      <c r="C191" s="11">
        <v>46057</v>
      </c>
      <c r="D191" t="s">
        <v>1005</v>
      </c>
      <c r="E191" t="e" vm="191">
        <v>#VALUE!</v>
      </c>
      <c r="F191" s="4" t="str" cm="1">
        <f t="array" aca="1" ref="F191" ca="1">+_FV(E191,"Símbolo do ticker",TRUE)</f>
        <v>BST</v>
      </c>
      <c r="G191" s="4" t="str" cm="1">
        <f t="array" aca="1" ref="G191" ca="1">+_FV(E191,"Setor")</f>
        <v>Biotechnology &amp; Medical Research</v>
      </c>
      <c r="H191" s="4">
        <v>0.20100000000000001</v>
      </c>
      <c r="I191" s="7" cm="1">
        <f t="array" aca="1" ref="I191" ca="1">+_FV(E191,"Preço")</f>
        <v>0.22800000000000001</v>
      </c>
      <c r="J191" s="8">
        <f t="shared" ca="1" si="2"/>
        <v>0.13432835820895517</v>
      </c>
      <c r="K191" s="4" t="s">
        <v>1006</v>
      </c>
      <c r="L191" s="4" t="s">
        <v>1007</v>
      </c>
      <c r="M191" s="4" t="s">
        <v>281</v>
      </c>
      <c r="N191" s="4" t="s">
        <v>1008</v>
      </c>
      <c r="O191" s="4" t="s">
        <v>1009</v>
      </c>
    </row>
    <row r="192" spans="3:15" x14ac:dyDescent="0.2">
      <c r="C192" s="11">
        <v>46057</v>
      </c>
      <c r="D192" t="s">
        <v>1010</v>
      </c>
      <c r="E192" t="e" vm="192">
        <v>#VALUE!</v>
      </c>
      <c r="F192" s="4" t="str" cm="1">
        <f t="array" aca="1" ref="F192" ca="1">+_FV(E192,"Símbolo do ticker",TRUE)</f>
        <v>DOMO</v>
      </c>
      <c r="G192" s="4" t="str" cm="1">
        <f t="array" aca="1" ref="G192" ca="1">+_FV(E192,"Setor")</f>
        <v>Residential &amp; Commercial REIT</v>
      </c>
      <c r="H192" s="4">
        <v>1.21</v>
      </c>
      <c r="I192" s="7" cm="1">
        <f t="array" aca="1" ref="I192" ca="1">+_FV(E192,"Preço")</f>
        <v>1.38</v>
      </c>
      <c r="J192" s="8">
        <f t="shared" ca="1" si="2"/>
        <v>0.14049586776859502</v>
      </c>
      <c r="K192" s="4" t="s">
        <v>282</v>
      </c>
      <c r="L192" s="4" t="s">
        <v>283</v>
      </c>
      <c r="M192" s="4" t="s">
        <v>284</v>
      </c>
      <c r="N192" s="4"/>
      <c r="O192" s="4" t="s">
        <v>850</v>
      </c>
    </row>
    <row r="193" spans="2:15" x14ac:dyDescent="0.2">
      <c r="C193" s="11">
        <v>46057</v>
      </c>
      <c r="D193" t="s">
        <v>1011</v>
      </c>
      <c r="E193" t="e" vm="193">
        <v>#VALUE!</v>
      </c>
      <c r="F193" s="4" t="str" cm="1">
        <f t="array" aca="1" ref="F193" ca="1">+_FV(E193,"Símbolo do ticker",TRUE)</f>
        <v>SAI.B</v>
      </c>
      <c r="G193" s="4" t="str" cm="1">
        <f t="array" aca="1" ref="G193" ca="1">+_FV(E193,"Setor")</f>
        <v>Healthcare Equipment &amp; Supplies</v>
      </c>
      <c r="H193" s="4">
        <v>0.17499999999999999</v>
      </c>
      <c r="I193" s="7" cm="1">
        <f t="array" aca="1" ref="I193" ca="1">+_FV(E193,"Preço")</f>
        <v>0.12</v>
      </c>
      <c r="J193" s="8">
        <f t="shared" ca="1" si="2"/>
        <v>-0.31428571428571428</v>
      </c>
      <c r="K193" s="4" t="s">
        <v>1012</v>
      </c>
      <c r="L193" s="4" t="s">
        <v>1013</v>
      </c>
      <c r="M193" s="4" t="s">
        <v>286</v>
      </c>
      <c r="N193" s="4" t="s">
        <v>1014</v>
      </c>
      <c r="O193" s="4" t="s">
        <v>371</v>
      </c>
    </row>
    <row r="194" spans="2:15" x14ac:dyDescent="0.2">
      <c r="C194" s="11">
        <v>46057</v>
      </c>
      <c r="D194" t="s">
        <v>1011</v>
      </c>
      <c r="E194" t="e" vm="193">
        <v>#VALUE!</v>
      </c>
      <c r="F194" s="4" t="str" cm="1">
        <f t="array" aca="1" ref="F194" ca="1">+_FV(E194,"Símbolo do ticker",TRUE)</f>
        <v>SAI.B</v>
      </c>
      <c r="G194" s="4" t="str" cm="1">
        <f t="array" aca="1" ref="G194" ca="1">+_FV(E194,"Setor")</f>
        <v>Healthcare Equipment &amp; Supplies</v>
      </c>
      <c r="H194" s="4">
        <v>0.17499999999999999</v>
      </c>
      <c r="I194" s="7" cm="1">
        <f t="array" aca="1" ref="I194" ca="1">+_FV(E194,"Preço")</f>
        <v>0.12</v>
      </c>
      <c r="J194" s="8">
        <f t="shared" ca="1" si="2"/>
        <v>-0.31428571428571428</v>
      </c>
      <c r="K194" s="4" t="s">
        <v>1015</v>
      </c>
      <c r="L194" s="4" t="s">
        <v>1013</v>
      </c>
      <c r="M194" s="4" t="s">
        <v>286</v>
      </c>
      <c r="N194" s="4" t="s">
        <v>1014</v>
      </c>
      <c r="O194" s="4" t="s">
        <v>371</v>
      </c>
    </row>
    <row r="195" spans="2:15" x14ac:dyDescent="0.2">
      <c r="C195" s="11">
        <v>46057</v>
      </c>
      <c r="D195" t="s">
        <v>1016</v>
      </c>
      <c r="E195" t="e" vm="194">
        <v>#VALUE!</v>
      </c>
      <c r="F195" s="4" t="str" cm="1">
        <f t="array" aca="1" ref="F195" ca="1">+_FV(E195,"Símbolo do ticker",TRUE)</f>
        <v>ELZ</v>
      </c>
      <c r="G195" s="4" t="str" cm="1">
        <f t="array" aca="1" ref="G195" ca="1">+_FV(E195,"Setor")</f>
        <v>Metals &amp; Mining</v>
      </c>
      <c r="H195" s="4">
        <v>9.3200000000000005E-2</v>
      </c>
      <c r="I195" s="7" cm="1">
        <f t="array" aca="1" ref="I195" ca="1">+_FV(E195,"Preço")</f>
        <v>7.5999999999999998E-2</v>
      </c>
      <c r="J195" s="8">
        <f t="shared" ref="J195:J212" ca="1" si="3">+I195/H195-1</f>
        <v>-0.18454935622317603</v>
      </c>
      <c r="K195" s="4" t="s">
        <v>1017</v>
      </c>
      <c r="L195" s="4" t="s">
        <v>1018</v>
      </c>
      <c r="M195" s="4" t="s">
        <v>285</v>
      </c>
      <c r="N195" s="4" t="s">
        <v>1019</v>
      </c>
      <c r="O195" s="4" t="s">
        <v>347</v>
      </c>
    </row>
    <row r="196" spans="2:15" x14ac:dyDescent="0.2">
      <c r="C196" s="11">
        <v>46057</v>
      </c>
      <c r="D196" t="s">
        <v>1020</v>
      </c>
      <c r="E196" t="e" vm="195">
        <v>#VALUE!</v>
      </c>
      <c r="F196" s="4" t="str" cm="1">
        <f t="array" aca="1" ref="F196" ca="1">+_FV(E196,"Símbolo do ticker",TRUE)</f>
        <v>RIO</v>
      </c>
      <c r="G196" s="4" t="str" cm="1">
        <f t="array" aca="1" ref="G196" ca="1">+_FV(E196,"Setor")</f>
        <v>Beverages</v>
      </c>
      <c r="H196" s="4">
        <v>2.331</v>
      </c>
      <c r="I196" s="7" cm="1">
        <f t="array" aca="1" ref="I196" ca="1">+_FV(E196,"Preço")</f>
        <v>0.98499999999999999</v>
      </c>
      <c r="J196" s="8">
        <f t="shared" ca="1" si="3"/>
        <v>-0.57743457743457749</v>
      </c>
      <c r="K196" s="4" t="s">
        <v>1021</v>
      </c>
      <c r="L196" s="4" t="s">
        <v>1022</v>
      </c>
      <c r="M196" s="4" t="s">
        <v>110</v>
      </c>
      <c r="N196" s="4" t="s">
        <v>1023</v>
      </c>
      <c r="O196" s="4"/>
    </row>
    <row r="197" spans="2:15" x14ac:dyDescent="0.2">
      <c r="C197" s="11">
        <v>46057</v>
      </c>
      <c r="D197" t="s">
        <v>1024</v>
      </c>
      <c r="E197" t="e" vm="196">
        <v>#VALUE!</v>
      </c>
      <c r="F197" s="4" t="str" cm="1">
        <f t="array" aca="1" ref="F197" ca="1">+_FV(E197,"Símbolo do ticker",TRUE)</f>
        <v>YGO2</v>
      </c>
      <c r="G197" s="4" t="str" cm="1">
        <f t="array" aca="1" ref="G197" ca="1">+_FV(E197,"Setor")</f>
        <v>Residential &amp; Commercial REIT</v>
      </c>
      <c r="H197" s="4">
        <v>1.65</v>
      </c>
      <c r="I197" s="7" cm="1">
        <f t="array" aca="1" ref="I197" ca="1">+_FV(E197,"Preço")</f>
        <v>1.65</v>
      </c>
      <c r="J197" s="8">
        <f t="shared" ca="1" si="3"/>
        <v>0</v>
      </c>
      <c r="K197" s="4">
        <v>49</v>
      </c>
      <c r="L197" s="4" t="s">
        <v>287</v>
      </c>
      <c r="M197" s="4" t="s">
        <v>25</v>
      </c>
      <c r="N197" s="4"/>
      <c r="O197" s="4"/>
    </row>
    <row r="198" spans="2:15" x14ac:dyDescent="0.2">
      <c r="C198" s="11">
        <v>46057</v>
      </c>
      <c r="D198" t="s">
        <v>1025</v>
      </c>
      <c r="E198" t="e" vm="197">
        <v>#VALUE!</v>
      </c>
      <c r="F198" s="4" t="str" cm="1">
        <f t="array" aca="1" ref="F198" ca="1">+_FV(E198,"Símbolo do ticker",TRUE)</f>
        <v>YEIS</v>
      </c>
      <c r="G198" s="4" t="str" cm="1">
        <f t="array" aca="1" ref="G198" ca="1">+_FV(E198,"Setor")</f>
        <v>Residential &amp; Commercial REIT</v>
      </c>
      <c r="H198" s="4">
        <v>1.24</v>
      </c>
      <c r="I198" s="7" cm="1">
        <f t="array" aca="1" ref="I198" ca="1">+_FV(E198,"Preço")</f>
        <v>0.91</v>
      </c>
      <c r="J198" s="8">
        <f t="shared" ca="1" si="3"/>
        <v>-0.2661290322580645</v>
      </c>
      <c r="K198" s="4" t="s">
        <v>288</v>
      </c>
      <c r="L198" s="4" t="s">
        <v>289</v>
      </c>
      <c r="M198" s="4" t="s">
        <v>290</v>
      </c>
      <c r="N198" s="4"/>
      <c r="O198" s="4" t="s">
        <v>965</v>
      </c>
    </row>
    <row r="199" spans="2:15" x14ac:dyDescent="0.2">
      <c r="C199" s="11">
        <v>46057</v>
      </c>
      <c r="D199" t="s">
        <v>1026</v>
      </c>
      <c r="E199" t="e" vm="198">
        <v>#VALUE!</v>
      </c>
      <c r="F199" s="4" t="str" cm="1">
        <f t="array" aca="1" ref="F199" ca="1">+_FV(E199,"Símbolo do ticker",TRUE)</f>
        <v>SCCMM</v>
      </c>
      <c r="G199" s="4" t="str" cm="1">
        <f t="array" aca="1" ref="G199" ca="1">+_FV(E199,"Setor")</f>
        <v>Telecommunications Services</v>
      </c>
      <c r="H199" s="4">
        <v>1.64</v>
      </c>
      <c r="I199" s="7" cm="1">
        <f t="array" aca="1" ref="I199" ca="1">+_FV(E199,"Preço")</f>
        <v>1.64</v>
      </c>
      <c r="J199" s="8">
        <f t="shared" ca="1" si="3"/>
        <v>0</v>
      </c>
      <c r="K199" s="4">
        <v>463</v>
      </c>
      <c r="L199" s="4" t="s">
        <v>291</v>
      </c>
      <c r="M199" s="4" t="s">
        <v>292</v>
      </c>
      <c r="N199" s="4" t="s">
        <v>1027</v>
      </c>
      <c r="O199" s="4" t="s">
        <v>842</v>
      </c>
    </row>
    <row r="200" spans="2:15" x14ac:dyDescent="0.2">
      <c r="C200" s="11">
        <v>46057</v>
      </c>
      <c r="D200" t="s">
        <v>1028</v>
      </c>
      <c r="E200" t="e" vm="199">
        <v>#VALUE!</v>
      </c>
      <c r="F200" s="4" t="str" cm="1">
        <f t="array" aca="1" ref="F200" ca="1">+_FV(E200,"Símbolo do ticker",TRUE)</f>
        <v>SCBTT</v>
      </c>
      <c r="G200" s="4" t="e" cm="1" vm="137">
        <f t="array" ref="G200">+_FV(E200,"Setor")</f>
        <v>#VALUE!</v>
      </c>
      <c r="H200" s="4">
        <v>4.5999999999999996</v>
      </c>
      <c r="I200" s="7" cm="1">
        <f t="array" aca="1" ref="I200" ca="1">+_FV(E200,"Preço")</f>
        <v>4.5999999999999996</v>
      </c>
      <c r="J200" s="8">
        <f t="shared" ca="1" si="3"/>
        <v>0</v>
      </c>
      <c r="K200" s="4">
        <v>110</v>
      </c>
      <c r="L200" s="4" t="s">
        <v>293</v>
      </c>
      <c r="M200" s="4" t="s">
        <v>25</v>
      </c>
      <c r="N200" s="4"/>
      <c r="O200" s="4"/>
    </row>
    <row r="201" spans="2:15" x14ac:dyDescent="0.2">
      <c r="C201" s="11">
        <v>46057</v>
      </c>
      <c r="D201" t="s">
        <v>1029</v>
      </c>
      <c r="E201" t="e" vm="200">
        <v>#VALUE!</v>
      </c>
      <c r="F201" s="4" t="str" cm="1">
        <f t="array" aca="1" ref="F201" ca="1">+_FV(E201,"Símbolo do ticker",TRUE)</f>
        <v>KOM</v>
      </c>
      <c r="G201" s="4" t="str" cm="1">
        <f t="array" aca="1" ref="G201" ca="1">+_FV(E201,"Setor")</f>
        <v>Chemicals</v>
      </c>
      <c r="H201" s="4">
        <v>0.78500000000000003</v>
      </c>
      <c r="I201" s="7" cm="1">
        <f t="array" aca="1" ref="I201" ca="1">+_FV(E201,"Preço")</f>
        <v>0.83</v>
      </c>
      <c r="J201" s="8">
        <f t="shared" ca="1" si="3"/>
        <v>5.7324840764331197E-2</v>
      </c>
      <c r="K201" s="4" t="s">
        <v>1030</v>
      </c>
      <c r="L201" s="4" t="s">
        <v>1031</v>
      </c>
      <c r="M201" s="4" t="s">
        <v>294</v>
      </c>
      <c r="N201" s="4" t="s">
        <v>1032</v>
      </c>
      <c r="O201" s="4" t="s">
        <v>1033</v>
      </c>
    </row>
    <row r="202" spans="2:15" s="1" customFormat="1" ht="15" x14ac:dyDescent="0.25">
      <c r="B202" s="1" t="s">
        <v>1345</v>
      </c>
      <c r="C202" s="10">
        <v>46057</v>
      </c>
      <c r="D202" s="1" t="s">
        <v>1034</v>
      </c>
      <c r="E202" s="1" t="e" vm="201">
        <v>#VALUE!</v>
      </c>
      <c r="F202" s="3" t="str" cm="1">
        <f t="array" aca="1" ref="F202" ca="1">+_FV(E202,"Símbolo do ticker",TRUE)</f>
        <v>RBT</v>
      </c>
      <c r="G202" s="3" t="str" cm="1">
        <f t="array" aca="1" ref="G202" ca="1">+_FV(E202,"Setor")</f>
        <v>Machinery, Equipment &amp; Components</v>
      </c>
      <c r="H202" s="3">
        <v>3.1</v>
      </c>
      <c r="I202" s="5" cm="1">
        <f t="array" aca="1" ref="I202" ca="1">+_FV(E202,"Preço")</f>
        <v>4.5999999999999996</v>
      </c>
      <c r="J202" s="6">
        <f t="shared" ca="1" si="3"/>
        <v>0.48387096774193528</v>
      </c>
      <c r="K202" s="3" t="s">
        <v>295</v>
      </c>
      <c r="L202" s="3" t="s">
        <v>296</v>
      </c>
      <c r="M202" s="3" t="s">
        <v>297</v>
      </c>
      <c r="N202" s="3" t="s">
        <v>1035</v>
      </c>
      <c r="O202" s="3" t="s">
        <v>779</v>
      </c>
    </row>
    <row r="203" spans="2:15" x14ac:dyDescent="0.2">
      <c r="C203" s="11">
        <v>46057</v>
      </c>
      <c r="D203" t="s">
        <v>1036</v>
      </c>
      <c r="E203" t="e" vm="202">
        <v>#VALUE!</v>
      </c>
      <c r="F203" s="4" t="str" cm="1">
        <f t="array" aca="1" ref="F203" ca="1">+_FV(E203,"Símbolo do ticker",TRUE)</f>
        <v>RSS</v>
      </c>
      <c r="G203" s="4" t="str" cm="1">
        <f t="array" aca="1" ref="G203" ca="1">+_FV(E203,"Setor")</f>
        <v>Professional &amp; Commercial Services</v>
      </c>
      <c r="H203" s="4">
        <v>0.75</v>
      </c>
      <c r="I203" s="7" cm="1">
        <f t="array" aca="1" ref="I203" ca="1">+_FV(E203,"Preço")</f>
        <v>0.75</v>
      </c>
      <c r="J203" s="8">
        <f t="shared" ca="1" si="3"/>
        <v>0</v>
      </c>
      <c r="K203" s="4" t="s">
        <v>1037</v>
      </c>
      <c r="L203" s="4" t="s">
        <v>298</v>
      </c>
      <c r="M203" s="4" t="s">
        <v>25</v>
      </c>
      <c r="N203" s="4"/>
      <c r="O203" s="4"/>
    </row>
    <row r="204" spans="2:15" x14ac:dyDescent="0.2">
      <c r="C204" s="11">
        <v>46057</v>
      </c>
      <c r="D204" t="s">
        <v>1038</v>
      </c>
      <c r="E204" t="e" vm="203">
        <v>#VALUE!</v>
      </c>
      <c r="F204" s="4" t="str" cm="1">
        <f t="array" aca="1" ref="F204" ca="1">+_FV(E204,"Símbolo do ticker",TRUE)</f>
        <v>VANA</v>
      </c>
      <c r="G204" s="4" t="str" cm="1">
        <f t="array" aca="1" ref="G204" ca="1">+_FV(E204,"Setor")</f>
        <v>Hotels &amp; Entertainment Services</v>
      </c>
      <c r="H204" s="4">
        <v>0.11</v>
      </c>
      <c r="I204" s="7" cm="1">
        <f t="array" aca="1" ref="I204" ca="1">+_FV(E204,"Preço")</f>
        <v>2.41E-2</v>
      </c>
      <c r="J204" s="8">
        <f t="shared" ca="1" si="3"/>
        <v>-0.78090909090909089</v>
      </c>
      <c r="K204" s="4" t="s">
        <v>1039</v>
      </c>
      <c r="L204" s="4" t="s">
        <v>1040</v>
      </c>
      <c r="M204" s="4" t="s">
        <v>25</v>
      </c>
      <c r="N204" s="4"/>
      <c r="O204" s="4"/>
    </row>
    <row r="205" spans="2:15" x14ac:dyDescent="0.2">
      <c r="C205" s="11">
        <v>46057</v>
      </c>
      <c r="D205" t="s">
        <v>1041</v>
      </c>
      <c r="E205" t="e" vm="204">
        <v>#VALUE!</v>
      </c>
      <c r="F205" s="4" t="str" cm="1">
        <f t="array" aca="1" ref="F205" ca="1">+_FV(E205,"Símbolo do ticker",TRUE)</f>
        <v>PVA</v>
      </c>
      <c r="G205" s="4" t="str" cm="1">
        <f t="array" aca="1" ref="G205" ca="1">+_FV(E205,"Setor")</f>
        <v>Food &amp; Tobacco</v>
      </c>
      <c r="H205" s="4">
        <v>0.26800000000000002</v>
      </c>
      <c r="I205" s="7" cm="1">
        <f t="array" aca="1" ref="I205" ca="1">+_FV(E205,"Preço")</f>
        <v>0.23899999999999999</v>
      </c>
      <c r="J205" s="8">
        <f t="shared" ca="1" si="3"/>
        <v>-0.10820895522388063</v>
      </c>
      <c r="K205" s="4" t="s">
        <v>1042</v>
      </c>
      <c r="L205" s="4" t="s">
        <v>1043</v>
      </c>
      <c r="M205" s="4" t="s">
        <v>111</v>
      </c>
      <c r="N205" s="4" t="s">
        <v>1044</v>
      </c>
      <c r="O205" s="4" t="s">
        <v>1045</v>
      </c>
    </row>
    <row r="206" spans="2:15" x14ac:dyDescent="0.2">
      <c r="C206" s="11">
        <v>46057</v>
      </c>
      <c r="D206" t="s">
        <v>1046</v>
      </c>
      <c r="E206" t="e" vm="205">
        <v>#VALUE!</v>
      </c>
      <c r="F206" s="4" t="str" cm="1">
        <f t="array" aca="1" ref="F206" ca="1">+_FV(E206,"Símbolo do ticker",TRUE)</f>
        <v>HAN</v>
      </c>
      <c r="G206" s="4" t="str" cm="1">
        <f t="array" aca="1" ref="G206" ca="1">+_FV(E206,"Setor")</f>
        <v>Diversified Retail</v>
      </c>
      <c r="H206" s="4">
        <v>0.17399999999999999</v>
      </c>
      <c r="I206" s="7" cm="1">
        <f t="array" aca="1" ref="I206" ca="1">+_FV(E206,"Preço")</f>
        <v>0.185</v>
      </c>
      <c r="J206" s="8">
        <f t="shared" ca="1" si="3"/>
        <v>6.321839080459779E-2</v>
      </c>
      <c r="K206" s="4" t="s">
        <v>1047</v>
      </c>
      <c r="L206" s="4" t="s">
        <v>299</v>
      </c>
      <c r="M206" s="4" t="s">
        <v>300</v>
      </c>
      <c r="N206" s="4" t="s">
        <v>1048</v>
      </c>
      <c r="O206" s="4" t="s">
        <v>972</v>
      </c>
    </row>
    <row r="207" spans="2:15" x14ac:dyDescent="0.2">
      <c r="C207" s="11">
        <v>46057</v>
      </c>
      <c r="D207" t="s">
        <v>301</v>
      </c>
      <c r="E207" t="e" vm="206">
        <v>#VALUE!</v>
      </c>
      <c r="F207" s="4" t="str" cm="1">
        <f t="array" aca="1" ref="F207" ca="1">+_FV(E207,"Símbolo do ticker",TRUE)</f>
        <v>SCASM</v>
      </c>
      <c r="G207" s="4" t="e" cm="1" vm="137">
        <f t="array" ref="G207">+_FV(E207,"Setor")</f>
        <v>#VALUE!</v>
      </c>
      <c r="H207" s="4" t="e" vm="73">
        <v>#VALUE!</v>
      </c>
      <c r="I207" s="7" t="e" cm="1" vm="73">
        <f t="array" ref="I207">+_FV(E207,"Preço")</f>
        <v>#VALUE!</v>
      </c>
      <c r="J207" s="8" t="s">
        <v>1075</v>
      </c>
      <c r="K207" s="4">
        <v>0</v>
      </c>
      <c r="L207" s="4" t="s">
        <v>302</v>
      </c>
      <c r="M207" s="4" t="s">
        <v>25</v>
      </c>
      <c r="N207" s="4"/>
      <c r="O207" s="4"/>
    </row>
    <row r="208" spans="2:15" x14ac:dyDescent="0.2">
      <c r="C208" s="11">
        <v>46057</v>
      </c>
      <c r="D208" t="s">
        <v>1049</v>
      </c>
      <c r="E208" t="e" vm="207">
        <v>#VALUE!</v>
      </c>
      <c r="F208" s="4" t="str" cm="1">
        <f t="array" aca="1" ref="F208" ca="1">+_FV(E208,"Símbolo do ticker",TRUE)</f>
        <v>YTRA</v>
      </c>
      <c r="G208" s="4" t="str" cm="1">
        <f t="array" aca="1" ref="G208" ca="1">+_FV(E208,"Setor")</f>
        <v>Residential &amp; Commercial REIT</v>
      </c>
      <c r="H208" s="4">
        <v>0.36399999999999999</v>
      </c>
      <c r="I208" s="7" cm="1">
        <f t="array" aca="1" ref="I208" ca="1">+_FV(E208,"Preço")</f>
        <v>0.33600000000000002</v>
      </c>
      <c r="J208" s="8">
        <f t="shared" ca="1" si="3"/>
        <v>-7.6923076923076872E-2</v>
      </c>
      <c r="K208" s="4" t="s">
        <v>1050</v>
      </c>
      <c r="L208" s="4" t="s">
        <v>303</v>
      </c>
      <c r="M208" s="4" t="s">
        <v>304</v>
      </c>
      <c r="N208" s="4" t="s">
        <v>1051</v>
      </c>
      <c r="O208" s="4" t="s">
        <v>1045</v>
      </c>
    </row>
    <row r="209" spans="2:15" s="1" customFormat="1" ht="15" x14ac:dyDescent="0.25">
      <c r="B209" s="1" t="s">
        <v>1355</v>
      </c>
      <c r="C209" s="10">
        <v>46057</v>
      </c>
      <c r="D209" s="1" t="s">
        <v>1052</v>
      </c>
      <c r="E209" s="1" t="e" vm="208">
        <v>#VALUE!</v>
      </c>
      <c r="F209" s="3" t="str" cm="1">
        <f t="array" aca="1" ref="F209" ca="1">+_FV(E209,"Símbolo do ticker",TRUE)</f>
        <v>SPH</v>
      </c>
      <c r="G209" s="3" t="str" cm="1">
        <f t="array" aca="1" ref="G209" ca="1">+_FV(E209,"Setor")</f>
        <v>Investment Banking &amp; Investment Services</v>
      </c>
      <c r="H209" s="3">
        <v>0.245</v>
      </c>
      <c r="I209" s="5" cm="1">
        <f t="array" aca="1" ref="I209" ca="1">+_FV(E209,"Preço")</f>
        <v>0.5</v>
      </c>
      <c r="J209" s="6">
        <f t="shared" ca="1" si="3"/>
        <v>1.0408163265306123</v>
      </c>
      <c r="K209" s="3" t="s">
        <v>1053</v>
      </c>
      <c r="L209" s="3" t="s">
        <v>305</v>
      </c>
      <c r="M209" s="3" t="s">
        <v>306</v>
      </c>
      <c r="N209" s="3" t="s">
        <v>1054</v>
      </c>
      <c r="O209" s="3" t="s">
        <v>666</v>
      </c>
    </row>
    <row r="210" spans="2:15" x14ac:dyDescent="0.2">
      <c r="C210" s="11">
        <v>46057</v>
      </c>
      <c r="D210" t="s">
        <v>1055</v>
      </c>
      <c r="E210" t="e" vm="209">
        <v>#VALUE!</v>
      </c>
      <c r="F210" s="4" t="str" cm="1">
        <f t="array" aca="1" ref="F210" ca="1">+_FV(E210,"Símbolo do ticker",TRUE)</f>
        <v>CITY</v>
      </c>
      <c r="G210" s="4" t="e" cm="1" vm="137">
        <f t="array" ref="G210">+_FV(E210,"Setor")</f>
        <v>#VALUE!</v>
      </c>
      <c r="H210" s="4">
        <v>5.7599999999999998E-2</v>
      </c>
      <c r="I210" s="7" cm="1">
        <f t="array" aca="1" ref="I210" ca="1">+_FV(E210,"Preço")</f>
        <v>0.03</v>
      </c>
      <c r="J210" s="8">
        <f t="shared" ca="1" si="3"/>
        <v>-0.47916666666666663</v>
      </c>
      <c r="K210" s="4" t="s">
        <v>104</v>
      </c>
      <c r="L210" s="4" t="s">
        <v>1056</v>
      </c>
      <c r="M210" s="4" t="s">
        <v>25</v>
      </c>
      <c r="N210" s="4"/>
      <c r="O210" s="4"/>
    </row>
    <row r="211" spans="2:15" x14ac:dyDescent="0.2">
      <c r="C211" s="11">
        <v>46057</v>
      </c>
      <c r="D211" t="s">
        <v>1057</v>
      </c>
      <c r="E211" t="e" vm="210">
        <v>#VALUE!</v>
      </c>
      <c r="F211" s="4" t="str" cm="1">
        <f t="array" aca="1" ref="F211" ca="1">+_FV(E211,"Símbolo do ticker",TRUE)</f>
        <v>EEP</v>
      </c>
      <c r="G211" s="4" t="str" cm="1">
        <f t="array" aca="1" ref="G211" ca="1">+_FV(E211,"Setor")</f>
        <v>Healthcare Providers &amp; Services</v>
      </c>
      <c r="H211" s="4">
        <v>0.34</v>
      </c>
      <c r="I211" s="7" cm="1">
        <f t="array" aca="1" ref="I211" ca="1">+_FV(E211,"Preço")</f>
        <v>0.34</v>
      </c>
      <c r="J211" s="8">
        <f t="shared" ca="1" si="3"/>
        <v>0</v>
      </c>
      <c r="K211" s="4">
        <v>188</v>
      </c>
      <c r="L211" s="4" t="s">
        <v>307</v>
      </c>
      <c r="M211" s="4" t="s">
        <v>308</v>
      </c>
      <c r="N211" s="4" t="s">
        <v>1058</v>
      </c>
      <c r="O211" s="4" t="s">
        <v>1059</v>
      </c>
    </row>
    <row r="212" spans="2:15" x14ac:dyDescent="0.2">
      <c r="C212" s="11">
        <v>46057</v>
      </c>
      <c r="D212" t="s">
        <v>1060</v>
      </c>
      <c r="E212" t="e" vm="211">
        <v>#VALUE!</v>
      </c>
      <c r="F212" s="4" t="str" cm="1">
        <f t="array" aca="1" ref="F212" ca="1">+_FV(E212,"Símbolo do ticker",TRUE)</f>
        <v>SCSS</v>
      </c>
      <c r="G212" s="4" t="e" cm="1" vm="137">
        <f t="array" ref="G212">+_FV(E212,"Setor")</f>
        <v>#VALUE!</v>
      </c>
      <c r="H212" s="4">
        <v>4.9000000000000004</v>
      </c>
      <c r="I212" s="7" cm="1">
        <f t="array" aca="1" ref="I212" ca="1">+_FV(E212,"Preço")</f>
        <v>4.76</v>
      </c>
      <c r="J212" s="8">
        <f t="shared" ca="1" si="3"/>
        <v>-2.8571428571428692E-2</v>
      </c>
      <c r="K212" s="4">
        <v>593</v>
      </c>
      <c r="L212" s="4">
        <v>0</v>
      </c>
      <c r="M212" s="4" t="s">
        <v>25</v>
      </c>
      <c r="N212" s="4"/>
      <c r="O212" s="4"/>
    </row>
    <row r="213" spans="2:15" x14ac:dyDescent="0.2">
      <c r="F213" t="s">
        <v>1075</v>
      </c>
    </row>
  </sheetData>
  <pageMargins left="0.7" right="0.7" top="0.75" bottom="0.75" header="0.3" footer="0.3"/>
  <pageSetup scale="0" firstPageNumber="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3749B-4A18-48E7-8E57-AB7C95D4E31B}">
  <dimension ref="A2:O27"/>
  <sheetViews>
    <sheetView topLeftCell="B1" workbookViewId="0">
      <selection activeCell="I16" sqref="I16"/>
    </sheetView>
  </sheetViews>
  <sheetFormatPr defaultColWidth="9" defaultRowHeight="15" x14ac:dyDescent="0.25"/>
  <cols>
    <col min="1" max="1" width="9" style="1"/>
    <col min="2" max="2" width="32.5" style="1" customWidth="1"/>
    <col min="3" max="3" width="12.25" style="1" customWidth="1"/>
    <col min="4" max="4" width="19.125" style="1" customWidth="1"/>
    <col min="5" max="5" width="31.875" style="1" customWidth="1"/>
    <col min="6" max="7" width="9" style="1"/>
    <col min="8" max="8" width="14.125" style="1" customWidth="1"/>
    <col min="9" max="9" width="12.75" style="1" customWidth="1"/>
    <col min="10" max="10" width="18" style="1" customWidth="1"/>
    <col min="11" max="11" width="14.375" style="1" customWidth="1"/>
    <col min="12" max="16384" width="9" style="1"/>
  </cols>
  <sheetData>
    <row r="2" spans="1:15" x14ac:dyDescent="0.25">
      <c r="C2" s="2" t="s">
        <v>2</v>
      </c>
      <c r="D2" s="1" t="s">
        <v>315</v>
      </c>
      <c r="E2" s="1" t="s">
        <v>112</v>
      </c>
      <c r="F2" s="3" t="s">
        <v>3</v>
      </c>
      <c r="G2" s="3" t="s">
        <v>0</v>
      </c>
      <c r="H2" s="3" t="s">
        <v>16</v>
      </c>
      <c r="I2" s="3" t="s">
        <v>309</v>
      </c>
      <c r="J2" s="3" t="s">
        <v>17</v>
      </c>
      <c r="K2" s="3" t="s">
        <v>18</v>
      </c>
      <c r="L2" s="3" t="s">
        <v>19</v>
      </c>
      <c r="M2" s="3" t="s">
        <v>316</v>
      </c>
      <c r="N2" s="3" t="s">
        <v>317</v>
      </c>
      <c r="O2" s="1" t="s">
        <v>1069</v>
      </c>
    </row>
    <row r="3" spans="1:15" x14ac:dyDescent="0.25">
      <c r="A3">
        <v>7</v>
      </c>
      <c r="B3" t="s">
        <v>314</v>
      </c>
      <c r="C3" s="9">
        <v>46057</v>
      </c>
      <c r="D3" t="s">
        <v>318</v>
      </c>
      <c r="E3" t="e" vm="1">
        <v>#VALUE!</v>
      </c>
      <c r="F3" s="4" t="str" cm="1">
        <f t="array" aca="1" ref="F3" ca="1">+_FV(E3,"Símbolo do ticker",TRUE)</f>
        <v>ITX</v>
      </c>
      <c r="G3" s="4">
        <v>56.6</v>
      </c>
      <c r="H3" s="7" cm="1">
        <f t="array" aca="1" ref="H3" ca="1">+_FV(E3,"Preço")</f>
        <v>57.76</v>
      </c>
      <c r="I3" s="8">
        <f t="shared" ref="I3:I16" ca="1" si="0">+H3/G3-1</f>
        <v>2.0494699646643078E-2</v>
      </c>
      <c r="J3" s="4" t="s">
        <v>20</v>
      </c>
      <c r="K3" s="4" t="s">
        <v>319</v>
      </c>
      <c r="L3" s="4" t="s">
        <v>21</v>
      </c>
      <c r="M3" s="4" t="s">
        <v>320</v>
      </c>
      <c r="N3" s="4" t="s">
        <v>321</v>
      </c>
    </row>
    <row r="4" spans="1:15" customFormat="1" ht="14.25" x14ac:dyDescent="0.2">
      <c r="A4">
        <v>8</v>
      </c>
      <c r="B4" t="s">
        <v>1080</v>
      </c>
      <c r="C4" s="9">
        <v>46057</v>
      </c>
      <c r="D4" t="s">
        <v>376</v>
      </c>
      <c r="E4" t="e" vm="13">
        <v>#VALUE!</v>
      </c>
      <c r="F4" s="4" t="str" cm="1">
        <f t="array" aca="1" ref="F4" ca="1">+_FV(E4,"Símbolo do ticker",TRUE)</f>
        <v>AMS</v>
      </c>
      <c r="G4" s="4">
        <v>53.5</v>
      </c>
      <c r="H4" s="7" cm="1">
        <f t="array" aca="1" ref="H4" ca="1">+_FV(E4,"Preço")</f>
        <v>55.32</v>
      </c>
      <c r="I4" s="8">
        <f t="shared" ca="1" si="0"/>
        <v>3.4018691588785011E-2</v>
      </c>
      <c r="J4" s="4" t="s">
        <v>377</v>
      </c>
      <c r="K4" s="4" t="s">
        <v>378</v>
      </c>
      <c r="L4" s="4" t="s">
        <v>30</v>
      </c>
      <c r="M4" s="4" t="s">
        <v>379</v>
      </c>
      <c r="N4" s="4" t="s">
        <v>380</v>
      </c>
    </row>
    <row r="5" spans="1:15" customFormat="1" ht="14.25" x14ac:dyDescent="0.2">
      <c r="A5">
        <v>7</v>
      </c>
      <c r="B5" t="s">
        <v>1081</v>
      </c>
      <c r="C5" s="9">
        <v>46057</v>
      </c>
      <c r="D5" t="s">
        <v>381</v>
      </c>
      <c r="E5" t="e" vm="14">
        <v>#VALUE!</v>
      </c>
      <c r="F5" s="4" t="str" cm="1">
        <f t="array" aca="1" ref="F5" ca="1">+_FV(E5,"Símbolo do ticker",TRUE)</f>
        <v>IAG</v>
      </c>
      <c r="G5" s="4">
        <v>4.9980000000000002</v>
      </c>
      <c r="H5" s="7" cm="1">
        <f t="array" aca="1" ref="H5" ca="1">+_FV(E5,"Preço")</f>
        <v>5.0640000000000001</v>
      </c>
      <c r="I5" s="8">
        <f t="shared" ca="1" si="0"/>
        <v>1.3205282112844996E-2</v>
      </c>
      <c r="J5" s="4" t="s">
        <v>382</v>
      </c>
      <c r="K5" s="4" t="s">
        <v>383</v>
      </c>
      <c r="L5" s="4" t="s">
        <v>384</v>
      </c>
      <c r="M5" s="4" t="s">
        <v>385</v>
      </c>
      <c r="N5" s="4" t="s">
        <v>386</v>
      </c>
    </row>
    <row r="6" spans="1:15" customFormat="1" ht="14.25" x14ac:dyDescent="0.2">
      <c r="A6">
        <v>6</v>
      </c>
      <c r="B6" t="s">
        <v>311</v>
      </c>
      <c r="C6" s="9">
        <v>46057</v>
      </c>
      <c r="D6" t="s">
        <v>397</v>
      </c>
      <c r="E6" t="e" vm="17">
        <v>#VALUE!</v>
      </c>
      <c r="F6" s="4" t="str" cm="1">
        <f t="array" aca="1" ref="F6" ca="1">+_FV(E6,"Símbolo do ticker",TRUE)</f>
        <v>CLNX</v>
      </c>
      <c r="G6" s="4">
        <v>27.73</v>
      </c>
      <c r="H6" s="7" cm="1">
        <f t="array" aca="1" ref="H6" ca="1">+_FV(E6,"Preço")</f>
        <v>26.6</v>
      </c>
      <c r="I6" s="8">
        <f t="shared" ca="1" si="0"/>
        <v>-4.0750090155066698E-2</v>
      </c>
      <c r="J6" s="4" t="s">
        <v>398</v>
      </c>
      <c r="K6" s="4" t="s">
        <v>399</v>
      </c>
      <c r="L6" s="4" t="s">
        <v>57</v>
      </c>
      <c r="M6" s="4" t="s">
        <v>400</v>
      </c>
      <c r="N6" s="4" t="s">
        <v>401</v>
      </c>
    </row>
    <row r="7" spans="1:15" customFormat="1" ht="14.25" x14ac:dyDescent="0.2">
      <c r="A7">
        <v>5</v>
      </c>
      <c r="B7" t="s">
        <v>1062</v>
      </c>
      <c r="C7" s="9">
        <v>46057</v>
      </c>
      <c r="D7" t="s">
        <v>414</v>
      </c>
      <c r="E7" t="e" vm="21">
        <v>#VALUE!</v>
      </c>
      <c r="F7" s="4" t="str" cm="1">
        <f t="array" aca="1" ref="F7" ca="1">+_FV(E7,"Símbolo do ticker",TRUE)</f>
        <v>ANA</v>
      </c>
      <c r="G7" s="4">
        <v>182.3</v>
      </c>
      <c r="H7" s="7" cm="1">
        <f t="array" aca="1" ref="H7" ca="1">+_FV(E7,"Preço")</f>
        <v>231.2</v>
      </c>
      <c r="I7" s="8">
        <f t="shared" ca="1" si="0"/>
        <v>0.26823916620954447</v>
      </c>
      <c r="J7" s="4" t="s">
        <v>415</v>
      </c>
      <c r="K7" s="4" t="s">
        <v>416</v>
      </c>
      <c r="L7" s="4" t="s">
        <v>37</v>
      </c>
      <c r="M7" s="4" t="s">
        <v>417</v>
      </c>
      <c r="N7" s="4" t="s">
        <v>418</v>
      </c>
    </row>
    <row r="8" spans="1:15" customFormat="1" ht="14.25" x14ac:dyDescent="0.2">
      <c r="A8">
        <v>9</v>
      </c>
      <c r="B8" t="s">
        <v>1077</v>
      </c>
      <c r="C8" s="9">
        <v>46057</v>
      </c>
      <c r="D8" t="s">
        <v>419</v>
      </c>
      <c r="E8" t="e" vm="22">
        <v>#VALUE!</v>
      </c>
      <c r="F8" s="4" t="str" cm="1">
        <f t="array" aca="1" ref="F8" ca="1">+_FV(E8,"Símbolo do ticker",TRUE)</f>
        <v>PUIG</v>
      </c>
      <c r="G8" s="4">
        <v>17.309999999999999</v>
      </c>
      <c r="H8" s="7" cm="1">
        <f t="array" aca="1" ref="H8" ca="1">+_FV(E8,"Preço")</f>
        <v>16.47</v>
      </c>
      <c r="I8" s="8">
        <f t="shared" ca="1" si="0"/>
        <v>-4.8526863084922045E-2</v>
      </c>
      <c r="J8" s="4" t="s">
        <v>420</v>
      </c>
      <c r="K8" s="4" t="s">
        <v>421</v>
      </c>
      <c r="L8" s="4" t="s">
        <v>116</v>
      </c>
      <c r="M8" s="4" t="s">
        <v>422</v>
      </c>
      <c r="N8" s="4" t="s">
        <v>423</v>
      </c>
    </row>
    <row r="9" spans="1:15" customFormat="1" ht="14.25" x14ac:dyDescent="0.2">
      <c r="A9">
        <v>7</v>
      </c>
      <c r="B9" t="s">
        <v>1078</v>
      </c>
      <c r="C9" s="9">
        <v>46057</v>
      </c>
      <c r="D9" t="s">
        <v>459</v>
      </c>
      <c r="E9" t="e" vm="32">
        <v>#VALUE!</v>
      </c>
      <c r="F9" s="4" t="str" cm="1">
        <f t="array" aca="1" ref="F9" ca="1">+_FV(E9,"Símbolo do ticker",TRUE)</f>
        <v>LOG</v>
      </c>
      <c r="G9" s="4">
        <v>31.76</v>
      </c>
      <c r="H9" s="7" cm="1">
        <f t="array" aca="1" ref="H9" ca="1">+_FV(E9,"Preço")</f>
        <v>36.659999999999997</v>
      </c>
      <c r="I9" s="8">
        <f t="shared" ca="1" si="0"/>
        <v>0.15428211586901752</v>
      </c>
      <c r="J9" s="4" t="s">
        <v>460</v>
      </c>
      <c r="K9" s="4" t="s">
        <v>461</v>
      </c>
      <c r="L9" s="4" t="s">
        <v>122</v>
      </c>
      <c r="M9" s="4" t="s">
        <v>462</v>
      </c>
      <c r="N9" s="4" t="s">
        <v>463</v>
      </c>
    </row>
    <row r="10" spans="1:15" customFormat="1" ht="14.25" x14ac:dyDescent="0.2">
      <c r="A10">
        <v>8</v>
      </c>
      <c r="B10" t="s">
        <v>1079</v>
      </c>
      <c r="C10" s="9">
        <v>46057</v>
      </c>
      <c r="D10" t="s">
        <v>492</v>
      </c>
      <c r="E10" t="e" vm="40">
        <v>#VALUE!</v>
      </c>
      <c r="F10" s="4" t="str" cm="1">
        <f t="array" aca="1" ref="F10" ca="1">+_FV(E10,"Símbolo do ticker",TRUE)</f>
        <v>VID</v>
      </c>
      <c r="G10" s="4">
        <v>88.3</v>
      </c>
      <c r="H10" s="7" cm="1">
        <f t="array" aca="1" ref="H10" ca="1">+_FV(E10,"Preço")</f>
        <v>88.5</v>
      </c>
      <c r="I10" s="8">
        <f t="shared" ca="1" si="0"/>
        <v>2.2650056625141968E-3</v>
      </c>
      <c r="J10" s="4" t="s">
        <v>493</v>
      </c>
      <c r="K10" s="4" t="s">
        <v>494</v>
      </c>
      <c r="L10" s="4" t="s">
        <v>50</v>
      </c>
      <c r="M10" s="4" t="s">
        <v>495</v>
      </c>
      <c r="N10" s="4" t="s">
        <v>496</v>
      </c>
    </row>
    <row r="11" spans="1:15" customFormat="1" ht="14.25" x14ac:dyDescent="0.2">
      <c r="A11">
        <v>7</v>
      </c>
      <c r="B11" t="s">
        <v>313</v>
      </c>
      <c r="C11" s="9">
        <v>46057</v>
      </c>
      <c r="D11" t="s">
        <v>513</v>
      </c>
      <c r="E11" t="e" vm="45">
        <v>#VALUE!</v>
      </c>
      <c r="F11" s="4" t="str" cm="1">
        <f t="array" aca="1" ref="F11" ca="1">+_FV(E11,"Símbolo do ticker",TRUE)</f>
        <v>VIS</v>
      </c>
      <c r="G11" s="4">
        <v>56.3</v>
      </c>
      <c r="H11" s="7" cm="1">
        <f t="array" aca="1" ref="H11" ca="1">+_FV(E11,"Preço")</f>
        <v>57.3</v>
      </c>
      <c r="I11" s="8">
        <f t="shared" ca="1" si="0"/>
        <v>1.7761989342806483E-2</v>
      </c>
      <c r="J11" s="4" t="s">
        <v>514</v>
      </c>
      <c r="K11" s="4" t="s">
        <v>515</v>
      </c>
      <c r="L11" s="4" t="s">
        <v>55</v>
      </c>
      <c r="M11" s="4" t="s">
        <v>516</v>
      </c>
      <c r="N11" s="4" t="s">
        <v>517</v>
      </c>
    </row>
    <row r="12" spans="1:15" customFormat="1" ht="14.25" x14ac:dyDescent="0.2">
      <c r="A12">
        <v>8</v>
      </c>
      <c r="B12" t="s">
        <v>1065</v>
      </c>
      <c r="C12" s="9">
        <v>46057</v>
      </c>
      <c r="D12" t="s">
        <v>679</v>
      </c>
      <c r="E12" t="e" vm="91">
        <v>#VALUE!</v>
      </c>
      <c r="F12" s="4" t="str" cm="1">
        <f t="array" aca="1" ref="F12" ca="1">+_FV(E12,"Símbolo do ticker",TRUE)</f>
        <v>EDR</v>
      </c>
      <c r="G12" s="4">
        <v>3.355</v>
      </c>
      <c r="H12" s="7" cm="1">
        <f t="array" aca="1" ref="H12" ca="1">+_FV(E12,"Preço")</f>
        <v>5.68</v>
      </c>
      <c r="I12" s="8">
        <f t="shared" ca="1" si="0"/>
        <v>0.69299552906110273</v>
      </c>
      <c r="J12" s="4" t="s">
        <v>680</v>
      </c>
      <c r="K12" s="4" t="s">
        <v>681</v>
      </c>
      <c r="L12" s="4" t="s">
        <v>158</v>
      </c>
      <c r="M12" s="4" t="s">
        <v>682</v>
      </c>
      <c r="N12" s="4" t="s">
        <v>683</v>
      </c>
    </row>
    <row r="13" spans="1:15" customFormat="1" ht="14.25" x14ac:dyDescent="0.2">
      <c r="A13">
        <v>9</v>
      </c>
      <c r="B13" t="s">
        <v>1066</v>
      </c>
      <c r="C13" s="9">
        <v>46057</v>
      </c>
      <c r="D13" t="s">
        <v>766</v>
      </c>
      <c r="E13" t="e" vm="111">
        <v>#VALUE!</v>
      </c>
      <c r="F13" s="4" t="str" cm="1">
        <f t="array" aca="1" ref="F13" ca="1">+_FV(E13,"Símbolo do ticker",TRUE)</f>
        <v>AZK</v>
      </c>
      <c r="G13" s="4">
        <v>8.66</v>
      </c>
      <c r="H13" s="7" cm="1">
        <f t="array" aca="1" ref="H13" ca="1">+_FV(E13,"Preço")</f>
        <v>10.3</v>
      </c>
      <c r="I13" s="8">
        <f t="shared" ca="1" si="0"/>
        <v>0.18937644341801385</v>
      </c>
      <c r="J13" s="4" t="s">
        <v>767</v>
      </c>
      <c r="K13" s="4" t="s">
        <v>768</v>
      </c>
      <c r="L13" s="4" t="s">
        <v>93</v>
      </c>
      <c r="M13" s="4" t="s">
        <v>769</v>
      </c>
      <c r="N13" s="4" t="s">
        <v>770</v>
      </c>
    </row>
    <row r="14" spans="1:15" x14ac:dyDescent="0.25">
      <c r="A14" s="1">
        <v>10</v>
      </c>
      <c r="B14" s="1" t="s">
        <v>1083</v>
      </c>
      <c r="C14" s="13">
        <v>46057</v>
      </c>
      <c r="D14" s="1" t="s">
        <v>814</v>
      </c>
      <c r="E14" s="1" t="e" vm="126">
        <v>#VALUE!</v>
      </c>
      <c r="F14" s="3" t="str" cm="1">
        <f t="array" aca="1" ref="F14" ca="1">+_FV(E14,"Símbolo do ticker",TRUE)</f>
        <v>NEA</v>
      </c>
      <c r="G14" s="3">
        <v>9.68</v>
      </c>
      <c r="H14" s="5" cm="1">
        <f t="array" aca="1" ref="H14" ca="1">+_FV(E14,"Preço")</f>
        <v>9.5</v>
      </c>
      <c r="I14" s="6">
        <f t="shared" ca="1" si="0"/>
        <v>-1.8595041322314043E-2</v>
      </c>
      <c r="J14" s="3" t="s">
        <v>815</v>
      </c>
      <c r="K14" s="3" t="s">
        <v>816</v>
      </c>
      <c r="L14" s="3" t="s">
        <v>97</v>
      </c>
      <c r="M14" s="3" t="s">
        <v>817</v>
      </c>
      <c r="N14" s="3" t="s">
        <v>688</v>
      </c>
    </row>
    <row r="15" spans="1:15" customFormat="1" ht="14.25" x14ac:dyDescent="0.2">
      <c r="A15">
        <v>7</v>
      </c>
      <c r="B15" t="s">
        <v>1082</v>
      </c>
      <c r="C15" s="9">
        <v>46057</v>
      </c>
      <c r="D15" t="s">
        <v>880</v>
      </c>
      <c r="E15" t="e" vm="149">
        <v>#VALUE!</v>
      </c>
      <c r="F15" s="4" t="str" cm="1">
        <f t="array" aca="1" ref="F15" ca="1">+_FV(E15,"Símbolo do ticker",TRUE)</f>
        <v>SCO</v>
      </c>
      <c r="G15" s="4">
        <v>7.15</v>
      </c>
      <c r="H15" s="7" cm="1">
        <f t="array" aca="1" ref="H15" ca="1">+_FV(E15,"Preço")</f>
        <v>5.8</v>
      </c>
      <c r="I15" s="8">
        <f t="shared" ca="1" si="0"/>
        <v>-0.18881118881118886</v>
      </c>
      <c r="J15" s="4" t="s">
        <v>881</v>
      </c>
      <c r="K15" s="4" t="s">
        <v>230</v>
      </c>
      <c r="L15" s="4" t="s">
        <v>25</v>
      </c>
      <c r="M15" s="4"/>
      <c r="N15" s="4"/>
    </row>
    <row r="16" spans="1:15" x14ac:dyDescent="0.25">
      <c r="C16" s="1" t="s">
        <v>1345</v>
      </c>
      <c r="D16" s="1" t="s">
        <v>1034</v>
      </c>
      <c r="E16" s="1" t="e" vm="201">
        <v>#VALUE!</v>
      </c>
      <c r="F16" s="3" t="str" cm="1">
        <f t="array" aca="1" ref="F16" ca="1">+_FV(E16,"Símbolo do ticker",TRUE)</f>
        <v>RBT</v>
      </c>
      <c r="G16" s="3">
        <v>3.2</v>
      </c>
      <c r="H16" s="7" cm="1">
        <f t="array" aca="1" ref="H16" ca="1">+_FV(E16,"Preço")</f>
        <v>4.5999999999999996</v>
      </c>
      <c r="I16" s="8">
        <f t="shared" ca="1" si="0"/>
        <v>0.43749999999999978</v>
      </c>
      <c r="J16" s="3" t="s">
        <v>295</v>
      </c>
      <c r="K16" s="3" t="s">
        <v>296</v>
      </c>
      <c r="L16" s="3" t="s">
        <v>297</v>
      </c>
      <c r="M16" s="3" t="s">
        <v>1035</v>
      </c>
      <c r="N16" s="3" t="s">
        <v>779</v>
      </c>
    </row>
    <row r="18" spans="1:2" x14ac:dyDescent="0.25">
      <c r="A18" s="1" t="s">
        <v>1075</v>
      </c>
      <c r="B18" s="1" t="s">
        <v>1346</v>
      </c>
    </row>
    <row r="19" spans="1:2" x14ac:dyDescent="0.25">
      <c r="B19" s="1" t="s">
        <v>1347</v>
      </c>
    </row>
    <row r="20" spans="1:2" x14ac:dyDescent="0.25">
      <c r="B20" s="1" t="s">
        <v>1348</v>
      </c>
    </row>
    <row r="21" spans="1:2" x14ac:dyDescent="0.25">
      <c r="B21" s="1" t="s">
        <v>1349</v>
      </c>
    </row>
    <row r="22" spans="1:2" x14ac:dyDescent="0.25">
      <c r="B22" s="1" t="s">
        <v>1350</v>
      </c>
    </row>
    <row r="23" spans="1:2" x14ac:dyDescent="0.25">
      <c r="B23" s="1" t="s">
        <v>1351</v>
      </c>
    </row>
    <row r="24" spans="1:2" x14ac:dyDescent="0.25">
      <c r="B24" s="1" t="s">
        <v>1352</v>
      </c>
    </row>
    <row r="25" spans="1:2" x14ac:dyDescent="0.25">
      <c r="B25" s="1" t="s">
        <v>1353</v>
      </c>
    </row>
    <row r="26" spans="1:2" x14ac:dyDescent="0.25">
      <c r="B26" s="1" t="s">
        <v>1354</v>
      </c>
    </row>
    <row r="27" spans="1:2" x14ac:dyDescent="0.25">
      <c r="B27" s="1" t="s">
        <v>1075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A84A9-4F8F-444C-BCCE-8A9013E66D32}">
  <dimension ref="A1:A260"/>
  <sheetViews>
    <sheetView workbookViewId="0">
      <selection activeCell="I24" sqref="I24"/>
    </sheetView>
  </sheetViews>
  <sheetFormatPr defaultRowHeight="14.25" x14ac:dyDescent="0.2"/>
  <sheetData>
    <row r="1" spans="1:1" x14ac:dyDescent="0.2">
      <c r="A1" t="s">
        <v>1084</v>
      </c>
    </row>
    <row r="2" spans="1:1" x14ac:dyDescent="0.2">
      <c r="A2" t="s">
        <v>1085</v>
      </c>
    </row>
    <row r="3" spans="1:1" x14ac:dyDescent="0.2">
      <c r="A3" t="s">
        <v>1086</v>
      </c>
    </row>
    <row r="4" spans="1:1" x14ac:dyDescent="0.2">
      <c r="A4" t="s">
        <v>1087</v>
      </c>
    </row>
    <row r="5" spans="1:1" x14ac:dyDescent="0.2">
      <c r="A5" t="s">
        <v>1088</v>
      </c>
    </row>
    <row r="6" spans="1:1" x14ac:dyDescent="0.2">
      <c r="A6" t="s">
        <v>1089</v>
      </c>
    </row>
    <row r="7" spans="1:1" x14ac:dyDescent="0.2">
      <c r="A7" t="s">
        <v>1090</v>
      </c>
    </row>
    <row r="8" spans="1:1" x14ac:dyDescent="0.2">
      <c r="A8" t="s">
        <v>1091</v>
      </c>
    </row>
    <row r="9" spans="1:1" x14ac:dyDescent="0.2">
      <c r="A9" t="s">
        <v>1092</v>
      </c>
    </row>
    <row r="10" spans="1:1" x14ac:dyDescent="0.2">
      <c r="A10" t="s">
        <v>1093</v>
      </c>
    </row>
    <row r="11" spans="1:1" x14ac:dyDescent="0.2">
      <c r="A11" t="s">
        <v>1094</v>
      </c>
    </row>
    <row r="12" spans="1:1" x14ac:dyDescent="0.2">
      <c r="A12" t="s">
        <v>1095</v>
      </c>
    </row>
    <row r="13" spans="1:1" x14ac:dyDescent="0.2">
      <c r="A13" t="s">
        <v>1096</v>
      </c>
    </row>
    <row r="14" spans="1:1" x14ac:dyDescent="0.2">
      <c r="A14" t="s">
        <v>1097</v>
      </c>
    </row>
    <row r="15" spans="1:1" x14ac:dyDescent="0.2">
      <c r="A15" t="s">
        <v>1098</v>
      </c>
    </row>
    <row r="16" spans="1:1" x14ac:dyDescent="0.2">
      <c r="A16" t="s">
        <v>1099</v>
      </c>
    </row>
    <row r="17" spans="1:1" x14ac:dyDescent="0.2">
      <c r="A17" t="s">
        <v>1100</v>
      </c>
    </row>
    <row r="18" spans="1:1" x14ac:dyDescent="0.2">
      <c r="A18" t="s">
        <v>1101</v>
      </c>
    </row>
    <row r="19" spans="1:1" x14ac:dyDescent="0.2">
      <c r="A19" t="s">
        <v>1102</v>
      </c>
    </row>
    <row r="20" spans="1:1" x14ac:dyDescent="0.2">
      <c r="A20" t="s">
        <v>1103</v>
      </c>
    </row>
    <row r="21" spans="1:1" x14ac:dyDescent="0.2">
      <c r="A21" t="s">
        <v>1104</v>
      </c>
    </row>
    <row r="22" spans="1:1" x14ac:dyDescent="0.2">
      <c r="A22" t="s">
        <v>1105</v>
      </c>
    </row>
    <row r="23" spans="1:1" x14ac:dyDescent="0.2">
      <c r="A23" t="s">
        <v>1106</v>
      </c>
    </row>
    <row r="24" spans="1:1" x14ac:dyDescent="0.2">
      <c r="A24" t="s">
        <v>1107</v>
      </c>
    </row>
    <row r="25" spans="1:1" x14ac:dyDescent="0.2">
      <c r="A25" t="s">
        <v>1108</v>
      </c>
    </row>
    <row r="26" spans="1:1" x14ac:dyDescent="0.2">
      <c r="A26" t="s">
        <v>1109</v>
      </c>
    </row>
    <row r="27" spans="1:1" x14ac:dyDescent="0.2">
      <c r="A27" t="s">
        <v>1110</v>
      </c>
    </row>
    <row r="28" spans="1:1" x14ac:dyDescent="0.2">
      <c r="A28" t="s">
        <v>1111</v>
      </c>
    </row>
    <row r="29" spans="1:1" x14ac:dyDescent="0.2">
      <c r="A29" t="s">
        <v>1112</v>
      </c>
    </row>
    <row r="30" spans="1:1" x14ac:dyDescent="0.2">
      <c r="A30" t="s">
        <v>1113</v>
      </c>
    </row>
    <row r="31" spans="1:1" x14ac:dyDescent="0.2">
      <c r="A31" t="s">
        <v>1114</v>
      </c>
    </row>
    <row r="32" spans="1:1" x14ac:dyDescent="0.2">
      <c r="A32" t="s">
        <v>1115</v>
      </c>
    </row>
    <row r="33" spans="1:1" x14ac:dyDescent="0.2">
      <c r="A33" t="s">
        <v>1116</v>
      </c>
    </row>
    <row r="34" spans="1:1" x14ac:dyDescent="0.2">
      <c r="A34" t="s">
        <v>1117</v>
      </c>
    </row>
    <row r="35" spans="1:1" x14ac:dyDescent="0.2">
      <c r="A35" t="s">
        <v>1118</v>
      </c>
    </row>
    <row r="36" spans="1:1" x14ac:dyDescent="0.2">
      <c r="A36" t="s">
        <v>1119</v>
      </c>
    </row>
    <row r="37" spans="1:1" x14ac:dyDescent="0.2">
      <c r="A37" t="s">
        <v>1120</v>
      </c>
    </row>
    <row r="38" spans="1:1" x14ac:dyDescent="0.2">
      <c r="A38" t="s">
        <v>1121</v>
      </c>
    </row>
    <row r="39" spans="1:1" x14ac:dyDescent="0.2">
      <c r="A39" t="s">
        <v>1122</v>
      </c>
    </row>
    <row r="40" spans="1:1" x14ac:dyDescent="0.2">
      <c r="A40" t="s">
        <v>1123</v>
      </c>
    </row>
    <row r="41" spans="1:1" x14ac:dyDescent="0.2">
      <c r="A41" t="s">
        <v>1124</v>
      </c>
    </row>
    <row r="42" spans="1:1" x14ac:dyDescent="0.2">
      <c r="A42" t="s">
        <v>1125</v>
      </c>
    </row>
    <row r="43" spans="1:1" x14ac:dyDescent="0.2">
      <c r="A43" t="s">
        <v>1126</v>
      </c>
    </row>
    <row r="44" spans="1:1" x14ac:dyDescent="0.2">
      <c r="A44" t="s">
        <v>1127</v>
      </c>
    </row>
    <row r="45" spans="1:1" x14ac:dyDescent="0.2">
      <c r="A45" t="s">
        <v>1128</v>
      </c>
    </row>
    <row r="46" spans="1:1" x14ac:dyDescent="0.2">
      <c r="A46" t="s">
        <v>1129</v>
      </c>
    </row>
    <row r="47" spans="1:1" x14ac:dyDescent="0.2">
      <c r="A47" t="s">
        <v>1130</v>
      </c>
    </row>
    <row r="48" spans="1:1" x14ac:dyDescent="0.2">
      <c r="A48" t="s">
        <v>1131</v>
      </c>
    </row>
    <row r="49" spans="1:1" x14ac:dyDescent="0.2">
      <c r="A49" t="s">
        <v>1132</v>
      </c>
    </row>
    <row r="50" spans="1:1" x14ac:dyDescent="0.2">
      <c r="A50" t="s">
        <v>1133</v>
      </c>
    </row>
    <row r="51" spans="1:1" x14ac:dyDescent="0.2">
      <c r="A51" t="s">
        <v>1134</v>
      </c>
    </row>
    <row r="52" spans="1:1" x14ac:dyDescent="0.2">
      <c r="A52" t="s">
        <v>1135</v>
      </c>
    </row>
    <row r="53" spans="1:1" x14ac:dyDescent="0.2">
      <c r="A53" t="s">
        <v>1136</v>
      </c>
    </row>
    <row r="54" spans="1:1" x14ac:dyDescent="0.2">
      <c r="A54" t="s">
        <v>1137</v>
      </c>
    </row>
    <row r="55" spans="1:1" x14ac:dyDescent="0.2">
      <c r="A55" t="s">
        <v>1138</v>
      </c>
    </row>
    <row r="56" spans="1:1" x14ac:dyDescent="0.2">
      <c r="A56" t="s">
        <v>1139</v>
      </c>
    </row>
    <row r="57" spans="1:1" x14ac:dyDescent="0.2">
      <c r="A57" t="s">
        <v>1140</v>
      </c>
    </row>
    <row r="58" spans="1:1" x14ac:dyDescent="0.2">
      <c r="A58" t="s">
        <v>1141</v>
      </c>
    </row>
    <row r="59" spans="1:1" x14ac:dyDescent="0.2">
      <c r="A59" t="s">
        <v>1142</v>
      </c>
    </row>
    <row r="60" spans="1:1" x14ac:dyDescent="0.2">
      <c r="A60" t="s">
        <v>1143</v>
      </c>
    </row>
    <row r="61" spans="1:1" x14ac:dyDescent="0.2">
      <c r="A61" t="s">
        <v>1144</v>
      </c>
    </row>
    <row r="62" spans="1:1" x14ac:dyDescent="0.2">
      <c r="A62" t="s">
        <v>1145</v>
      </c>
    </row>
    <row r="63" spans="1:1" x14ac:dyDescent="0.2">
      <c r="A63" t="s">
        <v>1146</v>
      </c>
    </row>
    <row r="64" spans="1:1" x14ac:dyDescent="0.2">
      <c r="A64" t="s">
        <v>1147</v>
      </c>
    </row>
    <row r="65" spans="1:1" x14ac:dyDescent="0.2">
      <c r="A65" t="s">
        <v>1148</v>
      </c>
    </row>
    <row r="66" spans="1:1" x14ac:dyDescent="0.2">
      <c r="A66" t="s">
        <v>1149</v>
      </c>
    </row>
    <row r="67" spans="1:1" x14ac:dyDescent="0.2">
      <c r="A67" t="s">
        <v>1150</v>
      </c>
    </row>
    <row r="68" spans="1:1" x14ac:dyDescent="0.2">
      <c r="A68" t="s">
        <v>1151</v>
      </c>
    </row>
    <row r="69" spans="1:1" x14ac:dyDescent="0.2">
      <c r="A69" t="s">
        <v>1152</v>
      </c>
    </row>
    <row r="70" spans="1:1" x14ac:dyDescent="0.2">
      <c r="A70" t="s">
        <v>1153</v>
      </c>
    </row>
    <row r="71" spans="1:1" x14ac:dyDescent="0.2">
      <c r="A71" t="s">
        <v>1154</v>
      </c>
    </row>
    <row r="72" spans="1:1" x14ac:dyDescent="0.2">
      <c r="A72" t="s">
        <v>1155</v>
      </c>
    </row>
    <row r="73" spans="1:1" x14ac:dyDescent="0.2">
      <c r="A73" t="s">
        <v>1156</v>
      </c>
    </row>
    <row r="74" spans="1:1" x14ac:dyDescent="0.2">
      <c r="A74" t="s">
        <v>1157</v>
      </c>
    </row>
    <row r="75" spans="1:1" x14ac:dyDescent="0.2">
      <c r="A75" t="s">
        <v>1158</v>
      </c>
    </row>
    <row r="76" spans="1:1" x14ac:dyDescent="0.2">
      <c r="A76" t="s">
        <v>1159</v>
      </c>
    </row>
    <row r="77" spans="1:1" x14ac:dyDescent="0.2">
      <c r="A77" t="s">
        <v>1160</v>
      </c>
    </row>
    <row r="78" spans="1:1" x14ac:dyDescent="0.2">
      <c r="A78" t="s">
        <v>1161</v>
      </c>
    </row>
    <row r="79" spans="1:1" x14ac:dyDescent="0.2">
      <c r="A79" t="s">
        <v>1162</v>
      </c>
    </row>
    <row r="80" spans="1:1" x14ac:dyDescent="0.2">
      <c r="A80" t="s">
        <v>1163</v>
      </c>
    </row>
    <row r="81" spans="1:1" x14ac:dyDescent="0.2">
      <c r="A81" t="s">
        <v>1164</v>
      </c>
    </row>
    <row r="82" spans="1:1" x14ac:dyDescent="0.2">
      <c r="A82" t="s">
        <v>1165</v>
      </c>
    </row>
    <row r="83" spans="1:1" x14ac:dyDescent="0.2">
      <c r="A83" t="s">
        <v>1166</v>
      </c>
    </row>
    <row r="84" spans="1:1" x14ac:dyDescent="0.2">
      <c r="A84" t="s">
        <v>1167</v>
      </c>
    </row>
    <row r="85" spans="1:1" x14ac:dyDescent="0.2">
      <c r="A85" t="s">
        <v>1168</v>
      </c>
    </row>
    <row r="86" spans="1:1" x14ac:dyDescent="0.2">
      <c r="A86" t="s">
        <v>1169</v>
      </c>
    </row>
    <row r="87" spans="1:1" x14ac:dyDescent="0.2">
      <c r="A87" t="s">
        <v>1170</v>
      </c>
    </row>
    <row r="88" spans="1:1" x14ac:dyDescent="0.2">
      <c r="A88" t="s">
        <v>1171</v>
      </c>
    </row>
    <row r="89" spans="1:1" x14ac:dyDescent="0.2">
      <c r="A89" t="s">
        <v>1172</v>
      </c>
    </row>
    <row r="90" spans="1:1" x14ac:dyDescent="0.2">
      <c r="A90" t="s">
        <v>1173</v>
      </c>
    </row>
    <row r="91" spans="1:1" x14ac:dyDescent="0.2">
      <c r="A91" t="s">
        <v>1174</v>
      </c>
    </row>
    <row r="92" spans="1:1" x14ac:dyDescent="0.2">
      <c r="A92" t="s">
        <v>1175</v>
      </c>
    </row>
    <row r="93" spans="1:1" x14ac:dyDescent="0.2">
      <c r="A93" t="s">
        <v>1176</v>
      </c>
    </row>
    <row r="94" spans="1:1" x14ac:dyDescent="0.2">
      <c r="A94" t="s">
        <v>1177</v>
      </c>
    </row>
    <row r="95" spans="1:1" x14ac:dyDescent="0.2">
      <c r="A95" t="s">
        <v>1178</v>
      </c>
    </row>
    <row r="96" spans="1:1" x14ac:dyDescent="0.2">
      <c r="A96" t="s">
        <v>1179</v>
      </c>
    </row>
    <row r="97" spans="1:1" x14ac:dyDescent="0.2">
      <c r="A97" t="s">
        <v>1180</v>
      </c>
    </row>
    <row r="98" spans="1:1" x14ac:dyDescent="0.2">
      <c r="A98" t="s">
        <v>1181</v>
      </c>
    </row>
    <row r="99" spans="1:1" x14ac:dyDescent="0.2">
      <c r="A99" t="s">
        <v>1182</v>
      </c>
    </row>
    <row r="100" spans="1:1" x14ac:dyDescent="0.2">
      <c r="A100" t="s">
        <v>1183</v>
      </c>
    </row>
    <row r="101" spans="1:1" x14ac:dyDescent="0.2">
      <c r="A101" t="s">
        <v>1184</v>
      </c>
    </row>
    <row r="102" spans="1:1" x14ac:dyDescent="0.2">
      <c r="A102" t="s">
        <v>1185</v>
      </c>
    </row>
    <row r="103" spans="1:1" x14ac:dyDescent="0.2">
      <c r="A103" t="s">
        <v>1186</v>
      </c>
    </row>
    <row r="104" spans="1:1" x14ac:dyDescent="0.2">
      <c r="A104" t="s">
        <v>1187</v>
      </c>
    </row>
    <row r="105" spans="1:1" x14ac:dyDescent="0.2">
      <c r="A105" t="s">
        <v>1188</v>
      </c>
    </row>
    <row r="106" spans="1:1" x14ac:dyDescent="0.2">
      <c r="A106" t="s">
        <v>1189</v>
      </c>
    </row>
    <row r="107" spans="1:1" x14ac:dyDescent="0.2">
      <c r="A107" t="s">
        <v>1190</v>
      </c>
    </row>
    <row r="108" spans="1:1" x14ac:dyDescent="0.2">
      <c r="A108" t="s">
        <v>1191</v>
      </c>
    </row>
    <row r="109" spans="1:1" x14ac:dyDescent="0.2">
      <c r="A109" t="s">
        <v>1192</v>
      </c>
    </row>
    <row r="110" spans="1:1" x14ac:dyDescent="0.2">
      <c r="A110" t="s">
        <v>1193</v>
      </c>
    </row>
    <row r="111" spans="1:1" x14ac:dyDescent="0.2">
      <c r="A111" t="s">
        <v>1194</v>
      </c>
    </row>
    <row r="112" spans="1:1" x14ac:dyDescent="0.2">
      <c r="A112" t="s">
        <v>1195</v>
      </c>
    </row>
    <row r="113" spans="1:1" x14ac:dyDescent="0.2">
      <c r="A113" t="s">
        <v>1196</v>
      </c>
    </row>
    <row r="114" spans="1:1" x14ac:dyDescent="0.2">
      <c r="A114" t="s">
        <v>1197</v>
      </c>
    </row>
    <row r="115" spans="1:1" x14ac:dyDescent="0.2">
      <c r="A115" t="s">
        <v>1198</v>
      </c>
    </row>
    <row r="116" spans="1:1" x14ac:dyDescent="0.2">
      <c r="A116" t="s">
        <v>1199</v>
      </c>
    </row>
    <row r="117" spans="1:1" x14ac:dyDescent="0.2">
      <c r="A117" t="s">
        <v>1200</v>
      </c>
    </row>
    <row r="118" spans="1:1" x14ac:dyDescent="0.2">
      <c r="A118" t="s">
        <v>1201</v>
      </c>
    </row>
    <row r="119" spans="1:1" x14ac:dyDescent="0.2">
      <c r="A119" t="s">
        <v>1202</v>
      </c>
    </row>
    <row r="120" spans="1:1" x14ac:dyDescent="0.2">
      <c r="A120" t="s">
        <v>1203</v>
      </c>
    </row>
    <row r="121" spans="1:1" x14ac:dyDescent="0.2">
      <c r="A121" t="s">
        <v>1204</v>
      </c>
    </row>
    <row r="122" spans="1:1" x14ac:dyDescent="0.2">
      <c r="A122" t="s">
        <v>1205</v>
      </c>
    </row>
    <row r="123" spans="1:1" x14ac:dyDescent="0.2">
      <c r="A123" t="s">
        <v>1206</v>
      </c>
    </row>
    <row r="124" spans="1:1" x14ac:dyDescent="0.2">
      <c r="A124" t="s">
        <v>1207</v>
      </c>
    </row>
    <row r="125" spans="1:1" x14ac:dyDescent="0.2">
      <c r="A125" t="s">
        <v>1208</v>
      </c>
    </row>
    <row r="126" spans="1:1" x14ac:dyDescent="0.2">
      <c r="A126" t="s">
        <v>1209</v>
      </c>
    </row>
    <row r="127" spans="1:1" x14ac:dyDescent="0.2">
      <c r="A127" t="s">
        <v>1210</v>
      </c>
    </row>
    <row r="128" spans="1:1" x14ac:dyDescent="0.2">
      <c r="A128" t="s">
        <v>1211</v>
      </c>
    </row>
    <row r="129" spans="1:1" x14ac:dyDescent="0.2">
      <c r="A129" t="s">
        <v>1212</v>
      </c>
    </row>
    <row r="130" spans="1:1" x14ac:dyDescent="0.2">
      <c r="A130" t="s">
        <v>1213</v>
      </c>
    </row>
    <row r="131" spans="1:1" x14ac:dyDescent="0.2">
      <c r="A131" t="s">
        <v>1214</v>
      </c>
    </row>
    <row r="132" spans="1:1" x14ac:dyDescent="0.2">
      <c r="A132" t="s">
        <v>1215</v>
      </c>
    </row>
    <row r="133" spans="1:1" x14ac:dyDescent="0.2">
      <c r="A133" t="s">
        <v>1216</v>
      </c>
    </row>
    <row r="134" spans="1:1" x14ac:dyDescent="0.2">
      <c r="A134" t="s">
        <v>1217</v>
      </c>
    </row>
    <row r="135" spans="1:1" x14ac:dyDescent="0.2">
      <c r="A135" t="s">
        <v>1218</v>
      </c>
    </row>
    <row r="136" spans="1:1" x14ac:dyDescent="0.2">
      <c r="A136" t="s">
        <v>1219</v>
      </c>
    </row>
    <row r="137" spans="1:1" x14ac:dyDescent="0.2">
      <c r="A137" t="s">
        <v>1220</v>
      </c>
    </row>
    <row r="138" spans="1:1" x14ac:dyDescent="0.2">
      <c r="A138" t="s">
        <v>1221</v>
      </c>
    </row>
    <row r="139" spans="1:1" x14ac:dyDescent="0.2">
      <c r="A139" t="s">
        <v>1222</v>
      </c>
    </row>
    <row r="140" spans="1:1" x14ac:dyDescent="0.2">
      <c r="A140" t="s">
        <v>1223</v>
      </c>
    </row>
    <row r="141" spans="1:1" x14ac:dyDescent="0.2">
      <c r="A141" t="s">
        <v>1224</v>
      </c>
    </row>
    <row r="142" spans="1:1" x14ac:dyDescent="0.2">
      <c r="A142" t="s">
        <v>1225</v>
      </c>
    </row>
    <row r="143" spans="1:1" x14ac:dyDescent="0.2">
      <c r="A143" t="s">
        <v>1226</v>
      </c>
    </row>
    <row r="144" spans="1:1" x14ac:dyDescent="0.2">
      <c r="A144" t="s">
        <v>1227</v>
      </c>
    </row>
    <row r="145" spans="1:1" x14ac:dyDescent="0.2">
      <c r="A145" t="s">
        <v>1228</v>
      </c>
    </row>
    <row r="146" spans="1:1" x14ac:dyDescent="0.2">
      <c r="A146" t="s">
        <v>1229</v>
      </c>
    </row>
    <row r="147" spans="1:1" x14ac:dyDescent="0.2">
      <c r="A147" t="s">
        <v>1230</v>
      </c>
    </row>
    <row r="148" spans="1:1" x14ac:dyDescent="0.2">
      <c r="A148" t="s">
        <v>1231</v>
      </c>
    </row>
    <row r="149" spans="1:1" x14ac:dyDescent="0.2">
      <c r="A149" t="s">
        <v>1232</v>
      </c>
    </row>
    <row r="150" spans="1:1" x14ac:dyDescent="0.2">
      <c r="A150" t="s">
        <v>1233</v>
      </c>
    </row>
    <row r="151" spans="1:1" x14ac:dyDescent="0.2">
      <c r="A151" t="s">
        <v>1234</v>
      </c>
    </row>
    <row r="152" spans="1:1" x14ac:dyDescent="0.2">
      <c r="A152" t="s">
        <v>1235</v>
      </c>
    </row>
    <row r="153" spans="1:1" x14ac:dyDescent="0.2">
      <c r="A153" t="s">
        <v>1236</v>
      </c>
    </row>
    <row r="154" spans="1:1" x14ac:dyDescent="0.2">
      <c r="A154" t="s">
        <v>1237</v>
      </c>
    </row>
    <row r="155" spans="1:1" x14ac:dyDescent="0.2">
      <c r="A155" t="s">
        <v>1238</v>
      </c>
    </row>
    <row r="156" spans="1:1" x14ac:dyDescent="0.2">
      <c r="A156" t="s">
        <v>1239</v>
      </c>
    </row>
    <row r="157" spans="1:1" x14ac:dyDescent="0.2">
      <c r="A157" t="s">
        <v>1240</v>
      </c>
    </row>
    <row r="158" spans="1:1" x14ac:dyDescent="0.2">
      <c r="A158" t="s">
        <v>1241</v>
      </c>
    </row>
    <row r="159" spans="1:1" x14ac:dyDescent="0.2">
      <c r="A159" t="s">
        <v>1242</v>
      </c>
    </row>
    <row r="160" spans="1:1" x14ac:dyDescent="0.2">
      <c r="A160" t="s">
        <v>1243</v>
      </c>
    </row>
    <row r="161" spans="1:1" x14ac:dyDescent="0.2">
      <c r="A161" t="s">
        <v>1244</v>
      </c>
    </row>
    <row r="162" spans="1:1" x14ac:dyDescent="0.2">
      <c r="A162" t="s">
        <v>1245</v>
      </c>
    </row>
    <row r="163" spans="1:1" x14ac:dyDescent="0.2">
      <c r="A163" t="s">
        <v>1246</v>
      </c>
    </row>
    <row r="164" spans="1:1" x14ac:dyDescent="0.2">
      <c r="A164" t="s">
        <v>1247</v>
      </c>
    </row>
    <row r="165" spans="1:1" x14ac:dyDescent="0.2">
      <c r="A165" t="s">
        <v>1248</v>
      </c>
    </row>
    <row r="166" spans="1:1" x14ac:dyDescent="0.2">
      <c r="A166" t="s">
        <v>1249</v>
      </c>
    </row>
    <row r="167" spans="1:1" x14ac:dyDescent="0.2">
      <c r="A167" t="s">
        <v>1250</v>
      </c>
    </row>
    <row r="168" spans="1:1" x14ac:dyDescent="0.2">
      <c r="A168" t="s">
        <v>1251</v>
      </c>
    </row>
    <row r="169" spans="1:1" x14ac:dyDescent="0.2">
      <c r="A169" t="s">
        <v>1252</v>
      </c>
    </row>
    <row r="170" spans="1:1" x14ac:dyDescent="0.2">
      <c r="A170" t="s">
        <v>1253</v>
      </c>
    </row>
    <row r="171" spans="1:1" x14ac:dyDescent="0.2">
      <c r="A171" t="s">
        <v>1254</v>
      </c>
    </row>
    <row r="172" spans="1:1" x14ac:dyDescent="0.2">
      <c r="A172" t="s">
        <v>1255</v>
      </c>
    </row>
    <row r="173" spans="1:1" x14ac:dyDescent="0.2">
      <c r="A173" t="s">
        <v>1256</v>
      </c>
    </row>
    <row r="174" spans="1:1" x14ac:dyDescent="0.2">
      <c r="A174" t="s">
        <v>1257</v>
      </c>
    </row>
    <row r="175" spans="1:1" x14ac:dyDescent="0.2">
      <c r="A175" t="s">
        <v>1258</v>
      </c>
    </row>
    <row r="176" spans="1:1" x14ac:dyDescent="0.2">
      <c r="A176" t="s">
        <v>1259</v>
      </c>
    </row>
    <row r="177" spans="1:1" x14ac:dyDescent="0.2">
      <c r="A177" t="s">
        <v>1260</v>
      </c>
    </row>
    <row r="178" spans="1:1" x14ac:dyDescent="0.2">
      <c r="A178" t="s">
        <v>1261</v>
      </c>
    </row>
    <row r="179" spans="1:1" x14ac:dyDescent="0.2">
      <c r="A179" t="s">
        <v>1262</v>
      </c>
    </row>
    <row r="180" spans="1:1" x14ac:dyDescent="0.2">
      <c r="A180" t="s">
        <v>1263</v>
      </c>
    </row>
    <row r="181" spans="1:1" x14ac:dyDescent="0.2">
      <c r="A181" t="s">
        <v>1264</v>
      </c>
    </row>
    <row r="182" spans="1:1" x14ac:dyDescent="0.2">
      <c r="A182" t="s">
        <v>1265</v>
      </c>
    </row>
    <row r="183" spans="1:1" x14ac:dyDescent="0.2">
      <c r="A183" t="s">
        <v>1266</v>
      </c>
    </row>
    <row r="184" spans="1:1" x14ac:dyDescent="0.2">
      <c r="A184" t="s">
        <v>1267</v>
      </c>
    </row>
    <row r="185" spans="1:1" x14ac:dyDescent="0.2">
      <c r="A185" t="s">
        <v>1268</v>
      </c>
    </row>
    <row r="186" spans="1:1" x14ac:dyDescent="0.2">
      <c r="A186" t="s">
        <v>1269</v>
      </c>
    </row>
    <row r="187" spans="1:1" x14ac:dyDescent="0.2">
      <c r="A187" t="s">
        <v>1270</v>
      </c>
    </row>
    <row r="188" spans="1:1" x14ac:dyDescent="0.2">
      <c r="A188" t="s">
        <v>1271</v>
      </c>
    </row>
    <row r="189" spans="1:1" x14ac:dyDescent="0.2">
      <c r="A189" t="s">
        <v>1272</v>
      </c>
    </row>
    <row r="190" spans="1:1" x14ac:dyDescent="0.2">
      <c r="A190" t="s">
        <v>1273</v>
      </c>
    </row>
    <row r="191" spans="1:1" x14ac:dyDescent="0.2">
      <c r="A191" t="s">
        <v>1274</v>
      </c>
    </row>
    <row r="192" spans="1:1" x14ac:dyDescent="0.2">
      <c r="A192" t="s">
        <v>1275</v>
      </c>
    </row>
    <row r="193" spans="1:1" x14ac:dyDescent="0.2">
      <c r="A193" t="s">
        <v>1276</v>
      </c>
    </row>
    <row r="194" spans="1:1" x14ac:dyDescent="0.2">
      <c r="A194" t="s">
        <v>1277</v>
      </c>
    </row>
    <row r="195" spans="1:1" x14ac:dyDescent="0.2">
      <c r="A195" t="s">
        <v>1278</v>
      </c>
    </row>
    <row r="196" spans="1:1" x14ac:dyDescent="0.2">
      <c r="A196" t="s">
        <v>1279</v>
      </c>
    </row>
    <row r="197" spans="1:1" x14ac:dyDescent="0.2">
      <c r="A197" t="s">
        <v>1280</v>
      </c>
    </row>
    <row r="198" spans="1:1" x14ac:dyDescent="0.2">
      <c r="A198" t="s">
        <v>1281</v>
      </c>
    </row>
    <row r="199" spans="1:1" x14ac:dyDescent="0.2">
      <c r="A199" t="s">
        <v>1282</v>
      </c>
    </row>
    <row r="200" spans="1:1" x14ac:dyDescent="0.2">
      <c r="A200" t="s">
        <v>1283</v>
      </c>
    </row>
    <row r="201" spans="1:1" x14ac:dyDescent="0.2">
      <c r="A201" t="s">
        <v>1284</v>
      </c>
    </row>
    <row r="202" spans="1:1" x14ac:dyDescent="0.2">
      <c r="A202" t="s">
        <v>1285</v>
      </c>
    </row>
    <row r="203" spans="1:1" x14ac:dyDescent="0.2">
      <c r="A203" t="s">
        <v>1286</v>
      </c>
    </row>
    <row r="204" spans="1:1" x14ac:dyDescent="0.2">
      <c r="A204" t="s">
        <v>1287</v>
      </c>
    </row>
    <row r="205" spans="1:1" x14ac:dyDescent="0.2">
      <c r="A205" t="s">
        <v>1288</v>
      </c>
    </row>
    <row r="206" spans="1:1" x14ac:dyDescent="0.2">
      <c r="A206" t="s">
        <v>1289</v>
      </c>
    </row>
    <row r="207" spans="1:1" x14ac:dyDescent="0.2">
      <c r="A207" t="s">
        <v>1290</v>
      </c>
    </row>
    <row r="208" spans="1:1" x14ac:dyDescent="0.2">
      <c r="A208" t="s">
        <v>1291</v>
      </c>
    </row>
    <row r="209" spans="1:1" x14ac:dyDescent="0.2">
      <c r="A209" t="s">
        <v>1292</v>
      </c>
    </row>
    <row r="210" spans="1:1" x14ac:dyDescent="0.2">
      <c r="A210" t="s">
        <v>1293</v>
      </c>
    </row>
    <row r="211" spans="1:1" x14ac:dyDescent="0.2">
      <c r="A211" t="s">
        <v>1294</v>
      </c>
    </row>
    <row r="212" spans="1:1" x14ac:dyDescent="0.2">
      <c r="A212" t="s">
        <v>1295</v>
      </c>
    </row>
    <row r="213" spans="1:1" x14ac:dyDescent="0.2">
      <c r="A213" t="s">
        <v>1296</v>
      </c>
    </row>
    <row r="214" spans="1:1" x14ac:dyDescent="0.2">
      <c r="A214" t="s">
        <v>1297</v>
      </c>
    </row>
    <row r="215" spans="1:1" x14ac:dyDescent="0.2">
      <c r="A215" t="s">
        <v>1298</v>
      </c>
    </row>
    <row r="216" spans="1:1" x14ac:dyDescent="0.2">
      <c r="A216" t="s">
        <v>1299</v>
      </c>
    </row>
    <row r="217" spans="1:1" x14ac:dyDescent="0.2">
      <c r="A217" t="s">
        <v>1300</v>
      </c>
    </row>
    <row r="218" spans="1:1" x14ac:dyDescent="0.2">
      <c r="A218" t="s">
        <v>1301</v>
      </c>
    </row>
    <row r="219" spans="1:1" x14ac:dyDescent="0.2">
      <c r="A219" t="s">
        <v>1302</v>
      </c>
    </row>
    <row r="220" spans="1:1" x14ac:dyDescent="0.2">
      <c r="A220" t="s">
        <v>1303</v>
      </c>
    </row>
    <row r="221" spans="1:1" x14ac:dyDescent="0.2">
      <c r="A221" t="s">
        <v>1304</v>
      </c>
    </row>
    <row r="222" spans="1:1" x14ac:dyDescent="0.2">
      <c r="A222" t="s">
        <v>1305</v>
      </c>
    </row>
    <row r="223" spans="1:1" x14ac:dyDescent="0.2">
      <c r="A223" t="s">
        <v>1306</v>
      </c>
    </row>
    <row r="224" spans="1:1" x14ac:dyDescent="0.2">
      <c r="A224" t="s">
        <v>1307</v>
      </c>
    </row>
    <row r="225" spans="1:1" x14ac:dyDescent="0.2">
      <c r="A225" t="s">
        <v>1308</v>
      </c>
    </row>
    <row r="226" spans="1:1" x14ac:dyDescent="0.2">
      <c r="A226" t="s">
        <v>1309</v>
      </c>
    </row>
    <row r="227" spans="1:1" x14ac:dyDescent="0.2">
      <c r="A227" t="s">
        <v>1310</v>
      </c>
    </row>
    <row r="228" spans="1:1" x14ac:dyDescent="0.2">
      <c r="A228" t="s">
        <v>1311</v>
      </c>
    </row>
    <row r="229" spans="1:1" x14ac:dyDescent="0.2">
      <c r="A229" t="s">
        <v>1312</v>
      </c>
    </row>
    <row r="230" spans="1:1" x14ac:dyDescent="0.2">
      <c r="A230" t="s">
        <v>1313</v>
      </c>
    </row>
    <row r="231" spans="1:1" x14ac:dyDescent="0.2">
      <c r="A231" t="s">
        <v>1314</v>
      </c>
    </row>
    <row r="232" spans="1:1" x14ac:dyDescent="0.2">
      <c r="A232" t="s">
        <v>1315</v>
      </c>
    </row>
    <row r="233" spans="1:1" x14ac:dyDescent="0.2">
      <c r="A233" t="s">
        <v>1316</v>
      </c>
    </row>
    <row r="234" spans="1:1" x14ac:dyDescent="0.2">
      <c r="A234" t="s">
        <v>1317</v>
      </c>
    </row>
    <row r="235" spans="1:1" x14ac:dyDescent="0.2">
      <c r="A235" t="s">
        <v>1318</v>
      </c>
    </row>
    <row r="236" spans="1:1" x14ac:dyDescent="0.2">
      <c r="A236" t="s">
        <v>1319</v>
      </c>
    </row>
    <row r="237" spans="1:1" x14ac:dyDescent="0.2">
      <c r="A237" t="s">
        <v>1320</v>
      </c>
    </row>
    <row r="238" spans="1:1" x14ac:dyDescent="0.2">
      <c r="A238" t="s">
        <v>1321</v>
      </c>
    </row>
    <row r="239" spans="1:1" x14ac:dyDescent="0.2">
      <c r="A239" t="s">
        <v>1322</v>
      </c>
    </row>
    <row r="240" spans="1:1" x14ac:dyDescent="0.2">
      <c r="A240" t="s">
        <v>1323</v>
      </c>
    </row>
    <row r="241" spans="1:1" x14ac:dyDescent="0.2">
      <c r="A241" t="s">
        <v>1324</v>
      </c>
    </row>
    <row r="242" spans="1:1" x14ac:dyDescent="0.2">
      <c r="A242" t="s">
        <v>1325</v>
      </c>
    </row>
    <row r="243" spans="1:1" x14ac:dyDescent="0.2">
      <c r="A243" t="s">
        <v>1326</v>
      </c>
    </row>
    <row r="244" spans="1:1" x14ac:dyDescent="0.2">
      <c r="A244" t="s">
        <v>1327</v>
      </c>
    </row>
    <row r="245" spans="1:1" x14ac:dyDescent="0.2">
      <c r="A245" t="s">
        <v>1328</v>
      </c>
    </row>
    <row r="246" spans="1:1" x14ac:dyDescent="0.2">
      <c r="A246" t="s">
        <v>1329</v>
      </c>
    </row>
    <row r="247" spans="1:1" x14ac:dyDescent="0.2">
      <c r="A247" t="s">
        <v>1330</v>
      </c>
    </row>
    <row r="248" spans="1:1" x14ac:dyDescent="0.2">
      <c r="A248" t="s">
        <v>1331</v>
      </c>
    </row>
    <row r="249" spans="1:1" x14ac:dyDescent="0.2">
      <c r="A249" t="s">
        <v>1332</v>
      </c>
    </row>
    <row r="250" spans="1:1" x14ac:dyDescent="0.2">
      <c r="A250" t="s">
        <v>1333</v>
      </c>
    </row>
    <row r="251" spans="1:1" x14ac:dyDescent="0.2">
      <c r="A251" t="s">
        <v>1334</v>
      </c>
    </row>
    <row r="252" spans="1:1" x14ac:dyDescent="0.2">
      <c r="A252" t="s">
        <v>1335</v>
      </c>
    </row>
    <row r="253" spans="1:1" x14ac:dyDescent="0.2">
      <c r="A253" t="s">
        <v>1336</v>
      </c>
    </row>
    <row r="254" spans="1:1" x14ac:dyDescent="0.2">
      <c r="A254" t="s">
        <v>1337</v>
      </c>
    </row>
    <row r="255" spans="1:1" x14ac:dyDescent="0.2">
      <c r="A255" t="s">
        <v>1338</v>
      </c>
    </row>
    <row r="256" spans="1:1" x14ac:dyDescent="0.2">
      <c r="A256" t="s">
        <v>1339</v>
      </c>
    </row>
    <row r="257" spans="1:1" x14ac:dyDescent="0.2">
      <c r="A257" t="s">
        <v>1340</v>
      </c>
    </row>
    <row r="258" spans="1:1" x14ac:dyDescent="0.2">
      <c r="A258" t="s">
        <v>1341</v>
      </c>
    </row>
    <row r="259" spans="1:1" x14ac:dyDescent="0.2">
      <c r="A259" t="s">
        <v>1342</v>
      </c>
    </row>
    <row r="260" spans="1:1" x14ac:dyDescent="0.2">
      <c r="A260" t="s">
        <v>1343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main</vt:lpstr>
      <vt:lpstr>screen</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Simão Clemente</dc:creator>
  <cp:lastModifiedBy>Simão Clemente</cp:lastModifiedBy>
  <dcterms:created xsi:type="dcterms:W3CDTF">2026-02-02T18:51:40Z</dcterms:created>
  <dcterms:modified xsi:type="dcterms:W3CDTF">2026-08-03T21:55:20Z</dcterms:modified>
</cp:coreProperties>
</file>