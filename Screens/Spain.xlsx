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161" documentId="8_{DACE1CD8-BFAD-45DC-B788-5EF46346D019}" xr6:coauthVersionLast="47" xr6:coauthVersionMax="47" xr10:uidLastSave="{4F8313FE-400F-4B3C-8FCE-3737FA11DA9F}"/>
  <bookViews>
    <workbookView xWindow="-120" yWindow="-120" windowWidth="29040" windowHeight="15720" xr2:uid="{AFB8188F-5378-4836-AC5C-A12794E7FF25}"/>
  </bookViews>
  <sheets>
    <sheet name="main" sheetId="3" r:id="rId1"/>
    <sheet name="screen" sheetId="2" r:id="rId2"/>
    <sheet name="database"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a="1"/>
  <c r="F13" i="2" s="1"/>
  <c r="H13" i="2" a="1"/>
  <c r="H13" i="2" s="1"/>
  <c r="I13" i="2" s="1"/>
  <c r="F212" i="3" a="1"/>
  <c r="F212" i="3" s="1"/>
  <c r="F211" i="3" a="1"/>
  <c r="F211" i="3" s="1"/>
  <c r="F210" i="3" a="1"/>
  <c r="F210" i="3" s="1"/>
  <c r="F209" i="3" a="1"/>
  <c r="F209" i="3" s="1"/>
  <c r="F208" i="3" a="1"/>
  <c r="F208" i="3" s="1"/>
  <c r="F207" i="3" a="1"/>
  <c r="F207" i="3" s="1"/>
  <c r="F206" i="3" a="1"/>
  <c r="F206" i="3" s="1"/>
  <c r="F205" i="3" a="1"/>
  <c r="F205" i="3" s="1"/>
  <c r="F204" i="3" a="1"/>
  <c r="F204" i="3" s="1"/>
  <c r="F203" i="3" a="1"/>
  <c r="F203" i="3" s="1"/>
  <c r="F202" i="3" a="1"/>
  <c r="F202" i="3" s="1"/>
  <c r="F201" i="3" a="1"/>
  <c r="F201" i="3" s="1"/>
  <c r="F200" i="3" a="1"/>
  <c r="F200" i="3" s="1"/>
  <c r="F199" i="3" a="1"/>
  <c r="F199" i="3" s="1"/>
  <c r="F198" i="3" a="1"/>
  <c r="F198" i="3" s="1"/>
  <c r="F197" i="3" a="1"/>
  <c r="F197" i="3" s="1"/>
  <c r="F196" i="3" a="1"/>
  <c r="F196" i="3" s="1"/>
  <c r="F195" i="3" a="1"/>
  <c r="F195" i="3" s="1"/>
  <c r="F194" i="3" a="1"/>
  <c r="F194" i="3" s="1"/>
  <c r="F193" i="3" a="1"/>
  <c r="F193" i="3" s="1"/>
  <c r="F192" i="3" a="1"/>
  <c r="F192" i="3" s="1"/>
  <c r="F191" i="3" a="1"/>
  <c r="F191" i="3" s="1"/>
  <c r="F190" i="3" a="1"/>
  <c r="F190" i="3" s="1"/>
  <c r="F189" i="3" a="1"/>
  <c r="F189" i="3" s="1"/>
  <c r="F188" i="3" a="1"/>
  <c r="F188" i="3" s="1"/>
  <c r="F187" i="3" a="1"/>
  <c r="F187" i="3" s="1"/>
  <c r="F186" i="3" a="1"/>
  <c r="F186" i="3" s="1"/>
  <c r="F185" i="3" a="1"/>
  <c r="F185" i="3" s="1"/>
  <c r="F184" i="3" a="1"/>
  <c r="F184" i="3" s="1"/>
  <c r="F183" i="3" a="1"/>
  <c r="F183" i="3" s="1"/>
  <c r="F182" i="3" a="1"/>
  <c r="F182" i="3" s="1"/>
  <c r="F181" i="3" a="1"/>
  <c r="F181" i="3" s="1"/>
  <c r="F180" i="3" a="1"/>
  <c r="F180" i="3" s="1"/>
  <c r="F179" i="3" a="1"/>
  <c r="F179" i="3" s="1"/>
  <c r="F178" i="3" a="1"/>
  <c r="F178" i="3" s="1"/>
  <c r="F177" i="3" a="1"/>
  <c r="F177" i="3" s="1"/>
  <c r="F176" i="3" a="1"/>
  <c r="F176" i="3" s="1"/>
  <c r="F175" i="3" a="1"/>
  <c r="F175" i="3" s="1"/>
  <c r="F174" i="3" a="1"/>
  <c r="F174" i="3" s="1"/>
  <c r="F173" i="3" a="1"/>
  <c r="F173" i="3" s="1"/>
  <c r="F172" i="3" a="1"/>
  <c r="F172" i="3" s="1"/>
  <c r="F171" i="3" a="1"/>
  <c r="F171" i="3" s="1"/>
  <c r="F170" i="3" a="1"/>
  <c r="F170" i="3" s="1"/>
  <c r="F169" i="3" a="1"/>
  <c r="F169" i="3" s="1"/>
  <c r="F168" i="3" a="1"/>
  <c r="F168" i="3" s="1"/>
  <c r="F167" i="3" a="1"/>
  <c r="F167" i="3" s="1"/>
  <c r="F166" i="3" a="1"/>
  <c r="F166" i="3" s="1"/>
  <c r="F165" i="3" a="1"/>
  <c r="F165" i="3" s="1"/>
  <c r="F164" i="3" a="1"/>
  <c r="F164" i="3" s="1"/>
  <c r="F163" i="3" a="1"/>
  <c r="F163" i="3" s="1"/>
  <c r="F162" i="3" a="1"/>
  <c r="F162" i="3" s="1"/>
  <c r="F161" i="3" a="1"/>
  <c r="F161" i="3" s="1"/>
  <c r="F160" i="3" a="1"/>
  <c r="F160" i="3" s="1"/>
  <c r="F159" i="3" a="1"/>
  <c r="F159" i="3" s="1"/>
  <c r="F158" i="3" a="1"/>
  <c r="F158" i="3" s="1"/>
  <c r="F157" i="3" a="1"/>
  <c r="F157" i="3" s="1"/>
  <c r="F156" i="3" a="1"/>
  <c r="F156" i="3" s="1"/>
  <c r="F155" i="3" a="1"/>
  <c r="F155" i="3" s="1"/>
  <c r="F154" i="3" a="1"/>
  <c r="F154" i="3" s="1"/>
  <c r="F153" i="3" a="1"/>
  <c r="F153" i="3" s="1"/>
  <c r="F152" i="3" a="1"/>
  <c r="F152" i="3" s="1"/>
  <c r="F151" i="3" a="1"/>
  <c r="F151" i="3" s="1"/>
  <c r="F150" i="3" a="1"/>
  <c r="F150" i="3" s="1"/>
  <c r="F149" i="3" a="1"/>
  <c r="F149" i="3" s="1"/>
  <c r="F148" i="3" a="1"/>
  <c r="F148" i="3" s="1"/>
  <c r="F147" i="3" a="1"/>
  <c r="F147" i="3" s="1"/>
  <c r="F146" i="3" a="1"/>
  <c r="F146" i="3" s="1"/>
  <c r="F145" i="3" a="1"/>
  <c r="F145" i="3" s="1"/>
  <c r="F144" i="3" a="1"/>
  <c r="F144" i="3" s="1"/>
  <c r="F143" i="3" a="1"/>
  <c r="F143" i="3" s="1"/>
  <c r="F142" i="3" a="1"/>
  <c r="F142" i="3" s="1"/>
  <c r="F141" i="3" a="1"/>
  <c r="F141" i="3" s="1"/>
  <c r="F140" i="3" a="1"/>
  <c r="F140" i="3" s="1"/>
  <c r="F139" i="3" a="1"/>
  <c r="F139" i="3" s="1"/>
  <c r="F138" i="3" a="1"/>
  <c r="F138" i="3" s="1"/>
  <c r="F137" i="3" a="1"/>
  <c r="F137" i="3" s="1"/>
  <c r="F136" i="3" a="1"/>
  <c r="F136" i="3" s="1"/>
  <c r="F135" i="3" a="1"/>
  <c r="F135" i="3" s="1"/>
  <c r="F134" i="3" a="1"/>
  <c r="F134" i="3" s="1"/>
  <c r="F133" i="3" a="1"/>
  <c r="F133" i="3" s="1"/>
  <c r="F132" i="3" a="1"/>
  <c r="F132" i="3" s="1"/>
  <c r="F131" i="3" a="1"/>
  <c r="F131" i="3" s="1"/>
  <c r="F130" i="3" a="1"/>
  <c r="F130" i="3" s="1"/>
  <c r="F129" i="3" a="1"/>
  <c r="F129" i="3" s="1"/>
  <c r="F128" i="3" a="1"/>
  <c r="F128" i="3" s="1"/>
  <c r="F127" i="3" a="1"/>
  <c r="F127" i="3" s="1"/>
  <c r="F126" i="3" a="1"/>
  <c r="F126" i="3" s="1"/>
  <c r="F125" i="3" a="1"/>
  <c r="F125" i="3" s="1"/>
  <c r="F124" i="3" a="1"/>
  <c r="F124" i="3" s="1"/>
  <c r="F123" i="3" a="1"/>
  <c r="F123" i="3" s="1"/>
  <c r="F122" i="3" a="1"/>
  <c r="F122" i="3" s="1"/>
  <c r="F121" i="3" a="1"/>
  <c r="F121" i="3" s="1"/>
  <c r="F120" i="3" a="1"/>
  <c r="F120" i="3" s="1"/>
  <c r="F119" i="3" a="1"/>
  <c r="F119" i="3" s="1"/>
  <c r="F118" i="3" a="1"/>
  <c r="F118" i="3" s="1"/>
  <c r="F117" i="3" a="1"/>
  <c r="F117" i="3" s="1"/>
  <c r="F116" i="3" a="1"/>
  <c r="F116" i="3" s="1"/>
  <c r="F115" i="3" a="1"/>
  <c r="F115" i="3" s="1"/>
  <c r="F114" i="3" a="1"/>
  <c r="F114" i="3" s="1"/>
  <c r="F113" i="3" a="1"/>
  <c r="F113" i="3" s="1"/>
  <c r="F112" i="3" a="1"/>
  <c r="F112" i="3" s="1"/>
  <c r="F111" i="3" a="1"/>
  <c r="F111" i="3" s="1"/>
  <c r="F110" i="3" a="1"/>
  <c r="F110" i="3" s="1"/>
  <c r="F109" i="3" a="1"/>
  <c r="F109" i="3" s="1"/>
  <c r="F108" i="3" a="1"/>
  <c r="F108" i="3" s="1"/>
  <c r="F107" i="3" a="1"/>
  <c r="F107" i="3" s="1"/>
  <c r="F106" i="3" a="1"/>
  <c r="F106" i="3" s="1"/>
  <c r="F105" i="3" a="1"/>
  <c r="F105" i="3" s="1"/>
  <c r="F104" i="3" a="1"/>
  <c r="F104" i="3" s="1"/>
  <c r="F103" i="3" a="1"/>
  <c r="F103" i="3" s="1"/>
  <c r="F102" i="3" a="1"/>
  <c r="F102" i="3" s="1"/>
  <c r="F101" i="3" a="1"/>
  <c r="F101" i="3" s="1"/>
  <c r="F100" i="3" a="1"/>
  <c r="F100" i="3" s="1"/>
  <c r="F99" i="3" a="1"/>
  <c r="F99" i="3" s="1"/>
  <c r="F98" i="3" a="1"/>
  <c r="F98" i="3" s="1"/>
  <c r="F97" i="3" a="1"/>
  <c r="F97" i="3" s="1"/>
  <c r="F96" i="3" a="1"/>
  <c r="F96" i="3" s="1"/>
  <c r="F95" i="3" a="1"/>
  <c r="F95" i="3" s="1"/>
  <c r="F94" i="3" a="1"/>
  <c r="F94" i="3" s="1"/>
  <c r="F93" i="3" a="1"/>
  <c r="F93" i="3" s="1"/>
  <c r="F92" i="3" a="1"/>
  <c r="F92" i="3" s="1"/>
  <c r="F91" i="3" a="1"/>
  <c r="F91" i="3" s="1"/>
  <c r="F90" i="3" a="1"/>
  <c r="F90" i="3" s="1"/>
  <c r="F89" i="3" a="1"/>
  <c r="F89" i="3" s="1"/>
  <c r="F88" i="3" a="1"/>
  <c r="F88" i="3" s="1"/>
  <c r="F87" i="3" a="1"/>
  <c r="F87" i="3" s="1"/>
  <c r="F86" i="3" a="1"/>
  <c r="F86" i="3" s="1"/>
  <c r="F85" i="3" a="1"/>
  <c r="F85" i="3" s="1"/>
  <c r="F84" i="3" a="1"/>
  <c r="F84" i="3" s="1"/>
  <c r="F83" i="3" a="1"/>
  <c r="F83" i="3" s="1"/>
  <c r="F82" i="3" a="1"/>
  <c r="F82" i="3" s="1"/>
  <c r="F81" i="3" a="1"/>
  <c r="F81" i="3" s="1"/>
  <c r="F80" i="3" a="1"/>
  <c r="F80" i="3" s="1"/>
  <c r="F79" i="3" a="1"/>
  <c r="F79" i="3" s="1"/>
  <c r="F78" i="3" a="1"/>
  <c r="F78" i="3" s="1"/>
  <c r="F77" i="3" a="1"/>
  <c r="F77" i="3" s="1"/>
  <c r="F76" i="3" a="1"/>
  <c r="F76" i="3" s="1"/>
  <c r="F75" i="3" a="1"/>
  <c r="F75" i="3" s="1"/>
  <c r="F74" i="3" a="1"/>
  <c r="F74" i="3" s="1"/>
  <c r="F73" i="3" a="1"/>
  <c r="F73" i="3" s="1"/>
  <c r="F72" i="3" a="1"/>
  <c r="F72" i="3" s="1"/>
  <c r="F71" i="3" a="1"/>
  <c r="F71" i="3" s="1"/>
  <c r="F70" i="3" a="1"/>
  <c r="F70" i="3" s="1"/>
  <c r="F69" i="3" a="1"/>
  <c r="F69" i="3" s="1"/>
  <c r="F68" i="3" a="1"/>
  <c r="F68" i="3" s="1"/>
  <c r="F67" i="3" a="1"/>
  <c r="F67" i="3" s="1"/>
  <c r="F66" i="3" a="1"/>
  <c r="F66" i="3" s="1"/>
  <c r="F65" i="3" a="1"/>
  <c r="F65" i="3" s="1"/>
  <c r="F64" i="3" a="1"/>
  <c r="F64" i="3" s="1"/>
  <c r="F63" i="3" a="1"/>
  <c r="F63" i="3" s="1"/>
  <c r="F62" i="3" a="1"/>
  <c r="F62" i="3" s="1"/>
  <c r="F61" i="3" a="1"/>
  <c r="F61" i="3" s="1"/>
  <c r="F60" i="3" a="1"/>
  <c r="F60" i="3" s="1"/>
  <c r="F59" i="3" a="1"/>
  <c r="F59" i="3" s="1"/>
  <c r="F58" i="3" a="1"/>
  <c r="F58" i="3" s="1"/>
  <c r="F57" i="3" a="1"/>
  <c r="F57" i="3" s="1"/>
  <c r="F56" i="3" a="1"/>
  <c r="F56" i="3" s="1"/>
  <c r="F55" i="3" a="1"/>
  <c r="F55" i="3" s="1"/>
  <c r="F54" i="3" a="1"/>
  <c r="F54" i="3" s="1"/>
  <c r="F53" i="3" a="1"/>
  <c r="F53" i="3" s="1"/>
  <c r="F52" i="3" a="1"/>
  <c r="F52" i="3" s="1"/>
  <c r="F51" i="3" a="1"/>
  <c r="F51" i="3" s="1"/>
  <c r="F50" i="3" a="1"/>
  <c r="F50" i="3" s="1"/>
  <c r="F49" i="3" a="1"/>
  <c r="F49" i="3" s="1"/>
  <c r="F48" i="3" a="1"/>
  <c r="F48" i="3" s="1"/>
  <c r="F47" i="3" a="1"/>
  <c r="F47" i="3"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30" i="3" a="1"/>
  <c r="F30" i="3" s="1"/>
  <c r="F29" i="3" a="1"/>
  <c r="F29" i="3" s="1"/>
  <c r="F28" i="3" a="1"/>
  <c r="F28" i="3" s="1"/>
  <c r="F27" i="3" a="1"/>
  <c r="F27" i="3" s="1"/>
  <c r="F26" i="3" a="1"/>
  <c r="F26" i="3" s="1"/>
  <c r="F25" i="3" a="1"/>
  <c r="F25" i="3" s="1"/>
  <c r="F24" i="3" a="1"/>
  <c r="F24" i="3" s="1"/>
  <c r="F23" i="3" a="1"/>
  <c r="F23" i="3" s="1"/>
  <c r="F22" i="3" a="1"/>
  <c r="F22" i="3" s="1"/>
  <c r="F21" i="3" a="1"/>
  <c r="F21" i="3" s="1"/>
  <c r="F20" i="3" a="1"/>
  <c r="F20" i="3" s="1"/>
  <c r="F19" i="3" a="1"/>
  <c r="F19" i="3" s="1"/>
  <c r="F18" i="3" a="1"/>
  <c r="F18" i="3" s="1"/>
  <c r="F17" i="3" a="1"/>
  <c r="F17" i="3" s="1"/>
  <c r="F16" i="3" a="1"/>
  <c r="F16" i="3" s="1"/>
  <c r="F15" i="3" a="1"/>
  <c r="F15" i="3" s="1"/>
  <c r="F14" i="3" a="1"/>
  <c r="F14" i="3" s="1"/>
  <c r="F13" i="3" a="1"/>
  <c r="F13" i="3" s="1"/>
  <c r="F12" i="3" a="1"/>
  <c r="F12" i="3" s="1"/>
  <c r="F11" i="3" a="1"/>
  <c r="F11" i="3" s="1"/>
  <c r="F10" i="3" a="1"/>
  <c r="F10" i="3" s="1"/>
  <c r="F9" i="3" a="1"/>
  <c r="F9" i="3" s="1"/>
  <c r="F8" i="3" a="1"/>
  <c r="F8" i="3" s="1"/>
  <c r="F7" i="3" a="1"/>
  <c r="F7" i="3" s="1"/>
  <c r="F6" i="3" a="1"/>
  <c r="F6" i="3" s="1"/>
  <c r="F5" i="3" a="1"/>
  <c r="F5" i="3" s="1"/>
  <c r="F4" i="3" a="1"/>
  <c r="F4" i="3" s="1"/>
  <c r="F3" i="3" a="1"/>
  <c r="F3" i="3" s="1"/>
  <c r="H15" i="2" a="1"/>
  <c r="H15" i="2" s="1"/>
  <c r="I15" i="2" s="1"/>
  <c r="F15" i="2" a="1"/>
  <c r="F15" i="2" s="1"/>
  <c r="H14" i="2" a="1"/>
  <c r="H14" i="2" s="1"/>
  <c r="I14" i="2" s="1"/>
  <c r="F14" i="2" a="1"/>
  <c r="F14" i="2" s="1"/>
  <c r="H12" i="2" a="1"/>
  <c r="H12" i="2" s="1"/>
  <c r="I12" i="2" s="1"/>
  <c r="F12" i="2" a="1"/>
  <c r="F12" i="2" s="1"/>
  <c r="H11" i="2" a="1"/>
  <c r="H11" i="2" s="1"/>
  <c r="I11" i="2" s="1"/>
  <c r="F11" i="2" a="1"/>
  <c r="F11" i="2" s="1"/>
  <c r="H10" i="2" a="1"/>
  <c r="H10" i="2" s="1"/>
  <c r="I10" i="2" s="1"/>
  <c r="F10" i="2" a="1"/>
  <c r="F10" i="2" s="1"/>
  <c r="H9" i="2" a="1"/>
  <c r="H9" i="2" s="1"/>
  <c r="I9" i="2" s="1"/>
  <c r="F9" i="2" a="1"/>
  <c r="F9" i="2" s="1"/>
  <c r="H8" i="2" a="1"/>
  <c r="H8" i="2" s="1"/>
  <c r="I8" i="2" s="1"/>
  <c r="F8" i="2" a="1"/>
  <c r="F8" i="2" s="1"/>
  <c r="H7" i="2" a="1"/>
  <c r="H7" i="2" s="1"/>
  <c r="I7" i="2" s="1"/>
  <c r="F7" i="2" a="1"/>
  <c r="F7" i="2" s="1"/>
  <c r="H6" i="2" a="1"/>
  <c r="H6" i="2" s="1"/>
  <c r="I6" i="2" s="1"/>
  <c r="F6" i="2" a="1"/>
  <c r="F6" i="2" s="1"/>
  <c r="H5" i="2" a="1"/>
  <c r="H5" i="2" s="1"/>
  <c r="I5" i="2" s="1"/>
  <c r="F5" i="2" a="1"/>
  <c r="F5" i="2" s="1"/>
  <c r="H4" i="2" a="1"/>
  <c r="H4" i="2" s="1"/>
  <c r="I4" i="2" s="1"/>
  <c r="F4" i="2" a="1"/>
  <c r="F4" i="2" s="1"/>
  <c r="H3" i="2" a="1"/>
  <c r="H3" i="2" s="1"/>
  <c r="I3" i="2" s="1"/>
  <c r="F3" i="2" a="1"/>
  <c r="F3" i="2" s="1"/>
  <c r="E202" i="3" a="1"/>
  <c r="E202" i="3" s="1"/>
  <c r="I202" i="3" a="1"/>
  <c r="I202" i="3" s="1"/>
  <c r="J202" i="3" s="1"/>
  <c r="I212" i="3" a="1"/>
  <c r="I212" i="3" s="1"/>
  <c r="J212" i="3" s="1"/>
  <c r="I211" i="3" a="1"/>
  <c r="I211" i="3" s="1"/>
  <c r="J211" i="3" s="1"/>
  <c r="I210" i="3" a="1"/>
  <c r="I210" i="3" s="1"/>
  <c r="J210" i="3" s="1"/>
  <c r="I209" i="3" a="1"/>
  <c r="I209" i="3" s="1"/>
  <c r="J209" i="3" s="1"/>
  <c r="I208" i="3" a="1"/>
  <c r="I208" i="3" s="1"/>
  <c r="J208" i="3" s="1"/>
  <c r="I207" i="3" a="1"/>
  <c r="I207" i="3" s="1"/>
  <c r="J207" i="3" s="1"/>
  <c r="I206" i="3" a="1"/>
  <c r="I206" i="3" s="1"/>
  <c r="J206" i="3" s="1"/>
  <c r="I205" i="3" a="1"/>
  <c r="I205" i="3" s="1"/>
  <c r="J205" i="3" s="1"/>
  <c r="I204" i="3" a="1"/>
  <c r="I204" i="3" s="1"/>
  <c r="J204" i="3" s="1"/>
  <c r="I203" i="3" a="1"/>
  <c r="I203" i="3" s="1"/>
  <c r="J203" i="3" s="1"/>
  <c r="I201" i="3" a="1"/>
  <c r="I201" i="3" s="1"/>
  <c r="J201" i="3" s="1"/>
  <c r="I200" i="3" a="1"/>
  <c r="I200" i="3" s="1"/>
  <c r="J200" i="3" s="1"/>
  <c r="I199" i="3" a="1"/>
  <c r="I199" i="3" s="1"/>
  <c r="J199" i="3" s="1"/>
  <c r="I198" i="3" a="1"/>
  <c r="I198" i="3" s="1"/>
  <c r="J198" i="3" s="1"/>
  <c r="I197" i="3" a="1"/>
  <c r="I197" i="3" s="1"/>
  <c r="J197" i="3" s="1"/>
  <c r="I196" i="3" a="1"/>
  <c r="I196" i="3" s="1"/>
  <c r="J196" i="3" s="1"/>
  <c r="I195" i="3" a="1"/>
  <c r="I195" i="3" s="1"/>
  <c r="J195" i="3" s="1"/>
  <c r="I194" i="3" a="1"/>
  <c r="I194" i="3" s="1"/>
  <c r="J194" i="3" s="1"/>
  <c r="I193" i="3" a="1"/>
  <c r="I193" i="3" s="1"/>
  <c r="J193" i="3" s="1"/>
  <c r="I192" i="3" a="1"/>
  <c r="I192" i="3" s="1"/>
  <c r="J192" i="3" s="1"/>
  <c r="I191" i="3" a="1"/>
  <c r="I191" i="3" s="1"/>
  <c r="J191" i="3" s="1"/>
  <c r="I190" i="3" a="1"/>
  <c r="I190" i="3" s="1"/>
  <c r="J190" i="3" s="1"/>
  <c r="I189" i="3" a="1"/>
  <c r="I189" i="3" s="1"/>
  <c r="J189" i="3" s="1"/>
  <c r="I188" i="3" a="1"/>
  <c r="I188" i="3" s="1"/>
  <c r="J188" i="3" s="1"/>
  <c r="I187" i="3" a="1"/>
  <c r="I187" i="3" s="1"/>
  <c r="J187" i="3" s="1"/>
  <c r="I186" i="3" a="1"/>
  <c r="I186" i="3" s="1"/>
  <c r="J186" i="3" s="1"/>
  <c r="I185" i="3" a="1"/>
  <c r="I185" i="3" s="1"/>
  <c r="J185" i="3" s="1"/>
  <c r="I184" i="3" a="1"/>
  <c r="I184" i="3" s="1"/>
  <c r="J184" i="3" s="1"/>
  <c r="I183" i="3" a="1"/>
  <c r="I183" i="3" s="1"/>
  <c r="J183" i="3" s="1"/>
  <c r="I182" i="3" a="1"/>
  <c r="I182" i="3" s="1"/>
  <c r="J182" i="3" s="1"/>
  <c r="I181" i="3" a="1"/>
  <c r="I181" i="3" s="1"/>
  <c r="J181" i="3" s="1"/>
  <c r="I180" i="3" a="1"/>
  <c r="I180" i="3" s="1"/>
  <c r="J180" i="3" s="1"/>
  <c r="I179" i="3" a="1"/>
  <c r="I179" i="3" s="1"/>
  <c r="J179" i="3" s="1"/>
  <c r="I178" i="3" a="1"/>
  <c r="I178" i="3" s="1"/>
  <c r="J178" i="3" s="1"/>
  <c r="I177" i="3" a="1"/>
  <c r="I177" i="3" s="1"/>
  <c r="J177" i="3" s="1"/>
  <c r="I176" i="3" a="1"/>
  <c r="I176" i="3" s="1"/>
  <c r="J176" i="3" s="1"/>
  <c r="I175" i="3" a="1"/>
  <c r="I175" i="3" s="1"/>
  <c r="J175" i="3" s="1"/>
  <c r="I174" i="3" a="1"/>
  <c r="I174" i="3" s="1"/>
  <c r="J174" i="3" s="1"/>
  <c r="I173" i="3" a="1"/>
  <c r="I173" i="3" s="1"/>
  <c r="J173" i="3" s="1"/>
  <c r="I172" i="3" a="1"/>
  <c r="I172" i="3" s="1"/>
  <c r="J172" i="3" s="1"/>
  <c r="I171" i="3" a="1"/>
  <c r="I171" i="3" s="1"/>
  <c r="J171" i="3" s="1"/>
  <c r="I170" i="3" a="1"/>
  <c r="I170" i="3" s="1"/>
  <c r="J170" i="3" s="1"/>
  <c r="I169" i="3" a="1"/>
  <c r="I169" i="3" s="1"/>
  <c r="J169" i="3" s="1"/>
  <c r="I168" i="3" a="1"/>
  <c r="I168" i="3" s="1"/>
  <c r="J168" i="3" s="1"/>
  <c r="I167" i="3" a="1"/>
  <c r="I167" i="3" s="1"/>
  <c r="J167" i="3" s="1"/>
  <c r="I166" i="3" a="1"/>
  <c r="I166" i="3" s="1"/>
  <c r="J166" i="3" s="1"/>
  <c r="I165" i="3" a="1"/>
  <c r="I165" i="3" s="1"/>
  <c r="J165" i="3" s="1"/>
  <c r="I164" i="3" a="1"/>
  <c r="I164" i="3" s="1"/>
  <c r="J164" i="3" s="1"/>
  <c r="I163" i="3" a="1"/>
  <c r="I163" i="3" s="1"/>
  <c r="J163" i="3" s="1"/>
  <c r="I162" i="3" a="1"/>
  <c r="I162" i="3" s="1"/>
  <c r="J162" i="3" s="1"/>
  <c r="I161" i="3" a="1"/>
  <c r="I161" i="3" s="1"/>
  <c r="J161" i="3" s="1"/>
  <c r="I160" i="3" a="1"/>
  <c r="I160" i="3" s="1"/>
  <c r="J160" i="3" s="1"/>
  <c r="I159" i="3" a="1"/>
  <c r="I159" i="3" s="1"/>
  <c r="J159" i="3" s="1"/>
  <c r="I158" i="3" a="1"/>
  <c r="I158" i="3" s="1"/>
  <c r="J158" i="3" s="1"/>
  <c r="I157" i="3" a="1"/>
  <c r="I157" i="3" s="1"/>
  <c r="J157" i="3" s="1"/>
  <c r="I156" i="3" a="1"/>
  <c r="I156" i="3" s="1"/>
  <c r="J156" i="3" s="1"/>
  <c r="I155" i="3" a="1"/>
  <c r="I155" i="3" s="1"/>
  <c r="J155" i="3" s="1"/>
  <c r="I154" i="3" a="1"/>
  <c r="I154" i="3" s="1"/>
  <c r="J154" i="3" s="1"/>
  <c r="I153" i="3" a="1"/>
  <c r="I153" i="3" s="1"/>
  <c r="J153" i="3" s="1"/>
  <c r="I152" i="3" a="1"/>
  <c r="I152" i="3" s="1"/>
  <c r="J152" i="3" s="1"/>
  <c r="I151" i="3" a="1"/>
  <c r="I151" i="3" s="1"/>
  <c r="J151" i="3" s="1"/>
  <c r="I150" i="3" a="1"/>
  <c r="I150" i="3" s="1"/>
  <c r="J150" i="3" s="1"/>
  <c r="I149" i="3" a="1"/>
  <c r="I149" i="3" s="1"/>
  <c r="J149" i="3" s="1"/>
  <c r="I148" i="3" a="1"/>
  <c r="I148" i="3" s="1"/>
  <c r="J148" i="3" s="1"/>
  <c r="I147" i="3" a="1"/>
  <c r="I147" i="3" s="1"/>
  <c r="J147" i="3" s="1"/>
  <c r="I146" i="3" a="1"/>
  <c r="I146" i="3" s="1"/>
  <c r="J146" i="3" s="1"/>
  <c r="I145" i="3" a="1"/>
  <c r="I145" i="3" s="1"/>
  <c r="J145" i="3" s="1"/>
  <c r="I144" i="3" a="1"/>
  <c r="I144" i="3" s="1"/>
  <c r="J144" i="3" s="1"/>
  <c r="I143" i="3" a="1"/>
  <c r="I143" i="3" s="1"/>
  <c r="J143" i="3" s="1"/>
  <c r="I142" i="3" a="1"/>
  <c r="I142" i="3" s="1"/>
  <c r="J142" i="3" s="1"/>
  <c r="I141" i="3" a="1"/>
  <c r="I141" i="3" s="1"/>
  <c r="J141" i="3" s="1"/>
  <c r="I140" i="3" a="1"/>
  <c r="I140" i="3" s="1"/>
  <c r="J140" i="3" s="1"/>
  <c r="I139" i="3" a="1"/>
  <c r="I139" i="3" s="1"/>
  <c r="J139" i="3" s="1"/>
  <c r="I138" i="3" a="1"/>
  <c r="I138" i="3" s="1"/>
  <c r="J138" i="3" s="1"/>
  <c r="I137" i="3" a="1"/>
  <c r="I137" i="3" s="1"/>
  <c r="J137" i="3" s="1"/>
  <c r="I136" i="3" a="1"/>
  <c r="I136" i="3" s="1"/>
  <c r="J136" i="3" s="1"/>
  <c r="I135" i="3" a="1"/>
  <c r="I135" i="3" s="1"/>
  <c r="J135" i="3" s="1"/>
  <c r="I134" i="3" a="1"/>
  <c r="I134" i="3" s="1"/>
  <c r="J134" i="3" s="1"/>
  <c r="I133" i="3" a="1"/>
  <c r="I133" i="3" s="1"/>
  <c r="J133" i="3" s="1"/>
  <c r="I132" i="3" a="1"/>
  <c r="I132" i="3" s="1"/>
  <c r="J132" i="3" s="1"/>
  <c r="I131" i="3" a="1"/>
  <c r="I131" i="3" s="1"/>
  <c r="J131" i="3" s="1"/>
  <c r="I130" i="3" a="1"/>
  <c r="I130" i="3" s="1"/>
  <c r="J130" i="3" s="1"/>
  <c r="I129" i="3" a="1"/>
  <c r="I129" i="3" s="1"/>
  <c r="J129" i="3" s="1"/>
  <c r="I128" i="3" a="1"/>
  <c r="I128" i="3" s="1"/>
  <c r="J128" i="3" s="1"/>
  <c r="I127" i="3" a="1"/>
  <c r="I127" i="3" s="1"/>
  <c r="J127" i="3" s="1"/>
  <c r="I126" i="3" a="1"/>
  <c r="I126" i="3" s="1"/>
  <c r="J126" i="3" s="1"/>
  <c r="I125" i="3" a="1"/>
  <c r="I125" i="3" s="1"/>
  <c r="J125" i="3" s="1"/>
  <c r="I124" i="3" a="1"/>
  <c r="I124" i="3" s="1"/>
  <c r="J124" i="3" s="1"/>
  <c r="I123" i="3" a="1"/>
  <c r="I123" i="3" s="1"/>
  <c r="J123" i="3" s="1"/>
  <c r="I122" i="3" a="1"/>
  <c r="I122" i="3" s="1"/>
  <c r="J122" i="3" s="1"/>
  <c r="I121" i="3" a="1"/>
  <c r="I121" i="3" s="1"/>
  <c r="J121" i="3" s="1"/>
  <c r="I120" i="3" a="1"/>
  <c r="I120" i="3" s="1"/>
  <c r="J120" i="3" s="1"/>
  <c r="I119" i="3" a="1"/>
  <c r="I119" i="3" s="1"/>
  <c r="J119" i="3" s="1"/>
  <c r="I118" i="3" a="1"/>
  <c r="I118" i="3" s="1"/>
  <c r="J118" i="3" s="1"/>
  <c r="I117" i="3" a="1"/>
  <c r="I117" i="3" s="1"/>
  <c r="J117" i="3" s="1"/>
  <c r="I116" i="3" a="1"/>
  <c r="I116" i="3" s="1"/>
  <c r="J116" i="3" s="1"/>
  <c r="I115" i="3" a="1"/>
  <c r="I115" i="3" s="1"/>
  <c r="J115" i="3" s="1"/>
  <c r="I114" i="3" a="1"/>
  <c r="I114" i="3" s="1"/>
  <c r="J114" i="3" s="1"/>
  <c r="I113" i="3" a="1"/>
  <c r="I113" i="3" s="1"/>
  <c r="J113" i="3" s="1"/>
  <c r="I112" i="3" a="1"/>
  <c r="I112" i="3" s="1"/>
  <c r="J112" i="3" s="1"/>
  <c r="I111" i="3" a="1"/>
  <c r="I111" i="3" s="1"/>
  <c r="J111" i="3" s="1"/>
  <c r="I110" i="3" a="1"/>
  <c r="I110" i="3" s="1"/>
  <c r="J110" i="3" s="1"/>
  <c r="I109" i="3" a="1"/>
  <c r="I109" i="3" s="1"/>
  <c r="J109" i="3" s="1"/>
  <c r="I108" i="3" a="1"/>
  <c r="I108" i="3" s="1"/>
  <c r="J108" i="3" s="1"/>
  <c r="I107" i="3" a="1"/>
  <c r="I107" i="3" s="1"/>
  <c r="J107" i="3" s="1"/>
  <c r="I106" i="3" a="1"/>
  <c r="I106" i="3" s="1"/>
  <c r="J106" i="3" s="1"/>
  <c r="I105" i="3" a="1"/>
  <c r="I105" i="3" s="1"/>
  <c r="J105" i="3" s="1"/>
  <c r="I104" i="3" a="1"/>
  <c r="I104" i="3" s="1"/>
  <c r="J104" i="3" s="1"/>
  <c r="I103" i="3" a="1"/>
  <c r="I103" i="3" s="1"/>
  <c r="J103" i="3" s="1"/>
  <c r="I102" i="3" a="1"/>
  <c r="I102" i="3" s="1"/>
  <c r="J102" i="3" s="1"/>
  <c r="I101" i="3" a="1"/>
  <c r="I101" i="3" s="1"/>
  <c r="J101" i="3" s="1"/>
  <c r="I100" i="3" a="1"/>
  <c r="I100" i="3" s="1"/>
  <c r="J100" i="3" s="1"/>
  <c r="I99" i="3" a="1"/>
  <c r="I99" i="3" s="1"/>
  <c r="J99" i="3" s="1"/>
  <c r="I98" i="3" a="1"/>
  <c r="I98" i="3" s="1"/>
  <c r="J98" i="3" s="1"/>
  <c r="I97" i="3" a="1"/>
  <c r="I97" i="3" s="1"/>
  <c r="J97" i="3" s="1"/>
  <c r="I96" i="3" a="1"/>
  <c r="I96" i="3" s="1"/>
  <c r="J96" i="3" s="1"/>
  <c r="I95" i="3" a="1"/>
  <c r="I95" i="3" s="1"/>
  <c r="J95" i="3" s="1"/>
  <c r="I94" i="3" a="1"/>
  <c r="I94" i="3" s="1"/>
  <c r="J94" i="3" s="1"/>
  <c r="I93" i="3" a="1"/>
  <c r="I93" i="3" s="1"/>
  <c r="J93" i="3" s="1"/>
  <c r="I92" i="3" a="1"/>
  <c r="I92" i="3" s="1"/>
  <c r="J92" i="3" s="1"/>
  <c r="I91" i="3" a="1"/>
  <c r="I91" i="3" s="1"/>
  <c r="J91" i="3" s="1"/>
  <c r="I90" i="3" a="1"/>
  <c r="I90" i="3" s="1"/>
  <c r="J90" i="3" s="1"/>
  <c r="I89" i="3" a="1"/>
  <c r="I89" i="3" s="1"/>
  <c r="J89" i="3" s="1"/>
  <c r="I88" i="3" a="1"/>
  <c r="I88" i="3" s="1"/>
  <c r="J88" i="3" s="1"/>
  <c r="I87" i="3" a="1"/>
  <c r="I87" i="3" s="1"/>
  <c r="J87" i="3" s="1"/>
  <c r="I86" i="3" a="1"/>
  <c r="I86" i="3" s="1"/>
  <c r="J86" i="3" s="1"/>
  <c r="I85" i="3" a="1"/>
  <c r="I85" i="3" s="1"/>
  <c r="J85" i="3" s="1"/>
  <c r="I84" i="3" a="1"/>
  <c r="I84" i="3" s="1"/>
  <c r="J84" i="3" s="1"/>
  <c r="I83" i="3" a="1"/>
  <c r="I83" i="3" s="1"/>
  <c r="J83" i="3" s="1"/>
  <c r="I82" i="3" a="1"/>
  <c r="I82" i="3" s="1"/>
  <c r="J82" i="3" s="1"/>
  <c r="I81" i="3" a="1"/>
  <c r="I81" i="3" s="1"/>
  <c r="J81" i="3" s="1"/>
  <c r="I80" i="3" a="1"/>
  <c r="I80" i="3" s="1"/>
  <c r="J80" i="3" s="1"/>
  <c r="I79" i="3" a="1"/>
  <c r="I79" i="3" s="1"/>
  <c r="J79" i="3" s="1"/>
  <c r="I78" i="3" a="1"/>
  <c r="I78" i="3" s="1"/>
  <c r="J78" i="3" s="1"/>
  <c r="I77" i="3" a="1"/>
  <c r="I77" i="3" s="1"/>
  <c r="J77" i="3" s="1"/>
  <c r="I76" i="3" a="1"/>
  <c r="I76" i="3" s="1"/>
  <c r="J76" i="3" s="1"/>
  <c r="I75" i="3" a="1"/>
  <c r="I75" i="3" s="1"/>
  <c r="J75" i="3" s="1"/>
  <c r="I74" i="3" a="1"/>
  <c r="I74" i="3" s="1"/>
  <c r="J74" i="3" s="1"/>
  <c r="I73" i="3" a="1"/>
  <c r="I73" i="3" s="1"/>
  <c r="J73" i="3" s="1"/>
  <c r="I72" i="3" a="1"/>
  <c r="I72" i="3" s="1"/>
  <c r="J72" i="3" s="1"/>
  <c r="I71" i="3" a="1"/>
  <c r="I71" i="3" s="1"/>
  <c r="J71" i="3" s="1"/>
  <c r="I70" i="3" a="1"/>
  <c r="I70" i="3" s="1"/>
  <c r="J70" i="3" s="1"/>
  <c r="I69" i="3" a="1"/>
  <c r="I69" i="3" s="1"/>
  <c r="J69" i="3" s="1"/>
  <c r="I68" i="3" a="1"/>
  <c r="I68" i="3" s="1"/>
  <c r="J68" i="3" s="1"/>
  <c r="I67" i="3" a="1"/>
  <c r="I67" i="3" s="1"/>
  <c r="J67" i="3" s="1"/>
  <c r="I66" i="3" a="1"/>
  <c r="I66" i="3" s="1"/>
  <c r="J66" i="3" s="1"/>
  <c r="I65" i="3" a="1"/>
  <c r="I65" i="3" s="1"/>
  <c r="J65" i="3" s="1"/>
  <c r="I64" i="3" a="1"/>
  <c r="I64" i="3" s="1"/>
  <c r="J64" i="3" s="1"/>
  <c r="I63" i="3" a="1"/>
  <c r="I63" i="3" s="1"/>
  <c r="J63" i="3" s="1"/>
  <c r="I62" i="3" a="1"/>
  <c r="I62" i="3" s="1"/>
  <c r="J62" i="3" s="1"/>
  <c r="I61" i="3" a="1"/>
  <c r="I61" i="3" s="1"/>
  <c r="J61" i="3" s="1"/>
  <c r="I60" i="3" a="1"/>
  <c r="I60" i="3" s="1"/>
  <c r="J60" i="3" s="1"/>
  <c r="I59" i="3" a="1"/>
  <c r="I59" i="3" s="1"/>
  <c r="J59" i="3" s="1"/>
  <c r="I58" i="3" a="1"/>
  <c r="I58" i="3" s="1"/>
  <c r="J58" i="3" s="1"/>
  <c r="I57" i="3" a="1"/>
  <c r="I57" i="3" s="1"/>
  <c r="J57" i="3" s="1"/>
  <c r="I56" i="3" a="1"/>
  <c r="I56" i="3" s="1"/>
  <c r="J56" i="3" s="1"/>
  <c r="I55" i="3" a="1"/>
  <c r="I55" i="3" s="1"/>
  <c r="J55" i="3" s="1"/>
  <c r="I54" i="3" a="1"/>
  <c r="I54" i="3" s="1"/>
  <c r="J54" i="3" s="1"/>
  <c r="I53" i="3" a="1"/>
  <c r="I53" i="3" s="1"/>
  <c r="J53" i="3" s="1"/>
  <c r="I52" i="3" a="1"/>
  <c r="I52" i="3" s="1"/>
  <c r="J52" i="3" s="1"/>
  <c r="I51" i="3" a="1"/>
  <c r="I51" i="3" s="1"/>
  <c r="J51" i="3" s="1"/>
  <c r="I50" i="3" a="1"/>
  <c r="I50" i="3" s="1"/>
  <c r="J50" i="3" s="1"/>
  <c r="I49" i="3" a="1"/>
  <c r="I49" i="3" s="1"/>
  <c r="J49" i="3" s="1"/>
  <c r="I48" i="3" a="1"/>
  <c r="I48" i="3" s="1"/>
  <c r="J48" i="3" s="1"/>
  <c r="I47" i="3" a="1"/>
  <c r="I47" i="3" s="1"/>
  <c r="J47" i="3" s="1"/>
  <c r="I46" i="3" a="1"/>
  <c r="I46" i="3" s="1"/>
  <c r="J46" i="3" s="1"/>
  <c r="I45" i="3" a="1"/>
  <c r="I45" i="3" s="1"/>
  <c r="J45" i="3" s="1"/>
  <c r="I44" i="3" a="1"/>
  <c r="I44" i="3" s="1"/>
  <c r="J44" i="3" s="1"/>
  <c r="I43" i="3" a="1"/>
  <c r="I43" i="3" s="1"/>
  <c r="J43" i="3" s="1"/>
  <c r="I42" i="3" a="1"/>
  <c r="I42" i="3" s="1"/>
  <c r="J42" i="3" s="1"/>
  <c r="I41" i="3" a="1"/>
  <c r="I41" i="3" s="1"/>
  <c r="J41" i="3" s="1"/>
  <c r="I40" i="3" a="1"/>
  <c r="I40" i="3" s="1"/>
  <c r="J40" i="3" s="1"/>
  <c r="I39" i="3" a="1"/>
  <c r="I39" i="3" s="1"/>
  <c r="J39" i="3" s="1"/>
  <c r="I38" i="3" a="1"/>
  <c r="I38" i="3" s="1"/>
  <c r="J38" i="3" s="1"/>
  <c r="I37" i="3" a="1"/>
  <c r="I37" i="3" s="1"/>
  <c r="J37" i="3" s="1"/>
  <c r="I36" i="3" a="1"/>
  <c r="I36" i="3" s="1"/>
  <c r="J36" i="3" s="1"/>
  <c r="I35" i="3" a="1"/>
  <c r="I35" i="3" s="1"/>
  <c r="J35" i="3" s="1"/>
  <c r="I34" i="3" a="1"/>
  <c r="I34" i="3" s="1"/>
  <c r="J34" i="3" s="1"/>
  <c r="I33" i="3" a="1"/>
  <c r="I33" i="3" s="1"/>
  <c r="J33" i="3" s="1"/>
  <c r="I32" i="3" a="1"/>
  <c r="I32" i="3" s="1"/>
  <c r="J32" i="3" s="1"/>
  <c r="I31" i="3" a="1"/>
  <c r="I31" i="3" s="1"/>
  <c r="J31" i="3" s="1"/>
  <c r="I30" i="3" a="1"/>
  <c r="I30" i="3" s="1"/>
  <c r="J30" i="3" s="1"/>
  <c r="I29" i="3" a="1"/>
  <c r="I29" i="3" s="1"/>
  <c r="J29" i="3" s="1"/>
  <c r="I28" i="3" a="1"/>
  <c r="I28" i="3" s="1"/>
  <c r="J28" i="3" s="1"/>
  <c r="I27" i="3" a="1"/>
  <c r="I27" i="3" s="1"/>
  <c r="J27" i="3" s="1"/>
  <c r="I26" i="3" a="1"/>
  <c r="I26" i="3" s="1"/>
  <c r="J26" i="3" s="1"/>
  <c r="I25" i="3" a="1"/>
  <c r="I25" i="3" s="1"/>
  <c r="J25" i="3" s="1"/>
  <c r="I24" i="3" a="1"/>
  <c r="I24" i="3" s="1"/>
  <c r="J24" i="3" s="1"/>
  <c r="I23" i="3" a="1"/>
  <c r="I23" i="3" s="1"/>
  <c r="J23" i="3" s="1"/>
  <c r="I22" i="3" a="1"/>
  <c r="I22" i="3" s="1"/>
  <c r="J22" i="3" s="1"/>
  <c r="I21" i="3" a="1"/>
  <c r="I21" i="3" s="1"/>
  <c r="J21" i="3" s="1"/>
  <c r="I20" i="3" a="1"/>
  <c r="I20" i="3" s="1"/>
  <c r="J20" i="3" s="1"/>
  <c r="I19" i="3" a="1"/>
  <c r="I19" i="3" s="1"/>
  <c r="J19" i="3" s="1"/>
  <c r="I18" i="3" a="1"/>
  <c r="I18" i="3" s="1"/>
  <c r="J18" i="3" s="1"/>
  <c r="I17" i="3" a="1"/>
  <c r="I17" i="3" s="1"/>
  <c r="J17" i="3" s="1"/>
  <c r="I16" i="3" a="1"/>
  <c r="I16" i="3" s="1"/>
  <c r="J16" i="3" s="1"/>
  <c r="I15" i="3" a="1"/>
  <c r="I15" i="3" s="1"/>
  <c r="J15" i="3" s="1"/>
  <c r="I14" i="3" a="1"/>
  <c r="I14" i="3" s="1"/>
  <c r="J14" i="3" s="1"/>
  <c r="I13" i="3" a="1"/>
  <c r="I13" i="3" s="1"/>
  <c r="J13" i="3" s="1"/>
  <c r="I12" i="3" a="1"/>
  <c r="I12" i="3" s="1"/>
  <c r="J12" i="3" s="1"/>
  <c r="I11" i="3" a="1"/>
  <c r="I11" i="3" s="1"/>
  <c r="J11" i="3" s="1"/>
  <c r="I10" i="3" a="1"/>
  <c r="I10" i="3" s="1"/>
  <c r="J10" i="3" s="1"/>
  <c r="I9" i="3" a="1"/>
  <c r="I9" i="3" s="1"/>
  <c r="J9" i="3" s="1"/>
  <c r="I8" i="3" a="1"/>
  <c r="I8" i="3" s="1"/>
  <c r="J8" i="3" s="1"/>
  <c r="I7" i="3" a="1"/>
  <c r="I7" i="3" s="1"/>
  <c r="J7" i="3" s="1"/>
  <c r="I6" i="3" a="1"/>
  <c r="I6" i="3" s="1"/>
  <c r="J6" i="3" s="1"/>
  <c r="I5" i="3" a="1"/>
  <c r="I5" i="3" s="1"/>
  <c r="J5" i="3" s="1"/>
  <c r="I4" i="3" a="1"/>
  <c r="I4" i="3" s="1"/>
  <c r="J4" i="3" s="1"/>
  <c r="I3" i="3" a="1"/>
  <c r="I3" i="3" s="1"/>
  <c r="J3" i="3" s="1"/>
  <c r="E212" i="3" a="1"/>
  <c r="E212" i="3" s="1"/>
  <c r="E211" i="3" a="1"/>
  <c r="E211" i="3" s="1"/>
  <c r="E210" i="3" a="1"/>
  <c r="E210" i="3" s="1"/>
  <c r="E209" i="3" a="1"/>
  <c r="E209" i="3" s="1"/>
  <c r="E208" i="3" a="1"/>
  <c r="E208" i="3" s="1"/>
  <c r="E207" i="3" a="1"/>
  <c r="E207" i="3" s="1"/>
  <c r="E206" i="3" a="1"/>
  <c r="E206" i="3" s="1"/>
  <c r="E205" i="3" a="1"/>
  <c r="E205" i="3" s="1"/>
  <c r="E204" i="3" a="1"/>
  <c r="E204" i="3" s="1"/>
  <c r="E203" i="3" a="1"/>
  <c r="E203" i="3" s="1"/>
  <c r="E201" i="3" a="1"/>
  <c r="E201" i="3" s="1"/>
  <c r="E200" i="3" a="1"/>
  <c r="E200" i="3" s="1"/>
  <c r="E199" i="3" a="1"/>
  <c r="E199" i="3" s="1"/>
  <c r="E198" i="3" a="1"/>
  <c r="E198" i="3" s="1"/>
  <c r="E197" i="3" a="1"/>
  <c r="E197" i="3" s="1"/>
  <c r="E196" i="3" a="1"/>
  <c r="E196" i="3" s="1"/>
  <c r="E195" i="3" a="1"/>
  <c r="E195" i="3" s="1"/>
  <c r="E194" i="3" a="1"/>
  <c r="E194" i="3" s="1"/>
  <c r="E193" i="3" a="1"/>
  <c r="E193" i="3" s="1"/>
  <c r="E192" i="3" a="1"/>
  <c r="E192" i="3" s="1"/>
  <c r="E191" i="3" a="1"/>
  <c r="E191" i="3" s="1"/>
  <c r="E190" i="3" a="1"/>
  <c r="E190" i="3" s="1"/>
  <c r="E189" i="3" a="1"/>
  <c r="E189" i="3" s="1"/>
  <c r="E188" i="3" a="1"/>
  <c r="E188" i="3" s="1"/>
  <c r="E187" i="3" a="1"/>
  <c r="E187" i="3" s="1"/>
  <c r="E186" i="3" a="1"/>
  <c r="E186" i="3" s="1"/>
  <c r="E185" i="3" a="1"/>
  <c r="E185" i="3" s="1"/>
  <c r="E184" i="3" a="1"/>
  <c r="E184" i="3" s="1"/>
  <c r="E183" i="3" a="1"/>
  <c r="E183" i="3" s="1"/>
  <c r="E182" i="3" a="1"/>
  <c r="E182" i="3" s="1"/>
  <c r="E181" i="3" a="1"/>
  <c r="E181" i="3" s="1"/>
  <c r="E180" i="3" a="1"/>
  <c r="E180" i="3" s="1"/>
  <c r="E179" i="3" a="1"/>
  <c r="E179" i="3" s="1"/>
  <c r="E178" i="3" a="1"/>
  <c r="E178" i="3" s="1"/>
  <c r="E177" i="3" a="1"/>
  <c r="E177" i="3" s="1"/>
  <c r="E176" i="3" a="1"/>
  <c r="E176" i="3" s="1"/>
  <c r="E175" i="3" a="1"/>
  <c r="E175" i="3" s="1"/>
  <c r="E174" i="3" a="1"/>
  <c r="E174" i="3" s="1"/>
  <c r="E173" i="3" a="1"/>
  <c r="E173" i="3" s="1"/>
  <c r="E172" i="3" a="1"/>
  <c r="E172" i="3" s="1"/>
  <c r="E171" i="3" a="1"/>
  <c r="E171" i="3" s="1"/>
  <c r="E170" i="3" a="1"/>
  <c r="E170" i="3" s="1"/>
  <c r="E169" i="3" a="1"/>
  <c r="E169" i="3" s="1"/>
  <c r="E168" i="3" a="1"/>
  <c r="E168" i="3" s="1"/>
  <c r="E167" i="3" a="1"/>
  <c r="E167" i="3" s="1"/>
  <c r="E166" i="3" a="1"/>
  <c r="E166" i="3" s="1"/>
  <c r="E165" i="3" a="1"/>
  <c r="E165" i="3" s="1"/>
  <c r="E164" i="3" a="1"/>
  <c r="E164" i="3" s="1"/>
  <c r="E163" i="3" a="1"/>
  <c r="E163" i="3" s="1"/>
  <c r="E162" i="3" a="1"/>
  <c r="E162" i="3" s="1"/>
  <c r="E161" i="3" a="1"/>
  <c r="E161" i="3" s="1"/>
  <c r="E160" i="3" a="1"/>
  <c r="E160" i="3" s="1"/>
  <c r="E159" i="3" a="1"/>
  <c r="E159" i="3" s="1"/>
  <c r="E158" i="3" a="1"/>
  <c r="E158" i="3" s="1"/>
  <c r="E157" i="3" a="1"/>
  <c r="E157" i="3" s="1"/>
  <c r="E156" i="3" a="1"/>
  <c r="E156" i="3" s="1"/>
  <c r="E155" i="3" a="1"/>
  <c r="E155" i="3" s="1"/>
  <c r="E154" i="3" a="1"/>
  <c r="E154" i="3" s="1"/>
  <c r="E153" i="3" a="1"/>
  <c r="E153" i="3" s="1"/>
  <c r="E152" i="3" a="1"/>
  <c r="E152" i="3" s="1"/>
  <c r="E151" i="3" a="1"/>
  <c r="E151" i="3" s="1"/>
  <c r="E150" i="3" a="1"/>
  <c r="E150" i="3" s="1"/>
  <c r="E149" i="3" a="1"/>
  <c r="E149" i="3" s="1"/>
  <c r="E148" i="3" a="1"/>
  <c r="E148" i="3" s="1"/>
  <c r="E147" i="3" a="1"/>
  <c r="E147" i="3" s="1"/>
  <c r="E146" i="3" a="1"/>
  <c r="E146" i="3" s="1"/>
  <c r="E145" i="3" a="1"/>
  <c r="E145" i="3" s="1"/>
  <c r="E144" i="3" a="1"/>
  <c r="E144" i="3" s="1"/>
  <c r="E143" i="3" a="1"/>
  <c r="E143" i="3" s="1"/>
  <c r="E142" i="3" a="1"/>
  <c r="E142" i="3" s="1"/>
  <c r="E141" i="3" a="1"/>
  <c r="E141" i="3" s="1"/>
  <c r="E140" i="3" a="1"/>
  <c r="E140" i="3" s="1"/>
  <c r="E139" i="3" a="1"/>
  <c r="E139" i="3" s="1"/>
  <c r="E138" i="3" a="1"/>
  <c r="E138" i="3" s="1"/>
  <c r="E137" i="3" a="1"/>
  <c r="E137" i="3" s="1"/>
  <c r="E136" i="3" a="1"/>
  <c r="E136" i="3" s="1"/>
  <c r="E135" i="3" a="1"/>
  <c r="E135" i="3" s="1"/>
  <c r="E134" i="3" a="1"/>
  <c r="E134" i="3" s="1"/>
  <c r="E133" i="3" a="1"/>
  <c r="E133" i="3" s="1"/>
  <c r="E132" i="3" a="1"/>
  <c r="E132" i="3" s="1"/>
  <c r="E131" i="3" a="1"/>
  <c r="E131" i="3" s="1"/>
  <c r="E130" i="3" a="1"/>
  <c r="E130" i="3" s="1"/>
  <c r="E129" i="3" a="1"/>
  <c r="E129" i="3" s="1"/>
  <c r="E128" i="3" a="1"/>
  <c r="E128" i="3" s="1"/>
  <c r="E127" i="3" a="1"/>
  <c r="E127" i="3" s="1"/>
  <c r="E126" i="3" a="1"/>
  <c r="E126" i="3" s="1"/>
  <c r="E125" i="3" a="1"/>
  <c r="E125" i="3" s="1"/>
  <c r="E124" i="3" a="1"/>
  <c r="E124" i="3" s="1"/>
  <c r="E123" i="3" a="1"/>
  <c r="E123" i="3" s="1"/>
  <c r="E122" i="3" a="1"/>
  <c r="E122" i="3" s="1"/>
  <c r="E121" i="3" a="1"/>
  <c r="E121" i="3" s="1"/>
  <c r="E120" i="3" a="1"/>
  <c r="E120" i="3" s="1"/>
  <c r="E119" i="3" a="1"/>
  <c r="E119" i="3" s="1"/>
  <c r="E118" i="3" a="1"/>
  <c r="E118" i="3" s="1"/>
  <c r="E117" i="3" a="1"/>
  <c r="E117" i="3" s="1"/>
  <c r="E116" i="3" a="1"/>
  <c r="E116" i="3" s="1"/>
  <c r="E115" i="3" a="1"/>
  <c r="E115" i="3" s="1"/>
  <c r="E114" i="3" a="1"/>
  <c r="E114" i="3" s="1"/>
  <c r="E113" i="3" a="1"/>
  <c r="E113" i="3" s="1"/>
  <c r="E112" i="3" a="1"/>
  <c r="E112" i="3" s="1"/>
  <c r="E111" i="3" a="1"/>
  <c r="E111" i="3" s="1"/>
  <c r="E110" i="3" a="1"/>
  <c r="E110" i="3" s="1"/>
  <c r="E109" i="3" a="1"/>
  <c r="E109" i="3" s="1"/>
  <c r="E108" i="3" a="1"/>
  <c r="E108" i="3" s="1"/>
  <c r="E107" i="3" a="1"/>
  <c r="E107" i="3" s="1"/>
  <c r="E106" i="3" a="1"/>
  <c r="E106" i="3" s="1"/>
  <c r="E105" i="3" a="1"/>
  <c r="E105" i="3" s="1"/>
  <c r="E104" i="3" a="1"/>
  <c r="E104" i="3" s="1"/>
  <c r="E103" i="3" a="1"/>
  <c r="E103" i="3" s="1"/>
  <c r="E102" i="3" a="1"/>
  <c r="E102" i="3" s="1"/>
  <c r="E101" i="3" a="1"/>
  <c r="E101" i="3" s="1"/>
  <c r="E100" i="3" a="1"/>
  <c r="E100" i="3" s="1"/>
  <c r="E99" i="3" a="1"/>
  <c r="E99" i="3" s="1"/>
  <c r="E98" i="3" a="1"/>
  <c r="E98" i="3" s="1"/>
  <c r="E97" i="3" a="1"/>
  <c r="E97" i="3" s="1"/>
  <c r="E96" i="3" a="1"/>
  <c r="E96" i="3" s="1"/>
  <c r="E95" i="3" a="1"/>
  <c r="E95" i="3" s="1"/>
  <c r="E94" i="3" a="1"/>
  <c r="E94" i="3" s="1"/>
  <c r="E93" i="3" a="1"/>
  <c r="E93" i="3" s="1"/>
  <c r="E92" i="3" a="1"/>
  <c r="E92" i="3" s="1"/>
  <c r="E91" i="3" a="1"/>
  <c r="E91" i="3" s="1"/>
  <c r="E90" i="3" a="1"/>
  <c r="E90" i="3" s="1"/>
  <c r="E89" i="3" a="1"/>
  <c r="E89" i="3" s="1"/>
  <c r="E88" i="3" a="1"/>
  <c r="E88" i="3" s="1"/>
  <c r="E87" i="3" a="1"/>
  <c r="E87" i="3" s="1"/>
  <c r="E86" i="3" a="1"/>
  <c r="E86" i="3" s="1"/>
  <c r="E85" i="3" a="1"/>
  <c r="E85" i="3" s="1"/>
  <c r="E84" i="3" a="1"/>
  <c r="E84" i="3" s="1"/>
  <c r="E83" i="3" a="1"/>
  <c r="E83" i="3" s="1"/>
  <c r="E82" i="3" a="1"/>
  <c r="E82" i="3" s="1"/>
  <c r="E81" i="3" a="1"/>
  <c r="E81" i="3" s="1"/>
  <c r="E80" i="3" a="1"/>
  <c r="E80" i="3" s="1"/>
  <c r="E79" i="3" a="1"/>
  <c r="E79" i="3" s="1"/>
  <c r="E78" i="3" a="1"/>
  <c r="E78" i="3" s="1"/>
  <c r="E77" i="3" a="1"/>
  <c r="E77" i="3" s="1"/>
  <c r="E76" i="3" a="1"/>
  <c r="E76" i="3" s="1"/>
  <c r="E75" i="3" a="1"/>
  <c r="E75" i="3" s="1"/>
  <c r="E74" i="3" a="1"/>
  <c r="E74" i="3" s="1"/>
  <c r="E73" i="3" a="1"/>
  <c r="E73" i="3" s="1"/>
  <c r="E72" i="3" a="1"/>
  <c r="E72" i="3" s="1"/>
  <c r="E71" i="3" a="1"/>
  <c r="E71" i="3" s="1"/>
  <c r="E70" i="3" a="1"/>
  <c r="E70" i="3" s="1"/>
  <c r="E69" i="3" a="1"/>
  <c r="E69" i="3" s="1"/>
  <c r="E68" i="3" a="1"/>
  <c r="E68" i="3" s="1"/>
  <c r="E67" i="3" a="1"/>
  <c r="E67" i="3" s="1"/>
  <c r="E66" i="3" a="1"/>
  <c r="E66" i="3" s="1"/>
  <c r="E65" i="3" a="1"/>
  <c r="E65" i="3" s="1"/>
  <c r="E64" i="3" a="1"/>
  <c r="E64" i="3" s="1"/>
  <c r="E63" i="3" a="1"/>
  <c r="E63" i="3" s="1"/>
  <c r="E62" i="3" a="1"/>
  <c r="E62" i="3" s="1"/>
  <c r="E61" i="3" a="1"/>
  <c r="E61" i="3" s="1"/>
  <c r="E60" i="3" a="1"/>
  <c r="E60" i="3" s="1"/>
  <c r="E59" i="3" a="1"/>
  <c r="E59" i="3" s="1"/>
  <c r="E58" i="3" a="1"/>
  <c r="E58" i="3" s="1"/>
  <c r="E57" i="3" a="1"/>
  <c r="E57" i="3" s="1"/>
  <c r="E56" i="3" a="1"/>
  <c r="E56" i="3" s="1"/>
  <c r="E55" i="3" a="1"/>
  <c r="E55" i="3" s="1"/>
  <c r="E54" i="3" a="1"/>
  <c r="E54" i="3" s="1"/>
  <c r="E53" i="3" a="1"/>
  <c r="E53" i="3" s="1"/>
  <c r="E52" i="3" a="1"/>
  <c r="E52" i="3" s="1"/>
  <c r="E51" i="3" a="1"/>
  <c r="E51" i="3" s="1"/>
  <c r="E50" i="3" a="1"/>
  <c r="E50" i="3" s="1"/>
  <c r="E49" i="3" a="1"/>
  <c r="E49" i="3" s="1"/>
  <c r="E48" i="3" a="1"/>
  <c r="E48" i="3" s="1"/>
  <c r="E47" i="3" a="1"/>
  <c r="E47" i="3" s="1"/>
  <c r="E46" i="3" a="1"/>
  <c r="E46" i="3" s="1"/>
  <c r="E45" i="3" a="1"/>
  <c r="E45" i="3" s="1"/>
  <c r="E44" i="3" a="1"/>
  <c r="E44" i="3" s="1"/>
  <c r="E43" i="3" a="1"/>
  <c r="E43" i="3" s="1"/>
  <c r="E42" i="3" a="1"/>
  <c r="E42" i="3" s="1"/>
  <c r="E41" i="3" a="1"/>
  <c r="E41" i="3" s="1"/>
  <c r="E40" i="3" a="1"/>
  <c r="E40" i="3" s="1"/>
  <c r="E39" i="3" a="1"/>
  <c r="E39" i="3" s="1"/>
  <c r="E38" i="3" a="1"/>
  <c r="E38" i="3" s="1"/>
  <c r="E37" i="3" a="1"/>
  <c r="E37" i="3" s="1"/>
  <c r="E36" i="3" a="1"/>
  <c r="E36" i="3" s="1"/>
  <c r="E35" i="3" a="1"/>
  <c r="E35" i="3" s="1"/>
  <c r="E34" i="3" a="1"/>
  <c r="E34" i="3" s="1"/>
  <c r="E33" i="3" a="1"/>
  <c r="E33" i="3" s="1"/>
  <c r="E32" i="3" a="1"/>
  <c r="E32" i="3" s="1"/>
  <c r="E31" i="3" a="1"/>
  <c r="E31" i="3" s="1"/>
  <c r="E30" i="3" a="1"/>
  <c r="E30" i="3" s="1"/>
  <c r="E29" i="3" a="1"/>
  <c r="E29" i="3" s="1"/>
  <c r="E28" i="3" a="1"/>
  <c r="E28" i="3" s="1"/>
  <c r="E27" i="3" a="1"/>
  <c r="E27" i="3" s="1"/>
  <c r="E26" i="3" a="1"/>
  <c r="E26" i="3" s="1"/>
  <c r="E25" i="3" a="1"/>
  <c r="E25" i="3" s="1"/>
  <c r="E24" i="3" a="1"/>
  <c r="E24" i="3" s="1"/>
  <c r="E23" i="3" a="1"/>
  <c r="E23" i="3" s="1"/>
  <c r="E22" i="3" a="1"/>
  <c r="E22" i="3" s="1"/>
  <c r="E21" i="3" a="1"/>
  <c r="E21" i="3" s="1"/>
  <c r="E20" i="3" a="1"/>
  <c r="E20" i="3" s="1"/>
  <c r="E19" i="3" a="1"/>
  <c r="E19" i="3" s="1"/>
  <c r="E18" i="3" a="1"/>
  <c r="E18" i="3" s="1"/>
  <c r="E17" i="3" a="1"/>
  <c r="E17" i="3" s="1"/>
  <c r="E16" i="3" a="1"/>
  <c r="E16" i="3" s="1"/>
  <c r="E15" i="3" a="1"/>
  <c r="E15" i="3" s="1"/>
  <c r="E14" i="3" a="1"/>
  <c r="E14" i="3" s="1"/>
  <c r="E13" i="3" a="1"/>
  <c r="E13" i="3" s="1"/>
  <c r="E12" i="3" a="1"/>
  <c r="E12" i="3" s="1"/>
  <c r="E11" i="3" a="1"/>
  <c r="E11" i="3" s="1"/>
  <c r="E10" i="3" a="1"/>
  <c r="E10" i="3" s="1"/>
  <c r="E9" i="3" a="1"/>
  <c r="E9" i="3" s="1"/>
  <c r="E8" i="3" a="1"/>
  <c r="E8" i="3" s="1"/>
  <c r="E7" i="3" a="1"/>
  <c r="E7" i="3" s="1"/>
  <c r="E6" i="3" a="1"/>
  <c r="E6" i="3" s="1"/>
  <c r="E5" i="3" a="1"/>
  <c r="E5" i="3" s="1"/>
  <c r="E4" i="3" a="1"/>
  <c r="E4" i="3" s="1"/>
  <c r="E3" i="3" a="1"/>
  <c r="E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2"/>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29"/>
        </ext>
      </extLst>
    </bk>
    <bk>
      <extLst>
        <ext uri="{3e2802c4-a4d2-4d8b-9148-e3be6c30e623}">
          <xlrd:rvb i="432"/>
        </ext>
      </extLst>
    </bk>
    <bk>
      <extLst>
        <ext uri="{3e2802c4-a4d2-4d8b-9148-e3be6c30e623}">
          <xlrd:rvb i="434"/>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7"/>
        </ext>
      </extLst>
    </bk>
    <bk>
      <extLst>
        <ext uri="{3e2802c4-a4d2-4d8b-9148-e3be6c30e623}">
          <xlrd:rvb i="549"/>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3"/>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3"/>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5"/>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futureMetadata>
  <cellMetadata count="1">
    <bk>
      <rc t="1" v="0"/>
    </bk>
  </cellMetadata>
  <valueMetadata count="2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valueMetadata>
</metadata>
</file>

<file path=xl/sharedStrings.xml><?xml version="1.0" encoding="utf-8"?>
<sst xmlns="http://schemas.openxmlformats.org/spreadsheetml/2006/main" count="1549" uniqueCount="1344">
  <si>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</si>
  <si>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</si>
  <si>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</si>
  <si>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</si>
  <si>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</si>
  <si>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</si>
  <si>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</si>
  <si>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</si>
  <si>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</si>
  <si>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</si>
  <si>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</si>
  <si>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</si>
  <si>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</si>
  <si>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</si>
  <si>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</si>
  <si>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</si>
  <si>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</si>
  <si>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</si>
  <si>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</si>
  <si>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</si>
  <si>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</si>
  <si>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</si>
  <si>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</si>
  <si>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</si>
  <si>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</si>
  <si>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</si>
  <si>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</si>
  <si>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</si>
  <si>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</si>
  <si>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</si>
  <si>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</si>
  <si>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</si>
  <si>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</si>
  <si>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</si>
  <si>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</si>
  <si>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</si>
  <si>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</si>
  <si>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</si>
  <si>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</si>
  <si>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</si>
  <si>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</si>
  <si>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</si>
  <si>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</si>
  <si>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</si>
  <si>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</si>
  <si>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</si>
  <si>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</si>
  <si>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</si>
  <si>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</si>
  <si>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</si>
  <si>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</si>
  <si>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</si>
  <si>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</si>
  <si>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</si>
  <si>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</si>
  <si>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</si>
  <si>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</si>
  <si>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</si>
  <si>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</si>
  <si>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</si>
  <si>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</si>
  <si>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</si>
  <si>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</si>
  <si>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</si>
  <si>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</si>
  <si>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</si>
  <si>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</si>
  <si>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</si>
  <si>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</si>
  <si>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</si>
  <si>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</si>
  <si>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</si>
  <si>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</si>
  <si>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</si>
  <si>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</si>
  <si>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</si>
  <si>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</si>
  <si>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</si>
  <si>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</si>
  <si>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</si>
  <si>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</si>
  <si>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</si>
  <si>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</si>
  <si>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</si>
  <si>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</si>
  <si>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</si>
  <si>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</si>
  <si>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</si>
  <si>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</si>
  <si>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</si>
  <si>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</si>
  <si>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</si>
  <si>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</si>
  <si>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</si>
  <si>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</si>
  <si>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</si>
  <si>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</si>
  <si>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</si>
  <si>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</si>
  <si>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</si>
  <si>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</si>
  <si>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</si>
  <si>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</si>
  <si>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</si>
  <si>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</si>
  <si>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</si>
  <si>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</si>
  <si>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</si>
  <si>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</si>
  <si>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</si>
  <si>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</si>
  <si>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</si>
  <si>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</si>
  <si>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</si>
  <si>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</si>
  <si>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</si>
  <si>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</si>
  <si>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</si>
  <si>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</si>
  <si>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</si>
  <si>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</si>
  <si>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</si>
  <si>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</si>
  <si>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</si>
  <si>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</si>
  <si>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</si>
  <si>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</si>
  <si>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</si>
  <si>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</si>
  <si>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</si>
  <si>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</si>
  <si>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</si>
  <si>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</si>
  <si>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</si>
  <si>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</si>
  <si>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</si>
  <si>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</si>
  <si>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</si>
  <si>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</si>
  <si>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</si>
  <si>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</si>
  <si>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</si>
  <si>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</si>
  <si>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</si>
  <si>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</si>
  <si>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</si>
  <si>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</si>
  <si>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</si>
  <si>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</si>
  <si>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</si>
  <si>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</si>
  <si>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</si>
  <si>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</si>
  <si>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</si>
  <si>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</si>
  <si>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</si>
  <si>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</si>
  <si>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</si>
  <si>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</si>
  <si>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</si>
  <si>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</si>
  <si>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</si>
  <si>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</si>
  <si>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</si>
  <si>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</si>
  <si>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</si>
  <si>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</si>
  <si>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</si>
  <si>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</si>
  <si>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</si>
  <si>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</si>
  <si>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</si>
  <si>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</si>
  <si>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</si>
  <si>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</si>
  <si>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</si>
  <si>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</si>
  <si>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</si>
  <si>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</si>
  <si>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</si>
  <si>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</si>
  <si>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</si>
  <si>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</si>
  <si>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</si>
  <si>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</si>
  <si>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</si>
  <si>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</si>
  <si>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</si>
  <si>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</si>
  <si>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</si>
  <si>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</si>
  <si>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</si>
  <si>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</si>
  <si>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</si>
  <si>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</si>
  <si>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</si>
  <si>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</si>
  <si>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</si>
  <si>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</si>
  <si>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</si>
  <si>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</si>
  <si>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</si>
  <si>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</si>
  <si>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</si>
  <si>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</si>
  <si>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</si>
  <si>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</si>
  <si>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</si>
  <si>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</si>
  <si>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</si>
  <si>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</si>
  <si>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</si>
  <si>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</si>
  <si>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</si>
  <si>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</si>
  <si>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</si>
  <si>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</si>
  <si>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</si>
  <si>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</si>
  <si>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</si>
  <si>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</si>
  <si>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</si>
  <si>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</si>
  <si>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</si>
  <si>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</si>
  <si>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</si>
  <si>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</si>
  <si>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</si>
  <si>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</si>
  <si>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</si>
  <si>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</si>
  <si>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</si>
  <si>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</si>
  <si>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</si>
  <si>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</si>
  <si>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</si>
  <si>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</si>
  <si>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</si>
  <si>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</si>
  <si>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</si>
  <si>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</si>
  <si>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</si>
  <si>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</si>
  <si>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</si>
  <si>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</si>
  <si>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</si>
  <si>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</si>
  <si>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</si>
  <si>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</si>
  <si>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</si>
  <si>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</si>
  <si>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</si>
  <si>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</si>
  <si>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</si>
  <si>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</si>
  <si>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</si>
  <si>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</si>
  <si>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</si>
  <si>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</si>
  <si>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</si>
  <si>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</si>
  <si>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</si>
  <si>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</si>
  <si>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</si>
  <si>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</si>
  <si>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</si>
  <si>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</si>
  <si>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</si>
  <si>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</si>
  <si>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</si>
  <si>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</si>
  <si>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</si>
  <si>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</si>
  <si>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</si>
  <si>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</si>
  <si>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</si>
  <si>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</si>
  <si>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</si>
  <si>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</si>
  <si>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</si>
  <si>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</si>
  <si>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</si>
  <si>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</si>
  <si>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</si>
  <si>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</si>
  <si>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</si>
  <si>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</si>
  <si>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</si>
  <si>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</si>
  <si>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</si>
  <si>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</si>
  <si>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</si>
  <si>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</si>
  <si>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</si>
  <si>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</si>
  <si>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</si>
  <si>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</si>
  <si>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</si>
  <si>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</si>
  <si>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</si>
  <si>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</si>
  <si>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</si>
  <si>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</si>
  <si>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</si>
  <si>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</si>
  <si>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</si>
  <si>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</si>
  <si>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</si>
  <si>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</si>
  <si>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</si>
  <si>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</si>
  <si>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</si>
  <si>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</si>
  <si>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</si>
  <si>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</si>
  <si>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</si>
  <si>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</si>
  <si>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</si>
  <si>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</si>
  <si>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</si>
  <si>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</si>
  <si>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</si>
  <si>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</si>
  <si>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</si>
  <si>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</si>
  <si>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</si>
  <si>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</si>
  <si>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</si>
  <si>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</si>
  <si>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</si>
  <si>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</si>
  <si>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</si>
  <si>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</si>
  <si>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</si>
  <si>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</si>
  <si>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</si>
  <si>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</si>
  <si>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</si>
  <si>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</si>
  <si>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</si>
  <si>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</si>
  <si>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</si>
  <si>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</si>
  <si>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</si>
  <si>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</si>
  <si>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</si>
  <si>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</si>
  <si>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</si>
  <si>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</si>
  <si>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</si>
  <si>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</si>
  <si>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</si>
  <si>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</si>
  <si>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</si>
  <si>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</si>
  <si>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</si>
  <si>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</si>
  <si>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</si>
  <si>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</si>
  <si>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</si>
  <si>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</si>
  <si>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</si>
  <si>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</si>
  <si>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</si>
  <si>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</si>
  <si>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</si>
  <si>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</si>
  <si>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</si>
  <si>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</si>
  <si>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</si>
  <si>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</si>
  <si>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</si>
  <si>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</si>
  <si>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</si>
  <si>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</si>
  <si>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</si>
  <si>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</si>
  <si>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</si>
  <si>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</si>
  <si>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</si>
  <si>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</si>
  <si>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</si>
  <si>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</si>
  <si>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</si>
  <si>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</si>
  <si>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</si>
  <si>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</si>
  <si>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</si>
  <si>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</si>
  <si>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</si>
  <si>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</si>
  <si>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</si>
  <si>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</si>
  <si>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</si>
  <si>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</si>
  <si>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</si>
  <si>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</si>
  <si>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</si>
  <si>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</si>
  <si>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</si>
  <si>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</si>
  <si>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</si>
  <si>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</si>
  <si>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</si>
  <si>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</si>
  <si>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</si>
  <si>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</si>
  <si>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</si>
  <si>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</si>
  <si>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</si>
  <si>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</si>
  <si>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</si>
  <si>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</si>
  <si>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</si>
  <si>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</si>
  <si>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</si>
  <si>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</si>
  <si>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</si>
  <si>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</si>
  <si>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</si>
  <si>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</si>
  <si>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</si>
  <si>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</si>
  <si>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</si>
  <si>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</si>
  <si>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</si>
  <si>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</si>
  <si>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</si>
  <si>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</si>
  <si>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</si>
  <si>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</si>
  <si>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</si>
  <si>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</si>
  <si>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</si>
  <si>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</si>
  <si>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</si>
  <si>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</si>
  <si>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</si>
  <si>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</si>
  <si>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</si>
  <si>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</si>
  <si>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</si>
  <si>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</si>
  <si>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</si>
  <si>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</si>
  <si>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</si>
  <si>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</si>
  <si>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</si>
  <si>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</si>
  <si>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</si>
  <si>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</si>
  <si>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</si>
  <si>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</si>
  <si>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</si>
  <si>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</si>
  <si>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</si>
  <si>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</si>
  <si>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</si>
  <si>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</si>
  <si>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</si>
  <si>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</si>
  <si>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</si>
  <si>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</si>
  <si>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</si>
  <si>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</si>
  <si>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</si>
  <si>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</si>
  <si>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</si>
  <si>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</si>
  <si>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</si>
  <si>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</si>
  <si>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</si>
  <si>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</si>
  <si>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</si>
  <si>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</si>
  <si>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</si>
  <si>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</si>
  <si>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</si>
  <si>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</si>
  <si>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</si>
  <si>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</si>
  <si>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</si>
  <si>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</si>
  <si>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</si>
  <si>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</si>
  <si>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</si>
  <si>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</si>
  <si>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</si>
  <si>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</si>
  <si>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</si>
  <si>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</si>
  <si>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</si>
  <si>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</si>
  <si>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</si>
  <si>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</si>
  <si>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</si>
  <si>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</si>
  <si>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</si>
  <si>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</si>
  <si>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</si>
  <si>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</si>
  <si>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</si>
  <si>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</si>
  <si>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</si>
  <si>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</si>
  <si>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</si>
  <si>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</si>
  <si>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</si>
  <si>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</si>
  <si>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</si>
  <si>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</si>
  <si>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</si>
  <si>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</si>
  <si>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</si>
  <si>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</si>
  <si>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</si>
  <si>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</si>
  <si>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</si>
  <si>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</si>
  <si>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</si>
  <si>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</si>
  <si>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</si>
  <si>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</si>
  <si>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</si>
  <si>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</si>
  <si>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</si>
  <si>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</si>
  <si>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</si>
  <si>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</si>
  <si>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</si>
  <si>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</si>
  <si>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</si>
  <si>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</si>
  <si>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</si>
  <si>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</si>
  <si>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</si>
  <si>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</si>
  <si>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</si>
  <si>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</si>
  <si>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</si>
  <si>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</si>
  <si>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</si>
  <si>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</si>
  <si>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</si>
  <si>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</si>
  <si>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</si>
  <si>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</si>
  <si>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</si>
  <si>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</si>
  <si>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</si>
  <si>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</si>
  <si>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</si>
  <si>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</si>
  <si>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</si>
  <si>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</si>
  <si>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</si>
  <si>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</si>
  <si>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</si>
  <si>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</si>
  <si>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</si>
  <si>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</si>
  <si>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</si>
  <si>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</si>
  <si>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</si>
  <si>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</si>
  <si>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</si>
  <si>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</si>
  <si>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</si>
  <si>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</si>
  <si>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</si>
  <si>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</si>
  <si>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</si>
  <si>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</si>
  <si>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</si>
  <si>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</si>
  <si>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</si>
  <si>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</si>
  <si>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</si>
  <si>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</si>
  <si>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</si>
  <si>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</si>
  <si>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</si>
  <si>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</si>
  <si>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</si>
  <si>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</si>
  <si>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</si>
  <si>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</si>
  <si>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</si>
  <si>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</si>
  <si>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</si>
  <si>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</si>
  <si>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</si>
  <si>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</si>
  <si>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</si>
  <si>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</si>
  <si>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</si>
  <si>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</si>
  <si>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</si>
  <si>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</si>
  <si>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</si>
  <si>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</si>
  <si>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</si>
  <si>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</si>
  <si>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</si>
  <si>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</si>
  <si>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</si>
  <si>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</si>
  <si>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</si>
  <si>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</si>
  <si>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</si>
  <si>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</si>
  <si>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</si>
  <si>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</si>
  <si>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</si>
  <si>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</si>
  <si>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</si>
  <si>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</si>
  <si>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</si>
  <si>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</si>
  <si>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</si>
  <si>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</si>
  <si>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</si>
  <si>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</si>
  <si>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</si>
  <si>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</si>
  <si>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</si>
  <si>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</si>
  <si>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</si>
  <si>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</si>
  <si>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</si>
  <si>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</si>
  <si>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</si>
  <si>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</si>
  <si>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</si>
  <si>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</si>
  <si>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</si>
  <si>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</si>
  <si>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</si>
  <si>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</si>
  <si>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</si>
  <si>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</si>
  <si>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</si>
  <si>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</si>
  <si>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</si>
  <si>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</si>
  <si>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</si>
  <si>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</si>
  <si>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</si>
  <si>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</si>
  <si>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</si>
  <si>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</si>
  <si>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</si>
  <si>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</si>
  <si>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</si>
  <si>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</si>
  <si>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</si>
  <si>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</si>
  <si>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</si>
  <si>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</si>
  <si>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</si>
  <si>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</si>
  <si>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</si>
  <si>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</si>
  <si>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</si>
  <si>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</si>
  <si>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</si>
  <si>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</si>
  <si>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</si>
  <si>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</si>
  <si>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</si>
  <si>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</si>
  <si>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</si>
  <si>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</si>
  <si>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</si>
  <si>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</si>
  <si>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</si>
  <si>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</si>
  <si>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</si>
  <si>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</si>
  <si>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</si>
  <si>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</si>
  <si>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</si>
  <si>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</si>
  <si>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</si>
  <si>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</si>
  <si>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</si>
  <si>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</si>
  <si>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</si>
  <si>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</si>
  <si>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</si>
  <si>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</si>
  <si>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</si>
  <si>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</si>
  <si>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</si>
  <si>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</si>
  <si>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</si>
  <si>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</si>
  <si>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</si>
  <si>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</si>
  <si>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</si>
  <si>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</si>
  <si>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</si>
  <si>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</si>
  <si>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</si>
  <si>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</si>
  <si>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</si>
  <si>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</si>
  <si>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</si>
  <si>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</si>
  <si>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</si>
  <si>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</si>
  <si>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</si>
  <si>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</si>
  <si>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</si>
  <si>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</si>
  <si>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</si>
  <si>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</si>
  <si>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</si>
  <si>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</si>
  <si>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</si>
  <si>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</si>
  <si>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</si>
  <si>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</si>
  <si>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</si>
  <si>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</si>
  <si>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</si>
  <si>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</si>
  <si>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</si>
  <si>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</si>
  <si>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</si>
  <si>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</si>
  <si>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</si>
  <si>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</si>
  <si>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</si>
  <si>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</si>
  <si>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</si>
  <si>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</si>
  <si>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</si>
  <si>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</si>
  <si>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</si>
  <si>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</si>
  <si>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</si>
  <si>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</si>
  <si>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</si>
  <si>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</si>
  <si>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</si>
  <si>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</si>
  <si>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</si>
  <si>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</si>
  <si>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</si>
  <si>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</si>
  <si>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</si>
  <si>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</si>
  <si>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</si>
  <si>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</si>
  <si>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</si>
  <si>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</si>
  <si>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</si>
  <si>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</si>
  <si>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</si>
  <si>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</si>
  <si>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</si>
  <si>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</si>
  <si>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</si>
  <si>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</si>
  <si>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</si>
  <si>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</si>
  <si>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</si>
  <si>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</si>
  <si>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</si>
  <si>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</si>
  <si>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</si>
  <si>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</si>
  <si>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</si>
  <si>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</si>
  <si>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</si>
  <si>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</si>
  <si>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</si>
  <si>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</si>
  <si>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</si>
  <si>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</si>
  <si>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</si>
  <si>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</si>
  <si>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</si>
  <si>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</si>
  <si>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</si>
  <si>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</si>
  <si>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</si>
  <si>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</si>
  <si>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</si>
  <si>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</si>
  <si>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</si>
  <si>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</si>
  <si>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</si>
  <si>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</si>
  <si>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</si>
  <si>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</si>
  <si>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</si>
  <si>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</si>
  <si>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</si>
  <si>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</si>
  <si>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</si>
  <si>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</si>
  <si>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</si>
  <si>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</si>
  <si>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</si>
  <si>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</si>
  <si>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</si>
  <si>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</si>
  <si>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</si>
  <si>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</si>
  <si>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</si>
  <si>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</si>
  <si>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</si>
  <si>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</si>
  <si>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</si>
  <si>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</si>
  <si>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</si>
  <si>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</si>
  <si>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</si>
  <si>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</si>
  <si>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</si>
  <si>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</si>
  <si>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</si>
  <si>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</si>
  <si>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</si>
  <si>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</si>
  <si>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</si>
  <si>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</si>
  <si>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</si>
  <si>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</si>
  <si>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</si>
  <si>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</si>
  <si>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</si>
  <si>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</si>
  <si>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</si>
  <si>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</si>
  <si>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</si>
  <si>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</si>
  <si>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</si>
  <si>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</si>
  <si>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</si>
  <si>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</si>
  <si>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</si>
  <si>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</si>
  <si>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</si>
  <si>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</si>
  <si>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</si>
  <si>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</si>
  <si>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</si>
  <si>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</si>
  <si>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</si>
  <si>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</si>
  <si>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</si>
  <si>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</si>
  <si>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</si>
  <si>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</si>
  <si>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</si>
  <si>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</si>
  <si>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</si>
  <si>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</si>
  <si>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</si>
  <si>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</si>
  <si>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</si>
  <si>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</si>
  <si>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</si>
  <si>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</si>
  <si>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</si>
  <si>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</si>
  <si>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</si>
  <si>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</si>
  <si>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</si>
  <si>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</si>
  <si>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</si>
  <si>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</si>
  <si>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</si>
  <si>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</si>
  <si>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</si>
  <si>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</si>
  <si>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</si>
  <si>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</si>
  <si>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</si>
  <si>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</si>
  <si>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</si>
  <si>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</si>
  <si>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</si>
  <si>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</si>
  <si>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</si>
  <si>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</si>
  <si>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</si>
  <si>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</si>
  <si>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</si>
  <si>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</si>
  <si>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</si>
  <si>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</si>
  <si>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</si>
  <si>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</si>
  <si>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</si>
  <si>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</si>
  <si>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</si>
  <si>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</si>
  <si>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</si>
  <si>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</si>
  <si>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</si>
  <si>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</si>
  <si>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</si>
  <si>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</si>
  <si>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</si>
  <si>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</si>
  <si>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</si>
  <si>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</si>
  <si>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</si>
  <si>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</si>
  <si>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</si>
  <si>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</si>
  <si>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</si>
  <si>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</si>
  <si>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</si>
  <si>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</si>
  <si>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</si>
  <si>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</si>
  <si>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</si>
  <si>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</si>
  <si>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</si>
  <si>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</si>
  <si>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</si>
  <si>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</si>
  <si>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</si>
  <si>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</si>
  <si>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</si>
  <si>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</si>
  <si>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</si>
  <si>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</si>
  <si>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</si>
  <si>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</si>
  <si>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</si>
  <si>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</si>
  <si>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</si>
  <si>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</si>
  <si>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</si>
  <si>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</si>
  <si>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</si>
  <si>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</si>
  <si>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</si>
  <si>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</si>
  <si>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</si>
  <si>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</si>
  <si>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</si>
  <si>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</si>
  <si>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</si>
  <si>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</si>
  <si>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</si>
  <si>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</si>
  <si>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</si>
  <si>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</si>
  <si>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</si>
  <si>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</si>
  <si>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</si>
  <si>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</si>
  <si>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</si>
  <si>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</si>
  <si>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</si>
  <si>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</si>
  <si>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</si>
  <si>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</si>
  <si>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</si>
  <si>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</si>
  <si>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</si>
  <si>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</si>
  <si>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</si>
  <si>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</si>
  <si>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</si>
  <si>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</si>
  <si>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</si>
  <si>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</si>
  <si>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</si>
  <si>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</si>
  <si>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</si>
  <si>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</si>
  <si>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</si>
  <si>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</si>
  <si>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</si>
  <si>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</si>
  <si>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</si>
  <si>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</si>
  <si>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</si>
  <si>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</si>
  <si>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</si>
  <si>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</si>
  <si>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</si>
  <si>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</si>
  <si>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</si>
  <si>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</si>
  <si>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</si>
  <si>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</si>
  <si>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</si>
  <si>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</si>
  <si>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</si>
  <si>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</si>
  <si>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</si>
  <si>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</si>
  <si>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</si>
  <si>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</si>
  <si>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</si>
  <si>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</si>
  <si>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</si>
  <si>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</si>
  <si>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</si>
  <si>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</si>
  <si>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</si>
  <si>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</si>
  <si>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</si>
  <si>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</si>
  <si>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</si>
  <si>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</si>
  <si>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</si>
  <si>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</si>
  <si>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</si>
  <si>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</si>
  <si>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</si>
  <si>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</si>
  <si>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</si>
  <si>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</si>
  <si>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</si>
  <si>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</si>
  <si>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</si>
  <si>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</si>
  <si>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</si>
  <si>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</si>
  <si>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</si>
  <si>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</si>
  <si>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</si>
  <si>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</si>
  <si>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</si>
  <si>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</si>
  <si>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</si>
  <si>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</si>
  <si>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</si>
  <si>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</si>
  <si>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</si>
  <si>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</si>
  <si>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</si>
  <si>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</si>
  <si>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</si>
  <si>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</si>
  <si>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</si>
  <si>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</si>
  <si>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</si>
  <si>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</si>
  <si>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</si>
  <si>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</si>
  <si>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</si>
  <si>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</si>
  <si>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</si>
  <si>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</si>
  <si>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</si>
  <si>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</si>
  <si>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</si>
  <si>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</si>
  <si>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</si>
  <si>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</si>
  <si>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</si>
  <si>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</si>
  <si>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</si>
  <si>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</si>
  <si>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</si>
  <si>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</si>
  <si>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</si>
  <si>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</si>
  <si>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</si>
  <si>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</si>
  <si>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</si>
  <si>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</si>
  <si>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</si>
  <si>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</si>
  <si>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</si>
  <si>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</si>
  <si>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</si>
  <si>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</si>
  <si>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</si>
  <si>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</si>
  <si>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</si>
  <si>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</si>
  <si>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</si>
  <si>
    <t>Name,"Average Vol. (3m)","Market Cap","Revenue","P/E Ratio","Beta"</t>
  </si>
  <si>
    <t>Inditex,"1.84M","176.61B","39.38B","29.23","0.97"</t>
  </si>
  <si>
    <t>Santander,"21.57M","156.86B","108.11B","12.71","0.96"</t>
  </si>
  <si>
    <t>Airbus Group,"3.85K","149.02B","72.15B","29.55","0.94"</t>
  </si>
  <si>
    <t>Iberdrola,"6.46M","126.64B","45.49B","24.73","0.65"</t>
  </si>
  <si>
    <t>BBVA,"7.96M","124.65B","59.86B","12.66","1.01"</t>
  </si>
  <si>
    <t>PETROBRAS ON,"47.38K","81.08B","0.00","",""</t>
  </si>
  <si>
    <t>PETROBRAS PN,"47.75K","81.08B","0.00","",""</t>
  </si>
  <si>
    <t>Caixabank,"6.01M","80.07B","0.00","13.82","0.10"</t>
  </si>
  <si>
    <t>VALE ON,"7.33K","61.38B","0.00","12.59",""</t>
  </si>
  <si>
    <t>Ferrovial,"705.4K","41.56B","9.35B","11.99","0.76"</t>
  </si>
  <si>
    <t>Aena,"1.18M","40.5B","6.17B","19.67","0.90"</t>
  </si>
  <si>
    <t>Coca-Cola European,"3.34K","36.15B","20.88B","24.25","0.58"</t>
  </si>
  <si>
    <t>ArcelorMittal,"175.48K","36.07B","61.10B","16.65","1.68"</t>
  </si>
  <si>
    <t>BRADESCO PN EJ N1 ,"3.17K","35.37B","0.00","10.28",""</t>
  </si>
  <si>
    <t>Endesa,"708.16K","32.66B","21.12B","15.16","0.65"</t>
  </si>
  <si>
    <t>Grupo Financiero Banorte,"286","26.96B","0.00","9.23",""</t>
  </si>
  <si>
    <t>Centrais Eletricas Brasileiras,"204","26.1B","0.00","",""</t>
  </si>
  <si>
    <t>Naturgy Energy,"1.32M","25.63B","19.93B","12.89","0.45"</t>
  </si>
  <si>
    <t>ACS,"373.25K","23.84B","48.69B","27.36","0.53"</t>
  </si>
  <si>
    <t>Amadeus,"657.04K","23.36B","6.44B","17.65","0.70"</t>
  </si>
  <si>
    <t>IAG,"7.09M","22.84B","33.28B","7.80","1.40"</t>
  </si>
  <si>
    <t>Telefonica,"12.04M","20.55B","41.62B","-19.78","0.24"</t>
  </si>
  <si>
    <t>Repsol,"3.89M","18.26B","48.91B","17.82","0.19"</t>
  </si>
  <si>
    <t>Cellnex Telecom,"1.38M","18.21B","4.10B","-124.91","1.23"</t>
  </si>
  <si>
    <t>Banco de Sabadell,"12.46M","16.94B","0.00","9.34","0.65"</t>
  </si>
  <si>
    <t>Bankinter,"1.53M","13.34B","3.89B","","-0.05"</t>
  </si>
  <si>
    <t>Mapfre,"4.34M","12.09B","30.38B","10.59","0.27"</t>
  </si>
  <si>
    <t>Acciona,"66.97K","9.94B","21.69B","11.93","0.87"</t>
  </si>
  <si>
    <t>Puig Brands,"589.73K","9.45B","4.92B","12.12","0.82"</t>
  </si>
  <si>
    <t>Indra A,"811.69K","8.2B","5.18B","21.36","0.65"</t>
  </si>
  <si>
    <t>Redeia Corporacion,"1.28M","8.15B","1.69B","22.64","0.45"</t>
  </si>
  <si>
    <t>Unicaja Banco,"4.89M","7.26B","2.42B","7.89","0.44"</t>
  </si>
  <si>
    <t>Merlin Properties SA,"862.36K","7.23B","536.47M","10.23","0.97"</t>
  </si>
  <si>
    <t>Corporacion Acciona Energias Renovables,"247.5K","6.99B","4.53B","9.33","0.55"</t>
  </si>
  <si>
    <t>GERDAU PN N1,"2.37K","6.98B","0.00","",""</t>
  </si>
  <si>
    <t>Grifols Pref,"109.69K","6.69B","7.52B","19.56","1.19"</t>
  </si>
  <si>
    <t>Grifols,"1.36M","6.69B","7.52B","19.56","1.19"</t>
  </si>
  <si>
    <t>Energy of Minas Gerais Prf,"6.96K","6B","0.00","",""</t>
  </si>
  <si>
    <t>FCC,"18.55K","5.35B","9.57B","27.44","1.12"</t>
  </si>
  <si>
    <t>Sigma Foods,"726","4.82B","0.00","21.32",""</t>
  </si>
  <si>
    <t>Fluidra,"219.51K","4.78B","2.25B","26.94","1.01"</t>
  </si>
  <si>
    <t>Logista,"197.57K","4.2B","13.54B","14.97","0.50"</t>
  </si>
  <si>
    <t>GGC,"115","4.19B","226.37M","26.40","-0.04"</t>
  </si>
  <si>
    <t>Grupo Elektra,"101","3.82B","0.00","-15.52",""</t>
  </si>
  <si>
    <t>Laborat.Rovi,"102.31K","3.77B","724.20M","31.24","0.15"</t>
  </si>
  <si>
    <t>Enagas,"955.04K","3.72B","949.35M","-11.42","0.35"</t>
  </si>
  <si>
    <t>Cie Automotive,"53.78K","3.48B","3.92B","10.51","0.81"</t>
  </si>
  <si>
    <t>Banco BBVA Argentina,"3.71K","3.33B","0.00","31.38",""</t>
  </si>
  <si>
    <t>Inmobiliaria Colonial,"1.38M","3.27B","519.00M","7.40","1.30"</t>
  </si>
  <si>
    <t>Sacyr,"1.89M","3.18B","4.73B","24.25","0.76"</t>
  </si>
  <si>
    <t>Acerinox,"861.13K","3.13B","5.80B","44.81","1.04"</t>
  </si>
  <si>
    <t>Vidrala,"22.14K","3.1B","1.54B","13.23","0.92"</t>
  </si>
  <si>
    <t>Ebro Foods,"31.46K","2.88B","3.07B","","0.16"</t>
  </si>
  <si>
    <t>MFE MEDIAFOREUROPE A,"10.37K","2.79B","2.88B","13.60","1.10"</t>
  </si>
  <si>
    <t>Almirall,"167.08K","2.78B","1.09B","66.34","0.17"</t>
  </si>
  <si>
    <t>Aperam,"1.69K","2.61B","6.19B","-327.19","1.59"</t>
  </si>
  <si>
    <t>Grenergy Renovables SA,"43.03K","2.59B","1.05B","26.26","1.73"</t>
  </si>
  <si>
    <t>Viscofan,"77.64K","2.58B","1.24B","16.21","0.163"</t>
  </si>
  <si>
    <t>Cirsa Enterprises,"126.56K","2.39B","2.30B","24.54",""</t>
  </si>
  <si>
    <t>Tecnicas Reunidas,"123.88K","2.36B","5.83B","17.73","1.08"</t>
  </si>
  <si>
    <t>DIA,"36.95K","2.25B","5.86B","58.81","0.84"</t>
  </si>
  <si>
    <t>Elecnor,"118.52K","2.24B","4.10B","-24.17","0.79"</t>
  </si>
  <si>
    <t>Solaria,"921.96K","2.17B","311.99M","12.56","1.35"</t>
  </si>
  <si>
    <t>Neinor Homes,"120.56K","1.99B","462.55M","27.21","0.24"</t>
  </si>
  <si>
    <t>HBX International,"333.23K","1.92B","720.00M","-25.13",""</t>
  </si>
  <si>
    <t>Construcciones y Auxiliar,"32.84K","1.91B","4.47B","13.48","0.90"</t>
  </si>
  <si>
    <t>Gestamp Automocion,"269.15K","1.78B","11.67B","11.43","0.99"</t>
  </si>
  <si>
    <t>Inmocemento,"19.1K","1.77B","953.35M","5.13",""</t>
  </si>
  <si>
    <t>Melia Hotels,"219.72K","1.7B","2.08B","10.05","0.97"</t>
  </si>
  <si>
    <t>Faes Farma,"135.76K","1.63B","571.12M","15.57","0.19"</t>
  </si>
  <si>
    <t>Realia,"29.81K","1.59B","134.96M","19.32","0.14"</t>
  </si>
  <si>
    <t>Metrovacesa,"208.63K","1.57B","555.25M","-455.95","0.84"</t>
  </si>
  <si>
    <t>BRADESPAR PN,"1.55K","1.52B","0.00","",""</t>
  </si>
  <si>
    <t>BRADESPAR ON,"1.43K","1.52B","0.00","",""</t>
  </si>
  <si>
    <t>Prosegur,"240.17K","1.5B","5.00B","11.81","1.02"</t>
  </si>
  <si>
    <t>Arteche Lantegi Elkartea,"16.42K","1.4B","485.43M","29.98","0.39"</t>
  </si>
  <si>
    <t>Pharma Mar,"35.15K","1.33B","179.28M","39.78","0.25"</t>
  </si>
  <si>
    <t>USIMINAS PNA,"8.39K","1.31B","0.00","",""</t>
  </si>
  <si>
    <t>USIMINAS ON,"2.04K","1.31B","0.00","",""</t>
  </si>
  <si>
    <t>Linea Directa Aseguradora,"582.21K","1.27B","1.16B","14.63","0.29"</t>
  </si>
  <si>
    <t>GMP Property,"5","1.23B","125.78M","6.35","-0.01"</t>
  </si>
  <si>
    <t>BRASKEM PNA,"2.61K","1.17B","0.00","",""</t>
  </si>
  <si>
    <t>Atresmedia,"367.54K","1.17B","902.39M","10.20","0.76"</t>
  </si>
  <si>
    <t>Volcan Cmp Min,"66.8K","1.16B","0.00","",""</t>
  </si>
  <si>
    <t>Aedas Homes,"48.77K","1.04B","1.20B","8.18","0.83"</t>
  </si>
  <si>
    <t>Castellana Properties,"541","1.02B","153.18M","8.93","0.08"</t>
  </si>
  <si>
    <t>Vivenio Residencial,"1K","995.57M","69.45M","11.26",""</t>
  </si>
  <si>
    <t>Prosegur Cash,"1.04M","944.93M","2.06B","10.69","0.54"</t>
  </si>
  <si>
    <t>Clinica Baviera,"3.29K","826.22M","296.76M","20.41","0.74"</t>
  </si>
  <si>
    <t>Cox Abg,"9.99K","803.07M","981.46M","57.42",""</t>
  </si>
  <si>
    <t>Renta 4 Banco,"3.07K","777.24M","257.60M","19.69","0.17"</t>
  </si>
  <si>
    <t>Helios RE,"64.21K","694.65M","97.03M","11.22","0.72"</t>
  </si>
  <si>
    <t>Amrest,"29.93K","690.31M","2.59B","30.85","0.53"</t>
  </si>
  <si>
    <t>Audax Renovables,"356.61K","595.73M","1.97B","16.36","1.47"</t>
  </si>
  <si>
    <t>Zambal Spain Socimi SA,"630","587.39M","62.92M","22.75","0.08"</t>
  </si>
  <si>
    <t>EBRO EV,"5.25K","581.39M","43.96M","-16.81","0.37"</t>
  </si>
  <si>
    <t>Empresarial San Jose,"57.34K","555.32M","1.56B","14.83","0.83"</t>
  </si>
  <si>
    <t>ENCE,"414.02K","554.18M","783.52M","-18.00","0.20"</t>
  </si>
  <si>
    <t>Miquel Cost.,"7.43K","533.48M","315.11M","11.54","0.26"</t>
  </si>
  <si>
    <t>Global Dominion,"202.29K","517.39M","1.21B","18.25","0.74"</t>
  </si>
  <si>
    <t>Atom Hoteles,"855","506.9M","63.62M","5.16","0.15"</t>
  </si>
  <si>
    <t>OHL,"6.03M","494.91M","3.57B","-11.66","1.17"</t>
  </si>
  <si>
    <t>Altia Consultores S.A.,"3.29K","487.25M","255.78M","31.56","0.14"</t>
  </si>
  <si>
    <t>Promotora Informaciones,"75.19K","463.51M","888.46M","-20.24","0.74"</t>
  </si>
  <si>
    <t>Tubacex,"296.91K","421.87M","733.85M","13.05","1.01"</t>
  </si>
  <si>
    <t>Nueva Expresion,"1.2M","411.36M","30.64M","83.72","0.75"</t>
  </si>
  <si>
    <t>Testa Residencial,"18","410.74M","109.70M","28.36","-0.01"</t>
  </si>
  <si>
    <t>Amper,"11.92M","407.43M","384.49M","27.18","0.72"</t>
  </si>
  <si>
    <t>Talgo,"198.56K","389.8M","596.60M","-1.95","1.35"</t>
  </si>
  <si>
    <t>Fidere Patrimonio SOCIMI SA,"149","381.32M","52.95M","-44.75","-0.06"</t>
  </si>
  <si>
    <t>eDreams Odigeo SA,"712.75K","369.97M","687.11M","5.44","1.37"</t>
  </si>
  <si>
    <t>Alantra Partners,"23.73K","340.92M","207.77M","26.87","0.48"</t>
  </si>
  <si>
    <t>Hotei Properties,"10.09K","335.84M","29.83M","5.80","-0.16"</t>
  </si>
  <si>
    <t>Izertis,"13.38K","332.21M","147.25M","53.67","-0.08"</t>
  </si>
  <si>
    <t>Saint Croix Holding Immobilier,"427","320.56M","39.88M","14.93",""</t>
  </si>
  <si>
    <t>Ercros,"101.33K","313.17M","645.40M","-6.87","0.39"</t>
  </si>
  <si>
    <t>Natac Natural Ingredients,"40.82K","302.13M","35.71M","1,000.00","-0.41"</t>
  </si>
  <si>
    <t>Inmobiliaria del Sur,"3.47K","293.39M","216.09M","9.91","0.28"</t>
  </si>
  <si>
    <t>Grupo Ecoener,"11.09K","284.64M","82.76M","26.06","0.68"</t>
  </si>
  <si>
    <t>Silicius Real Estate SOCIMI,"100","280.66M","32.74M","-40.63","-0.04"</t>
  </si>
  <si>
    <t>Soltec Power,"2.57M","267.09M","214.53M","","1.86"</t>
  </si>
  <si>
    <t>Secuoya Grupo de Comunicacion S.A.,"92","255.05M","123.55M","30.53","0.11"</t>
  </si>
  <si>
    <t>Oryzon Genomics,"557.69K","250.75M","8.63M","-73.84","0.41"</t>
  </si>
  <si>
    <t>Arima Real Estate,"454","247.79M","12.19M","-15.29","0.09"</t>
  </si>
  <si>
    <t>Vitruvio Real Estate,"7.46K","245.6M","9.85M","34.41","0.01"</t>
  </si>
  <si>
    <t>IRG10 SOCIMI,"286","237.75M","23.71M","22.23","0.09"</t>
  </si>
  <si>
    <t>Cox Energy America,"2.22K","236.26M","8.99B","38.56","0.06"</t>
  </si>
  <si>
    <t>Squirrel Media,"41.3K","231.19M","184.53M","","0.59"</t>
  </si>
  <si>
    <t>Iberpapel Gestion,"5.78K","228.93M","222.96M","17.73","0.44"</t>
  </si>
  <si>
    <t>Laboratorio Reig Jofre,"29.41K","224.64M","330.34M","52.68","1.05"</t>
  </si>
  <si>
    <t>Atrys Health,"82.69K","221.55M","226.24M","-9.19","0.64"</t>
  </si>
  <si>
    <t>All Iron Re,"1.05K","220.69M","7.59M","15.99","0.21"</t>
  </si>
  <si>
    <t>Aplicaciones y Tratamientos de Sistemas,"1.25K","218.47M","185.73M","30.56","-0.56"</t>
  </si>
  <si>
    <t>Prim,"4.1K","216.1M","240.68M","14.94","0.52"</t>
  </si>
  <si>
    <t>JSS RE,"17.24K","212.45M","19.69M","1.93","-0.10"</t>
  </si>
  <si>
    <t>Azkoyen,"4.57K","211.14M","201.12M","10.98","0.49"</t>
  </si>
  <si>
    <t>Trivium RE,"123","202.64M","39.74M","21.79",""</t>
  </si>
  <si>
    <t>Indexa Capital,"836","190.36M","6.74M","205.66","0.42"</t>
  </si>
  <si>
    <t>Ores Socimi,"6.47K","187.65M","24.01M","32.89","0.09"</t>
  </si>
  <si>
    <t>Viviendas en Alquiler,"609","180.64M","46.39M","8.40","0.02"</t>
  </si>
  <si>
    <t>Bytetravel,"743","161.91M","10.84M","47.91","-0.29"</t>
  </si>
  <si>
    <t>La Finca Global Assets Socimi,"827","159.49M","51.96M","22.63","-0.21"</t>
  </si>
  <si>
    <t>Inversiones Doalca,"189","156.64M","11.64M","21.78","-0.02"</t>
  </si>
  <si>
    <t>Airtificial Intelligence,"1.63M","152.47M","112.38M","-28.82","1.61"</t>
  </si>
  <si>
    <t>Berkeley Energy,"1.29M","151.84M","0.00","-45.08","1.37"</t>
  </si>
  <si>
    <t>Naturhouse Health SA,"65.52K","145.08M","47.81M","15.00","0.27"</t>
  </si>
  <si>
    <t>General Alquiler Maquinaria,"19.91K","143.66M","312.81M","28.15","0.67"</t>
  </si>
  <si>
    <t>Adriano Care SOCIMI,"603","124.48M","17.41M","11.24","-0.06"</t>
  </si>
  <si>
    <t>Isc Fresh Water,"263","124.45M","26.75M","10.86","-0.04"</t>
  </si>
  <si>
    <t>Torimbia,"185","121.83M","0.00","",""</t>
  </si>
  <si>
    <t>Deoleo,"819.99K","120M","924.35M","-3.23","0.73"</t>
  </si>
  <si>
    <t>Tempore Properties,"2.25K","117.88M","3.11M","-57.54","0.02"</t>
  </si>
  <si>
    <t>Nicolas Correa,"4.55K","117.67M","119.39M","9.02","0.48"</t>
  </si>
  <si>
    <t>Tander Inversiones SOCIMI,"428","113.43M","7.89M","62.55","-0.02"</t>
  </si>
  <si>
    <t>Aeternal Mentis,"10","112.52M","2.24K","-58.82","-0.10"</t>
  </si>
  <si>
    <t>Grupo Greening 2022,"7.13K","112.31M","0.00","-10.18","-0.38"</t>
  </si>
  <si>
    <t>Clerhp Estructuras,"35.49K","111.47M","15.61M","-243.58","0.78"</t>
  </si>
  <si>
    <t>AM Locales Property,"600","107.42M","8.52M","297.65","-0.03"</t>
  </si>
  <si>
    <t>Singular People SL,"8.56K","107.09M","115.66M","","0.16"</t>
  </si>
  <si>
    <t>Entre Cua Socimi,"592","102.48M","7.53M","54.22","0.09"</t>
  </si>
  <si>
    <t>Gop Properties,"652","100.73M","12.64M","12.39","-0.08"</t>
  </si>
  <si>
    <t>Hispanotels Inversiones SOCIMI,"285","100.51M","8.82M","10.54","-0.13"</t>
  </si>
  <si>
    <t>Serrano 61 Desarrollo,"54","98.66M","4.91M","-52.11","0.01"</t>
  </si>
  <si>
    <t>Urbas Grupo,"19.56M","98.11M","171.09M","-0.70","-0.64"</t>
  </si>
  <si>
    <t>Meridia RE III,"67","98.07M","26.32M","-9.40","0.33"</t>
  </si>
  <si>
    <t>ADVERO Properties Socimi,"261","97.8M","3.65M","","0.06"</t>
  </si>
  <si>
    <t>Veracruz Socimi,"400","88.74M","12.20M","21.71","-0.01"</t>
  </si>
  <si>
    <t>IBI Lion,"750","86.48M","0.00","",""</t>
  </si>
  <si>
    <t>Santa Ana Global Enterprises,"94","84.77M","0.00","-66.29","-0.35"</t>
  </si>
  <si>
    <t>Axon Partners,"417","83.33M","14.76M","17.17","-0.24"</t>
  </si>
  <si>
    <t>Vytrus Biotech,"15.45K","82.77M","8.09M","45.69","0.03"</t>
  </si>
  <si>
    <t>Llorente Cuenca Madrid SA,"1.25K","79.11M","95.87M","14.17","0.42"</t>
  </si>
  <si>
    <t>Making Science,"2.67K","77.72M","314.94M","-19.81","1.18"</t>
  </si>
  <si>
    <t>Libertas 7,"6.65K","77.63M","12.75M","20.66","0.49"</t>
  </si>
  <si>
    <t>Vocento,"52.53K","77.1M","340.56M","-0.79","0.80"</t>
  </si>
  <si>
    <t>TV Azteca Cpo,"1","72.95M","0.00","",""</t>
  </si>
  <si>
    <t>Inversa Prime,"6.25K","72.75M","3.45M","12.21","-0.13"</t>
  </si>
  <si>
    <t>Umbrella Solar Investment,"2.3K","71.81M","17.33M","-14.19","0.22"</t>
  </si>
  <si>
    <t>Energy Solar Tech,"11.86K","70.05M","0.00","161.59","1.62"</t>
  </si>
  <si>
    <t>Alquiber Quality,"399","68.11M","153.25M","15.24","-0.20"</t>
  </si>
  <si>
    <t>MilePro Logistica Ultima Milla,"205","66.22M","0.00","",""</t>
  </si>
  <si>
    <t>Seresco,"2.93K","66M","0.00","",""</t>
  </si>
  <si>
    <t>Optimum Re Spain,"1","64.63M","197.11K","-12.66",""</t>
  </si>
  <si>
    <t>Energia Innovacion y Desarrollo Fotovoltaico,"88.35K","64.07M","97.78M","-1.32","0.36"</t>
  </si>
  <si>
    <t>Facephi Biometria SA,"17.33K","63.16M","34.38M","-8.06","1.33"</t>
  </si>
  <si>
    <t>Arrienda Rental,"150","58.02M","4.48M","26.18","-0.02"</t>
  </si>
  <si>
    <t>Lingotes,"5.55K","58M","86.70M","76.12","0.92"</t>
  </si>
  <si>
    <t>Montebalito,"4.08K","56.96M","12.90M","36.25","0.27"</t>
  </si>
  <si>
    <t>Pangaea Oncology,"1.56K","56.69M","14.35M","-9.96","0.08"</t>
  </si>
  <si>
    <t>Inbest GPF Multi Asset Class Prime,"3.5M","55.66M","0.00","",""</t>
  </si>
  <si>
    <t>Adolfo Dominguez,"3.02K","54.44M","139.82M","33.77","0.29"</t>
  </si>
  <si>
    <t>Inbest Prime I Inmuebles SOCIMI,"5.64K","51.69M","19.97K","-1,928.93","0.07"</t>
  </si>
  <si>
    <t>Techo Hogar,"55.09K","51.61M","0.00","",""</t>
  </si>
  <si>
    <t>Grupo Ezentis SA,"1.93M","49.86M","20.83M","-12.26","1.93"</t>
  </si>
  <si>
    <t>Parlem Telecom Companyia de Telecomunicacions,"6.59K","49.29M","50.59M","-28.51","0.41"</t>
  </si>
  <si>
    <t>Gigas Hosting SA,"14.3K","48.79M","79.43M","-108.99","0.46"</t>
  </si>
  <si>
    <t>Agile Content SA,"34.48K","48M","84.56M","26.00","0.75"</t>
  </si>
  <si>
    <t>Inbest Prime IV Inmuebles SOCIMI,"500","47.03M","68.65K","-2,114.54","0.01"</t>
  </si>
  <si>
    <t>Tubos Reunid,"1M","45.9M","357.09M","-1.14","1.05"</t>
  </si>
  <si>
    <t>Enerside Energy,"22.82K","43.61M","2.68M","-3.11","0.46"</t>
  </si>
  <si>
    <t>AP 67 SOCIMI,"827","41.7M","4.55M","32.32","-0.02"</t>
  </si>
  <si>
    <t>Soluciones Cuatroochenta,"2.07K","40.44M","0.00","",""</t>
  </si>
  <si>
    <t>Ktesios RE,"439","39.65M","0.00","",""</t>
  </si>
  <si>
    <t>Duro Felguera,"389.13K","38.95M","254.08M","-0.54","1.04"</t>
  </si>
  <si>
    <t>Home Capital Rentals SOCIMI,"630","37.22M","0.00","",""</t>
  </si>
  <si>
    <t>NBI Bearings Europe,"6.34K","37.19M","50.63M","-58.94","0.31"</t>
  </si>
  <si>
    <t>Jaba I Inversiones,"5.85K","36.59M","2.12M","54.57","0.01"</t>
  </si>
  <si>
    <t>Quonia SOCIMI,"5.43K","34.73M","3.83M","","0.09"</t>
  </si>
  <si>
    <t>Barcino Property,"41.15K","33.88M","2.20M","9.76","0.07"</t>
  </si>
  <si>
    <t>Desarrollos Especiales de Sistemas de Anclajes,"492","33.47M","48.02M","11.27","0.10"</t>
  </si>
  <si>
    <t>Endurance Motive,"21.26K","33.21M","0.00","",""</t>
  </si>
  <si>
    <t>Innovative Solutions Ecosystem,"301","32.54M","13.00K","-40.87","0.15"</t>
  </si>
  <si>
    <t>Prevision Sanitaria,"705","31.35M","2.38M","33.62","0.05"</t>
  </si>
  <si>
    <t>Inhome Prime Properties,"204","30.53M","0.00","",""</t>
  </si>
  <si>
    <t>Labiana Health,"1.92K","30.36M","71.67M","36.97","-0.40"</t>
  </si>
  <si>
    <t>Numulae Gestion de Servicios,"10.06K","29.45M","6.24M","-90.45","-0.09"</t>
  </si>
  <si>
    <t>Grino Ecologic S.A.,"1.44K","29.14M","68.68M","10.39","-0.02"</t>
  </si>
  <si>
    <t>Holaluz Clidom,"16.94K","28.52M","197.96M","-0.60","-0.07"</t>
  </si>
  <si>
    <t>Optare Solutions,"418","26.6M","0.00","",""</t>
  </si>
  <si>
    <t>Inmobiliaria Park Rose,"3.29K","26.36M","1.93M","44.19","0.01"</t>
  </si>
  <si>
    <t>Renta Corp,"31.67K","25.15M","30.17M","7.61","0.95"</t>
  </si>
  <si>
    <t>Inbest Prime III Inmuebles,"5.03K","24.59M","51.10K","-683.23","0.04"</t>
  </si>
  <si>
    <t>Inbest Prime II Inmuebles,"5.05K","24.55M","2.35K","-575.79","0.03"</t>
  </si>
  <si>
    <t>Nyesa Valores,"48.77M","24.39M","6.81M","-0.82","0.97"</t>
  </si>
  <si>
    <t>Mistral Iberia RE,"1.49K","22.87M","3.66M","7.18","0.07"</t>
  </si>
  <si>
    <t>VBARE Iberian Properties,"20","22.09M","3.04M","38.13","-0.31"</t>
  </si>
  <si>
    <t>Matritense RE,"200","20.48M","0.00","",""</t>
  </si>
  <si>
    <t>Grandvoyage Travel SL,"1.67K","19.97M","0.00","",""</t>
  </si>
  <si>
    <t>Lleidanetworks Serveis Telematics,"23.67K","19.34M","20.66M","13.10","0.98"</t>
  </si>
  <si>
    <t>Catenon S.A.,"11.92K","18.99M","13.06M","18.67","0.89"</t>
  </si>
  <si>
    <t>Nzi Technical Protection SL,"2.19K","18.18M","0.00","",""</t>
  </si>
  <si>
    <t>Iflex Flexible Packaging,"2.11K","17.9M","0.00","",""</t>
  </si>
  <si>
    <t>Redegal SL,"640","15.68M","0.00","",""</t>
  </si>
  <si>
    <t>Tree Tech,"4.85K","14.97M","0.00","",""</t>
  </si>
  <si>
    <t>Inbest Prime VII Inmuebles,"5.04K","14.85M","0.00","",""</t>
  </si>
  <si>
    <t>Biotechnology Assets,"426.49K","14.48M","3.05M","-5.36","2.24"</t>
  </si>
  <si>
    <t>Domo Activos,"7.46K","13.79M","25.00K","","0.03"</t>
  </si>
  <si>
    <t>Substrate Artificial Inteligence,"9.89K","12.39M","19.60M","1.39","0.45"</t>
  </si>
  <si>
    <t>Substrate Artificial Inteligence,"1.96M","12.39M","19.60M","1.39","0.45"</t>
  </si>
  <si>
    <t>Asturiana de Laminados,"286.22K","11.9M","89.57M","-1.50","0.76"</t>
  </si>
  <si>
    <t>Media Investment Optimization SL,"17.77K","11.58M","58.65M","-3.22","0.08"</t>
  </si>
  <si>
    <t>Bodegas Riojanas,"7.53K","11.23M","15.49M","-5.25",""</t>
  </si>
  <si>
    <t>Greenoak Spain Holdings Socimi II,"49","10.95M","0.00","",""</t>
  </si>
  <si>
    <t>Elaia Investment Spain Socimi,"1.35K","10.05M","4.36M","","0.05"</t>
  </si>
  <si>
    <t>CommCenter,"463","9.55M","60.55M","7.67","-0.35"</t>
  </si>
  <si>
    <t>Better Consultants,"110","9.4M","0.00","",""</t>
  </si>
  <si>
    <t>Plasticos Compuestos,"3.83K","9.36M","47.82M","-189.68","0.23"</t>
  </si>
  <si>
    <t>Nextpoint Capital,"995","9.34M","0.00","",""</t>
  </si>
  <si>
    <t>Robot,"1.14K","8.58M","8.14M","8.33","0.02"</t>
  </si>
  <si>
    <t>Revenga Ingenieros,"5.52K","8.29M","0.00","",""</t>
  </si>
  <si>
    <t>Vanadi Coffee,"2.03M","7.95M","0.00","",""</t>
  </si>
  <si>
    <t>Pescanova,"71.43K","7.93M","313.00K","-12.16","0.40"</t>
  </si>
  <si>
    <t>Hannun,"35.91K","6.97M","7.26M","-2.39","-0.09"</t>
  </si>
  <si>
    <t>Alquiler Seguro Asset Market,"0","5.03M","0.00","",""</t>
  </si>
  <si>
    <t>Trajano Iberia,"1.28K","4.93M","19.12M","1.13","0.40"</t>
  </si>
  <si>
    <t>Profithol SA,"15.38K","4.83M","14.12M","0.34","0.75"</t>
  </si>
  <si>
    <t>Intercity Sad,"1.93M","4.02M","0.00","",""</t>
  </si>
  <si>
    <t>Euroespes S.A.,"188","3.91M","3.09M","-1.83","-0.23"</t>
  </si>
  <si>
    <t>Innovative Simply Solar,"593","0","0.00","",""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</si>
</sst>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7">
  <rv s="0">
    <v>https://www.bing.com/financeapi/forcetrigger?t=amfy2w&amp;q=BMEX%3aITX&amp;form=skydnc</v>
    <v>Learn more on Bing</v>
  </rv>
  <rv s="1">
    <v>pt-BR</v>
    <v>amfy2w</v>
    <v>268435456</v>
    <v>1</v>
    <v>Da plataforma Refinitiv</v>
    <v>0</v>
    <v>1</v>
    <v>Inditex (BMEX:ITX)</v>
    <v>3</v>
    <v>4</v>
    <v>Finance</v>
    <v>5</v>
    <v>58.14</v>
    <v>40.799999999999997</v>
    <v>BMEX</v>
    <v>3116652000</v>
    <v>57.14</v>
    <v>1985</v>
    <v>55.68</v>
    <v>1.1188</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56.7</v>
    <v>162083</v>
    <v>46059.697916666664</v>
    <v>0</v>
    <v>1478070</v>
    <v>EUR</v>
    <v>Inditex</v>
    <v>Inditex</v>
    <v>29.486999999999998</v>
    <v>56.06</v>
    <v>57.14</v>
    <v>Edificio Inditex, Avda. Diputacion, s/n, ARTEIXO, LA CORUNA, 15143 ES</v>
    <v>Specialty Retailers</v>
    <v>ITX</v>
    <v>Ações</v>
    <v>Inditex (BMEX:ITX)</v>
    <v>0.44</v>
    <v>7.7600000000000004E-3</v>
    <v>1474425</v>
  </rv>
  <rv s="2">
    <v>1</v>
  </rv>
  <rv s="0">
    <v>https://www.bing.com/financeapi/forcetrigger?t=amg2tc&amp;q=BMEX%3aSAN&amp;form=skydnc</v>
    <v>Learn more on Bing</v>
  </rv>
  <rv s="3">
    <v>pt-BR</v>
    <v>amg2tc</v>
    <v>268435456</v>
    <v>1</v>
    <v>Da plataforma Refinitiv</v>
    <v>6</v>
    <v>7</v>
    <v>Banco Santander SA (BMEX:SAN)</v>
    <v>3</v>
    <v>8</v>
    <v>Finance</v>
    <v>9</v>
    <v>11.26</v>
    <v>4.6449999999999996</v>
    <v>BMEX</v>
    <v>14689320000</v>
    <v>-2.0638E-2</v>
    <v>-0.22</v>
    <v>10.686</v>
    <v>1875</v>
    <v>10.326000000000001</v>
    <v>1.4734</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10.465999999999999</v>
    <v>198403</v>
    <v>46059.697916666664</v>
    <v>3</v>
    <v>23731900</v>
    <v>EUR</v>
    <v>Banco Santander SA</v>
    <v>Banco Santander SA</v>
    <v>11.0961</v>
    <v>10.44</v>
    <v>10.66</v>
    <v>10.44</v>
    <v>CGS Av. Cantabria s/n, BOADILLA DEL MONTE, MADRID, 28660 ES</v>
    <v>Banking Services</v>
    <v>SAN</v>
    <v>Ações</v>
    <v>Banco Santander SA (BMEX:SAN)</v>
    <v>0.19400000000000001</v>
    <v>1.8536E-2</v>
    <v>27340298</v>
  </rv>
  <rv s="2">
    <v>4</v>
  </rv>
  <rv s="0">
    <v>http://en.wikipedia.org/wiki/Public_domain</v>
    <v>Public domain</v>
  </rv>
  <rv s="0">
    <v>http://en.wikipedia.org/wiki/Airbus</v>
    <v>Wikipedia</v>
  </rv>
  <rv s="4">
    <v>6</v>
    <v>7</v>
  </rv>
  <rv s="5">
    <v>15</v>
    <v>https://www.bing.com/th?id=AMMS_abaa60abfe41f3cc31a73bc766832b19&amp;qlt=95</v>
    <v>8</v>
    <v>0</v>
    <v>https://www.bing.com/images/search?form=xlimg&amp;q=airbus</v>
    <v>Image of Airbus NL</v>
  </rv>
  <rv s="0">
    <v>https://www.bing.com/financeapi/forcetrigger?t=amfqvh&amp;q=BMEX%3aAIR&amp;form=skydnc</v>
    <v>Learn more on Bing</v>
  </rv>
  <rv s="6">
    <v>pt-BR</v>
    <v>amfqvh</v>
    <v>268435456</v>
    <v>1</v>
    <v>Da plataforma Refinitiv</v>
    <v>10</v>
    <v>11</v>
    <v>Airbus NL (BMEX:AIR)</v>
    <v>13</v>
    <v>14</v>
    <v>Finance</v>
    <v>5</v>
    <v>221.15</v>
    <v>127.062</v>
    <v>BMEX</v>
    <v>792283700</v>
    <v>191.62</v>
    <v>1998</v>
    <v>188.74</v>
    <v>1.1919999999999999</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189.7</v>
    <v>159409</v>
    <v>46059.691087962965</v>
    <v>9</v>
    <v>10</v>
    <v>1303520</v>
    <v>EUR</v>
    <v>Airbus NL</v>
    <v>Airbus NL</v>
    <v>29.755400000000002</v>
    <v>190.42</v>
    <v>191</v>
    <v>Mendelweg 30, LEIDEN, ZUID-HOLLAND, 2333CS NL</v>
    <v>Aerospace &amp; Defense</v>
    <v>AIR</v>
    <v>Ações</v>
    <v>Airbus NL (BMEX:AIR)</v>
    <v>1.3</v>
    <v>6.8530000000000006E-3</v>
    <v>2502</v>
  </rv>
  <rv s="2">
    <v>11</v>
  </rv>
  <rv s="0">
    <v>https://www.bing.com/financeapi/forcetrigger?t=amfx6h&amp;q=BMEX%3aIBE&amp;form=skydnc</v>
    <v>Learn more on Bing</v>
  </rv>
  <rv s="7">
    <v>pt-BR</v>
    <v>amfx6h</v>
    <v>268435456</v>
    <v>1</v>
    <v>Da plataforma Refinitiv</v>
    <v>16</v>
    <v>17</v>
    <v>Iberdrola (BMEX:IBE)</v>
    <v>3</v>
    <v>18</v>
    <v>Finance</v>
    <v>5</v>
    <v>19.43</v>
    <v>12.805999999999999</v>
    <v>BMEX</v>
    <v>6757846000</v>
    <v>19.43</v>
    <v>19.12</v>
    <v>0.69089999999999996</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19.149999999999999</v>
    <v>45273</v>
    <v>46059.697916666664</v>
    <v>13</v>
    <v>7107470</v>
    <v>EUR</v>
    <v>Iberdrola</v>
    <v>Iberdrola</v>
    <v>23.711300000000001</v>
    <v>19.149999999999999</v>
    <v>19.364999999999998</v>
    <v>Plaza Euskadi numero 5, BILBAO, VIZCAYA ES</v>
    <v>Electrical Utilities &amp; IPPs</v>
    <v>IBE</v>
    <v>Ações</v>
    <v>Iberdrola (BMEX:IBE)</v>
    <v>0.215</v>
    <v>1.1227000000000001E-2</v>
    <v>7556091</v>
  </rv>
  <rv s="2">
    <v>14</v>
  </rv>
  <rv s="0">
    <v>https://www.bing.com/financeapi/forcetrigger?t=amfsr7&amp;q=BMEX%3aCABK&amp;form=skydnc</v>
    <v>Learn more on Bing</v>
  </rv>
  <rv s="7">
    <v>pt-BR</v>
    <v>amfsr7</v>
    <v>268435456</v>
    <v>1</v>
    <v>Da plataforma Refinitiv</v>
    <v>16</v>
    <v>17</v>
    <v>CaixaBank (BMEX:CABK)</v>
    <v>3</v>
    <v>18</v>
    <v>Finance</v>
    <v>5</v>
    <v>11.574999999999999</v>
    <v>5.4859999999999998</v>
    <v>BMEX</v>
    <v>7024521000</v>
    <v>10.984999999999999</v>
    <v>10.82</v>
    <v>0.67230000000000001</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10.94</v>
    <v>47120</v>
    <v>46059.697916666664</v>
    <v>16</v>
    <v>7751760</v>
    <v>EUR</v>
    <v>CaixaBank</v>
    <v>CaixaBank</v>
    <v>12.9466</v>
    <v>10.865</v>
    <v>10.87</v>
    <v>Calle Pintor Sorolla, 2-4, VALENCIA, VALENCIA, 46002 ES</v>
    <v>Banking Services</v>
    <v>CABK</v>
    <v>Ações</v>
    <v>CaixaBank (BMEX:CABK)</v>
    <v>-7.0000000000000007E-2</v>
    <v>-6.3990000000000002E-3</v>
    <v>4918413</v>
  </rv>
  <rv s="2">
    <v>17</v>
  </rv>
  <rv s="8">
    <v>pt-BR</v>
    <v>ca2b5r</v>
    <v>268435456</v>
    <v>1</v>
    <v>Da plataforma Refinitiv</v>
    <v>19</v>
    <v>20</v>
    <v>Ferrovial. (XAMS:FER)</v>
    <v>21</v>
    <v>18</v>
    <v>Finance</v>
    <v>5</v>
    <v>59.98</v>
    <v>36.29</v>
    <v>XAMS</v>
    <v>733755400</v>
    <v>59.98</v>
    <v>58.7</v>
    <v>0.6865</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58.14</v>
    <v>22029</v>
    <v>46059.704861111109</v>
    <v>607300</v>
    <v>EUR</v>
    <v>Ferrovial.</v>
    <v>Ferrovial.</v>
    <v>12.9849</v>
    <v>59.26</v>
    <v>59.98</v>
    <v>Gustav Mahlerplein 61-63, Symphony Towers, 14Th Floor, AMSTERDAM, NOORD-HOLLAND, 1082 MS NL</v>
    <v>Construction &amp; Engineering</v>
    <v>FER</v>
    <v>Ações</v>
    <v>Ferrovial. (XAMS:FER)</v>
    <v>1.84</v>
    <v>3.1648000000000003E-2</v>
    <v>1852</v>
  </rv>
  <rv s="2">
    <v>19</v>
  </rv>
  <rv s="0">
    <v>https://www.bing.com/financeapi/forcetrigger?t=amfqpr&amp;q=BMEX%3aAENA&amp;form=skydnc</v>
    <v>Learn more on Bing</v>
  </rv>
  <rv s="1">
    <v>pt-BR</v>
    <v>amfqpr</v>
    <v>268435456</v>
    <v>1</v>
    <v>Da plataforma Refinitiv</v>
    <v>0</v>
    <v>1</v>
    <v>Aena SME (BMEX:AENA)</v>
    <v>3</v>
    <v>4</v>
    <v>Finance</v>
    <v>5</v>
    <v>27.8</v>
    <v>19.899999999999999</v>
    <v>BMEX</v>
    <v>1500000000</v>
    <v>27.8</v>
    <v>2011</v>
    <v>27.16</v>
    <v>0.95640000000000003</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27.19</v>
    <v>10709</v>
    <v>46059.697916666664</v>
    <v>21</v>
    <v>1441390</v>
    <v>EUR</v>
    <v>Aena SME</v>
    <v>Aena SME</v>
    <v>20.101700000000001</v>
    <v>27.19</v>
    <v>27.66</v>
    <v>C/ Peonias, 12, MADRID, MADRID, 28042 ES</v>
    <v>Transport Infrastructure</v>
    <v>AENA</v>
    <v>Ações</v>
    <v>Aena SME (BMEX:AENA)</v>
    <v>0.47</v>
    <v>1.7285999999999999E-2</v>
    <v>1329924</v>
  </rv>
  <rv s="2">
    <v>22</v>
  </rv>
  <rv s="0">
    <v>https://www.bing.com/financeapi/forcetrigger?t=amft6h&amp;q=BMEX%3aCCEP&amp;form=skydnc</v>
    <v>Learn more on Bing</v>
  </rv>
  <rv s="1">
    <v>pt-BR</v>
    <v>amft6h</v>
    <v>268435456</v>
    <v>1</v>
    <v>Da plataforma Refinitiv</v>
    <v>0</v>
    <v>1</v>
    <v>Coca-Cola UK (BMEX:CCEP)</v>
    <v>3</v>
    <v>22</v>
    <v>Finance</v>
    <v>5</v>
    <v>87.6</v>
    <v>72.599999999999994</v>
    <v>BMEX</v>
    <v>449091100</v>
    <v>82.3</v>
    <v>2015</v>
    <v>80.5</v>
    <v>0.49340000000000001</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80.599999999999994</v>
    <v>41000</v>
    <v>46059.691087962965</v>
    <v>24</v>
    <v>1354670</v>
    <v>EUR</v>
    <v>Coca-Cola UK</v>
    <v>Coca-Cola UK</v>
    <v>24.450199999999999</v>
    <v>81.099999999999994</v>
    <v>81.5</v>
    <v>Pemberton House, Bakers Road, UXBRIDGE, UB8 1EZ GB</v>
    <v>Beverages</v>
    <v>CCEP</v>
    <v>Ações</v>
    <v>Coca-Cola UK (BMEX:CCEP)</v>
    <v>0.9</v>
    <v>1.1166000000000001E-2</v>
    <v>6275</v>
  </rv>
  <rv s="2">
    <v>25</v>
  </rv>
  <rv s="0">
    <v>https://www.bing.com/financeapi/forcetrigger?t=amfzar&amp;q=BMEX%3aMTS&amp;form=skydnc</v>
    <v>Learn more on Bing</v>
  </rv>
  <rv s="1">
    <v>pt-BR</v>
    <v>amfzar</v>
    <v>268435456</v>
    <v>1</v>
    <v>Da plataforma Refinitiv</v>
    <v>0</v>
    <v>1</v>
    <v>ArcelorMittal SA (BMEX:MTS)</v>
    <v>3</v>
    <v>4</v>
    <v>Finance</v>
    <v>5</v>
    <v>51.6</v>
    <v>20.53</v>
    <v>BMEX</v>
    <v>775000000</v>
    <v>51.6</v>
    <v>2001</v>
    <v>48.91</v>
    <v>1.5891</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48.98</v>
    <v>125416</v>
    <v>46059.697916666664</v>
    <v>27</v>
    <v>2439130</v>
    <v>EUR</v>
    <v>ArcelorMittal SA</v>
    <v>ArcelorMittal SA</v>
    <v>14.5603</v>
    <v>48.98</v>
    <v>51.2</v>
    <v>24-26 Boulevard d'Avranches, LUXEMBOURG, 1160 LU</v>
    <v>Metals &amp; Mining</v>
    <v>MTS</v>
    <v>Ações</v>
    <v>ArcelorMittal SA (BMEX:MTS)</v>
    <v>2.2200000000000002</v>
    <v>4.5324999999999997E-2</v>
    <v>295490</v>
  </rv>
  <rv s="2">
    <v>28</v>
  </rv>
  <rv s="0">
    <v>https://www.bing.com/financeapi/forcetrigger?t=amfuyc&amp;q=BMEX%3aELE&amp;form=skydnc</v>
    <v>Learn more on Bing</v>
  </rv>
  <rv s="1">
    <v>pt-BR</v>
    <v>amfuyc</v>
    <v>268435456</v>
    <v>1</v>
    <v>Da plataforma Refinitiv</v>
    <v>0</v>
    <v>1</v>
    <v>Endesa (BMEX:ELE)</v>
    <v>3</v>
    <v>4</v>
    <v>Finance</v>
    <v>5</v>
    <v>32.51</v>
    <v>20.76</v>
    <v>BMEX</v>
    <v>1058752000</v>
    <v>32.049999999999997</v>
    <v>1944</v>
    <v>31.4</v>
    <v>0.67559999999999998</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31.45</v>
    <v>9078</v>
    <v>46059.697916666664</v>
    <v>30</v>
    <v>628450</v>
    <v>EUR</v>
    <v>Endesa</v>
    <v>Endesa</v>
    <v>15.266999999999999</v>
    <v>31.5</v>
    <v>31.74</v>
    <v>Ribera del Loira, 60, MADRID, MADRID, 28042 ES</v>
    <v>Electrical Utilities &amp; IPPs</v>
    <v>ELE</v>
    <v>Ações</v>
    <v>Endesa (BMEX:ELE)</v>
    <v>0.28999999999999998</v>
    <v>9.221E-3</v>
    <v>747034</v>
  </rv>
  <rv s="2">
    <v>31</v>
  </rv>
  <rv s="0">
    <v>https://www.bing.com/financeapi/forcetrigger?t=bnkb5r&amp;q=BMEX%3aNTGY&amp;form=skydnc</v>
    <v>Learn more on Bing</v>
  </rv>
  <rv s="1">
    <v>pt-BR</v>
    <v>bnkb5r</v>
    <v>268435456</v>
    <v>1</v>
    <v>Da plataforma Refinitiv</v>
    <v>0</v>
    <v>1</v>
    <v>Naturgy (BMEX:NTGY)</v>
    <v>3</v>
    <v>4</v>
    <v>Finance</v>
    <v>5</v>
    <v>27.9</v>
    <v>23.3</v>
    <v>BMEX</v>
    <v>969613800</v>
    <v>26.52</v>
    <v>1843</v>
    <v>26.36</v>
    <v>0.37240000000000001</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26.46</v>
    <v>6875</v>
    <v>46059.697916666664</v>
    <v>33</v>
    <v>605300</v>
    <v>EUR</v>
    <v>Naturgy</v>
    <v>Naturgy</v>
    <v>12.0974</v>
    <v>26.5</v>
    <v>26.48</v>
    <v>Avenida de America, 38, MADRID, MADRID, 28028 ES</v>
    <v>Natural Gas Utilities</v>
    <v>NTGY</v>
    <v>Ações</v>
    <v>Naturgy (BMEX:NTGY)</v>
    <v>0.02</v>
    <v>7.559E-4</v>
    <v>581486</v>
  </rv>
  <rv s="2">
    <v>34</v>
  </rv>
  <rv s="0">
    <v>https://www.bing.com/financeapi/forcetrigger?t=amfq8m&amp;q=BMEX%3aACS&amp;form=skydnc</v>
    <v>Learn more on Bing</v>
  </rv>
  <rv s="1">
    <v>pt-BR</v>
    <v>amfq8m</v>
    <v>268435456</v>
    <v>1</v>
    <v>Da plataforma Refinitiv</v>
    <v>0</v>
    <v>1</v>
    <v>ACS ES (BMEX:ACS)</v>
    <v>3</v>
    <v>4</v>
    <v>Finance</v>
    <v>5</v>
    <v>97.45</v>
    <v>40.180999999999997</v>
    <v>BMEX</v>
    <v>273002800</v>
    <v>96.95</v>
    <v>1942</v>
    <v>93.95</v>
    <v>0.64480000000000004</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94.25</v>
    <v>144045</v>
    <v>46059.697916666664</v>
    <v>36</v>
    <v>270100</v>
    <v>EUR</v>
    <v>ACS ES</v>
    <v>ACS ES</v>
    <v>28.745999999999999</v>
    <v>94.3</v>
    <v>96.9</v>
    <v>Avda. de Pio XII, 102, MADRID, MADRID, 28036 ES</v>
    <v>Construction &amp; Engineering</v>
    <v>ACS</v>
    <v>Ações</v>
    <v>ACS ES (BMEX:ACS)</v>
    <v>2.65</v>
    <v>2.8117E-2</v>
    <v>288913</v>
  </rv>
  <rv s="2">
    <v>37</v>
  </rv>
  <rv s="0">
    <v>https://www.bing.com/financeapi/forcetrigger?t=amfrdm&amp;q=BMEX%3aAMS&amp;form=skydnc</v>
    <v>Learn more on Bing</v>
  </rv>
  <rv s="1">
    <v>pt-BR</v>
    <v>amfrdm</v>
    <v>268435456</v>
    <v>1</v>
    <v>Da plataforma Refinitiv</v>
    <v>0</v>
    <v>1</v>
    <v>Amadeus IT Group (BMEX:AMS)</v>
    <v>3</v>
    <v>4</v>
    <v>Finance</v>
    <v>5</v>
    <v>75.400000000000006</v>
    <v>51.76</v>
    <v>BMEX</v>
    <v>450499200</v>
    <v>52.8</v>
    <v>2005</v>
    <v>51.76</v>
    <v>0.93379999999999996</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53.22</v>
    <v>20876</v>
    <v>46059.697916666664</v>
    <v>39</v>
    <v>981400</v>
    <v>EUR</v>
    <v>Amadeus IT Group</v>
    <v>Amadeus IT Group</v>
    <v>17.037500000000001</v>
    <v>52.22</v>
    <v>52.14</v>
    <v>Salvador de Madariaga 1, MADRID, MADRID, 28027 ES</v>
    <v>Software &amp; IT Services</v>
    <v>AMS</v>
    <v>Ações</v>
    <v>Amadeus IT Group (BMEX:AMS)</v>
    <v>-1.08</v>
    <v>-2.0293000000000002E-2</v>
    <v>1221940</v>
  </rv>
  <rv s="2">
    <v>40</v>
  </rv>
  <rv s="0">
    <v>https://www.bing.com/financeapi/forcetrigger?t=amfx3m&amp;q=BMEX%3aIAG&amp;form=skydnc</v>
    <v>Learn more on Bing</v>
  </rv>
  <rv s="1">
    <v>pt-BR</v>
    <v>amfx3m</v>
    <v>268435456</v>
    <v>1</v>
    <v>Da plataforma Refinitiv</v>
    <v>0</v>
    <v>1</v>
    <v>IAG (BMEX:IAG)</v>
    <v>3</v>
    <v>23</v>
    <v>Finance</v>
    <v>5</v>
    <v>5.0659999999999998</v>
    <v>2.4500000000000002</v>
    <v>BMEX</v>
    <v>4565026000</v>
    <v>5.0419999999999998</v>
    <v>2009</v>
    <v>4.8209999999999997</v>
    <v>2.2153999999999998</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4.8280000000000003</v>
    <v>74378</v>
    <v>46059.697916666664</v>
    <v>42</v>
    <v>13606640</v>
    <v>EUR</v>
    <v>IAG</v>
    <v>IAG</v>
    <v>7.7953000000000001</v>
    <v>4.83</v>
    <v>5.0419999999999998</v>
    <v>Waterside (HAA2), PO Box 365, HARMONDSWORTH, WEST DRAYTON, UB7 0GB GB</v>
    <v>Passenger Transportation Services</v>
    <v>IAG</v>
    <v>Ações</v>
    <v>IAG (BMEX:IAG)</v>
    <v>0.214</v>
    <v>4.4325000000000003E-2</v>
    <v>8515123</v>
  </rv>
  <rv s="2">
    <v>43</v>
  </rv>
  <rv s="0">
    <v>https://www.bing.com/financeapi/forcetrigger?t=amg3k2&amp;q=BMEX%3aTEF&amp;form=skydnc</v>
    <v>Learn more on Bing</v>
  </rv>
  <rv s="9">
    <v>pt-BR</v>
    <v>amg3k2</v>
    <v>268435456</v>
    <v>1</v>
    <v>Da plataforma Refinitiv</v>
    <v>24</v>
    <v>25</v>
    <v>Telefonica SA (BMEX:TEF)</v>
    <v>3</v>
    <v>26</v>
    <v>Finance</v>
    <v>5</v>
    <v>4.8929999999999998</v>
    <v>3.2360000000000002</v>
    <v>BMEX</v>
    <v>5670162000</v>
    <v>3.645</v>
    <v>1924</v>
    <v>3.6019999999999999</v>
    <v>0.48880000000000001</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3.6280000000000001</v>
    <v>92196</v>
    <v>46059.697916666664</v>
    <v>45</v>
    <v>10732100</v>
    <v>EUR</v>
    <v>Telefonica SA</v>
    <v>Telefonica SA</v>
    <v>3.6059999999999999</v>
    <v>3.6190000000000002</v>
    <v>Gran Via 28, MADRID, MADRID, 28013 ES</v>
    <v>Telecommunications Services</v>
    <v>TEF</v>
    <v>Ações</v>
    <v>Telefonica SA (BMEX:TEF)</v>
    <v>-8.9999999999999993E-3</v>
    <v>-2.4809999999999997E-3</v>
    <v>9055461</v>
  </rv>
  <rv s="2">
    <v>46</v>
  </rv>
  <rv s="0">
    <v>https://www.bing.com/financeapi/forcetrigger?t=amg2c7&amp;q=BMEX%3aREP&amp;form=skydnc</v>
    <v>Learn more on Bing</v>
  </rv>
  <rv s="7">
    <v>pt-BR</v>
    <v>amg2c7</v>
    <v>268435456</v>
    <v>1</v>
    <v>Da plataforma Refinitiv</v>
    <v>16</v>
    <v>17</v>
    <v>Repsol (BMEX:REP)</v>
    <v>3</v>
    <v>18</v>
    <v>Finance</v>
    <v>5</v>
    <v>17.27</v>
    <v>9.4139999999999997</v>
    <v>BMEX</v>
    <v>1105374000</v>
    <v>16.795000000000002</v>
    <v>16.2</v>
    <v>0.70389999999999997</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16.149999999999999</v>
    <v>26267</v>
    <v>46059.697916666664</v>
    <v>48</v>
    <v>4060040</v>
    <v>EUR</v>
    <v>Repsol</v>
    <v>Repsol</v>
    <v>17.912800000000001</v>
    <v>16.329999999999998</v>
    <v>16.795000000000002</v>
    <v>Mendez Alvaro, 44, MADRID, MADRID, 28045 ES</v>
    <v>Oil &amp; Gas</v>
    <v>REP</v>
    <v>Ações</v>
    <v>Repsol (BMEX:REP)</v>
    <v>0.64500000000000002</v>
    <v>3.9938000000000001E-2</v>
    <v>4535847</v>
  </rv>
  <rv s="2">
    <v>49</v>
  </rv>
  <rv s="0">
    <v>https://www.bing.com/financeapi/forcetrigger?t=amfthw&amp;q=BMEX%3aCLNX&amp;form=skydnc</v>
    <v>Learn more on Bing</v>
  </rv>
  <rv s="9">
    <v>pt-BR</v>
    <v>amfthw</v>
    <v>268435456</v>
    <v>1</v>
    <v>Da plataforma Refinitiv</v>
    <v>24</v>
    <v>25</v>
    <v>Cellnex Telecom (BMEX:CLNX)</v>
    <v>3</v>
    <v>26</v>
    <v>Finance</v>
    <v>5</v>
    <v>35.950000000000003</v>
    <v>24.77</v>
    <v>BMEX</v>
    <v>682410900</v>
    <v>27.67</v>
    <v>2008</v>
    <v>27.11</v>
    <v>1.0327</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27.85</v>
    <v>2612</v>
    <v>46059.697916666664</v>
    <v>51</v>
    <v>1504280</v>
    <v>EUR</v>
    <v>Cellnex Telecom</v>
    <v>Cellnex Telecom</v>
    <v>27.61</v>
    <v>27.44</v>
    <v>Calle Juan Esplandiu, 11-13, MADRID, MADRID, 28007 ES</v>
    <v>Telecommunications Services</v>
    <v>CLNX</v>
    <v>Ações</v>
    <v>Cellnex Telecom (BMEX:CLNX)</v>
    <v>-0.41</v>
    <v>-1.4721999999999999E-2</v>
    <v>782704</v>
  </rv>
  <rv s="2">
    <v>52</v>
  </rv>
  <rv s="0">
    <v>https://www.bing.com/financeapi/forcetrigger?t=amg2qh&amp;q=BMEX%3aSAB&amp;form=skydnc</v>
    <v>Learn more on Bing</v>
  </rv>
  <rv s="7">
    <v>pt-BR</v>
    <v>amg2qh</v>
    <v>268435456</v>
    <v>1</v>
    <v>Da plataforma Refinitiv</v>
    <v>16</v>
    <v>17</v>
    <v>Banco Sabadell (BMEX:SAB)</v>
    <v>3</v>
    <v>18</v>
    <v>Finance</v>
    <v>5</v>
    <v>3.484</v>
    <v>1.901</v>
    <v>BMEX</v>
    <v>5023678000</v>
    <v>3.173</v>
    <v>3.0529999999999999</v>
    <v>1.4272</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3.2639999999999998</v>
    <v>18860</v>
    <v>46059.697916666664</v>
    <v>54</v>
    <v>12999830</v>
    <v>EUR</v>
    <v>Banco Sabadell</v>
    <v>Banco Sabadell</v>
    <v>10.133599999999999</v>
    <v>3.1459999999999999</v>
    <v>3.11</v>
    <v>Avda. Oscar Espla, 37, ALICANTE, ALICANTE, 03007 ES</v>
    <v>Banking Services</v>
    <v>SAB</v>
    <v>Ações</v>
    <v>Banco Sabadell (BMEX:SAB)</v>
    <v>-0.154</v>
    <v>-4.7181000000000001E-2</v>
    <v>47953363</v>
  </rv>
  <rv s="2">
    <v>55</v>
  </rv>
  <rv s="0">
    <v>https://www.bing.com/financeapi/forcetrigger?t=amfsim&amp;q=BMEX%3aBKT&amp;form=skydnc</v>
    <v>Learn more on Bing</v>
  </rv>
  <rv s="1">
    <v>pt-BR</v>
    <v>amfsim</v>
    <v>268435456</v>
    <v>1</v>
    <v>Da plataforma Refinitiv</v>
    <v>0</v>
    <v>1</v>
    <v>Bankinter (BMEX:BKT)</v>
    <v>3</v>
    <v>4</v>
    <v>Finance</v>
    <v>5</v>
    <v>14.994999999999999</v>
    <v>7.7</v>
    <v>BMEX</v>
    <v>898866100</v>
    <v>14.445</v>
    <v>1965</v>
    <v>14.19</v>
    <v>0.65100000000000002</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14.385</v>
    <v>6633</v>
    <v>46059.697916666664</v>
    <v>57</v>
    <v>2040030</v>
    <v>EUR</v>
    <v>Bankinter</v>
    <v>Bankinter</v>
    <v>13.128399999999999</v>
    <v>14.3</v>
    <v>14.414999999999999</v>
    <v>Paseo de la Castellana, 29, MADRID, MADRID, 28046 ES</v>
    <v>Banking Services</v>
    <v>BKT</v>
    <v>Ações</v>
    <v>Bankinter (BMEX:BKT)</v>
    <v>0.03</v>
    <v>2.0860000000000002E-3</v>
    <v>1131834</v>
  </rv>
  <rv s="2">
    <v>58</v>
  </rv>
  <rv s="0">
    <v>https://www.bing.com/financeapi/forcetrigger?t=amfymw&amp;q=BMEX%3aMAP&amp;form=skydnc</v>
    <v>Learn more on Bing</v>
  </rv>
  <rv s="7">
    <v>pt-BR</v>
    <v>amfymw</v>
    <v>268435456</v>
    <v>1</v>
    <v>Da plataforma Refinitiv</v>
    <v>16</v>
    <v>17</v>
    <v>Mapfre (BMEX:MAP)</v>
    <v>3</v>
    <v>18</v>
    <v>Finance</v>
    <v>5</v>
    <v>4.3319999999999999</v>
    <v>2.34</v>
    <v>BMEX</v>
    <v>3079553000</v>
    <v>3.968</v>
    <v>3.92</v>
    <v>0.54649999999999999</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3.9540000000000002</v>
    <v>30547</v>
    <v>46059.697916666664</v>
    <v>60</v>
    <v>3090830</v>
    <v>EUR</v>
    <v>Mapfre</v>
    <v>Mapfre</v>
    <v>11.4841</v>
    <v>3.9359999999999999</v>
    <v>3.9620000000000002</v>
    <v>Carretera de Pozuelo, n 52, MAJADAHONDA, MADRID, 28222 ES</v>
    <v>Insurance</v>
    <v>MAP</v>
    <v>Ações</v>
    <v>Mapfre (BMEX:MAP)</v>
    <v>8.0000000000000002E-3</v>
    <v>2.0230000000000001E-3</v>
    <v>1795759</v>
  </rv>
  <rv s="2">
    <v>61</v>
  </rv>
  <rv s="0">
    <v>https://www.bing.com/financeapi/forcetrigger?t=amfrgh&amp;q=BMEX%3aANA&amp;form=skydnc</v>
    <v>Learn more on Bing</v>
  </rv>
  <rv s="1">
    <v>pt-BR</v>
    <v>amfrgh</v>
    <v>268435456</v>
    <v>1</v>
    <v>Da plataforma Refinitiv</v>
    <v>0</v>
    <v>1</v>
    <v>Acciona (BMEX:ANA)</v>
    <v>3</v>
    <v>4</v>
    <v>Finance</v>
    <v>5</v>
    <v>203</v>
    <v>103.2</v>
    <v>BMEX</v>
    <v>54856650</v>
    <v>184.6</v>
    <v>1916</v>
    <v>179.9</v>
    <v>0.85109999999999997</v>
    <v>Bolsas y Mercados Espanoles</v>
    <v>10378880000</v>
    <v>Acciona SA is a Spain-based holding company primarily engaged in the renewable utilities sector. The Company's activities are divided into five business segments: Energy, responsible for the renewable energy production, distribution and commercialization, as well as construction of wind farms; Infrastructure Construction, including construction and engineering activities, as well as transport and hospital concessions; Water, offering construction of desalination and water treatments plants, drinking water stations, as well as management of water cycle process; Service, providing facility services, airport handling services, waste collection and treatment, as well as logistics services, among others, and Other Activities, including fund management, stock brokerage, wine production, activities related to Acciona Trasmediterranes business and other investments. The Company operates worldwide through numerous subsidiaries.</v>
    <v>BMEX</v>
    <v>181.1</v>
    <v>67847</v>
    <v>46059.697916666664</v>
    <v>63</v>
    <v>45470</v>
    <v>EUR</v>
    <v>Acciona</v>
    <v>Acciona</v>
    <v>12.0808</v>
    <v>179.9</v>
    <v>184.6</v>
    <v>Avenida de la Gran Via de Hortaleza, 3,, ALCOBENDAS, MADRID, 28033 ES</v>
    <v>Construction &amp; Engineering</v>
    <v>ANA</v>
    <v>Ações</v>
    <v>Acciona (BMEX:ANA)</v>
    <v>3.5</v>
    <v>1.9325999999999999E-2</v>
    <v>48212</v>
  </rv>
  <rv s="2">
    <v>64</v>
  </rv>
  <rv s="10">
    <v>pt-BR</v>
    <v>cd3e52</v>
    <v>268435456</v>
    <v>1</v>
    <v>Da plataforma Refinitiv</v>
    <v>27</v>
    <v>28</v>
    <v>Puig Brands (BMEX:PUIG)</v>
    <v>21</v>
    <v>29</v>
    <v>Finance</v>
    <v>5</v>
    <v>19.27</v>
    <v>13.11</v>
    <v>BMEX</v>
    <v>174819700</v>
    <v>16.899999999999999</v>
    <v>2016</v>
    <v>15.82</v>
    <v>Bolsas y Mercados Espanoles</v>
    <v>2805856000</v>
    <v>Puig Brands SA is a Spain-based company primarily engaged in the creation, development, and marketing of fragrances, fashion, and beauty products. The Company’s business model encompasses the design, production, and distribution of perfumes, cosmetics, and fashion items, working with renowned brands and designers. In addition to fragrances and cosmetics, The Company develops fashion collections and accessories under its licensed and owned brands. Puig operates through three main divisions: beauty and fragrance, fashion, and skincare products under dermatological supervision. Its activities include product formulation, manufacturing, and global distribution through retail and e-commerce channels. The Company also engages in brand licensing agreements and marketing strategies to strengthen its presence in international markets, offering products across different segments such as luxury and mass-market categories.</v>
    <v>BMEX</v>
    <v>16.95</v>
    <v>11412</v>
    <v>46059.697916666664</v>
    <v>598320</v>
    <v>EUR</v>
    <v>Puig Brands</v>
    <v>Puig Brands</v>
    <v>14.3055</v>
    <v>16.899999999999999</v>
    <v>16.55</v>
    <v>Placa Europa, 46-48, L'Hospitalet de Llobregat, BARCELONA, BARCELONA, 08902 ES</v>
    <v>Specialty Retailers</v>
    <v>PUIG</v>
    <v>Ações</v>
    <v>Puig Brands (BMEX:PUIG)</v>
    <v>-0.4</v>
    <v>-2.3599000000000002E-2</v>
    <v>1496044</v>
  </rv>
  <rv s="2">
    <v>66</v>
  </rv>
  <rv s="0">
    <v>https://www.bing.com/financeapi/forcetrigger?t=amfxhw&amp;q=BMEX%3aIDR&amp;form=skydnc</v>
    <v>Learn more on Bing</v>
  </rv>
  <rv s="1">
    <v>pt-BR</v>
    <v>amfxhw</v>
    <v>268435456</v>
    <v>1</v>
    <v>Da plataforma Refinitiv</v>
    <v>0</v>
    <v>1</v>
    <v>Indra Sistemas (BMEX:IDR)</v>
    <v>3</v>
    <v>4</v>
    <v>Finance</v>
    <v>5</v>
    <v>61.5</v>
    <v>16.100000000000001</v>
    <v>BMEX</v>
    <v>176654400</v>
    <v>49.46</v>
    <v>1979</v>
    <v>47.3</v>
    <v>0.71909999999999996</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47.88</v>
    <v>61475</v>
    <v>46059.697916666664</v>
    <v>68</v>
    <v>917030</v>
    <v>EUR</v>
    <v>Indra Sistemas</v>
    <v>Indra Sistemas</v>
    <v>21.442299999999999</v>
    <v>48</v>
    <v>49.12</v>
    <v>Avenida de Bruselas, 35, ALCOBENDAS, MADRID, 28108 ES</v>
    <v>Software &amp; IT Services</v>
    <v>IDR</v>
    <v>Ações</v>
    <v>Indra Sistemas (BMEX:IDR)</v>
    <v>1.24</v>
    <v>2.5897999999999997E-2</v>
    <v>1347129</v>
  </rv>
  <rv s="2">
    <v>69</v>
  </rv>
  <rv s="0">
    <v>https://www.bing.com/financeapi/forcetrigger?t=amg26h&amp;q=BMEX%3aRED&amp;form=skydnc</v>
    <v>Learn more on Bing</v>
  </rv>
  <rv s="7">
    <v>pt-BR</v>
    <v>amg26h</v>
    <v>268435456</v>
    <v>1</v>
    <v>Da plataforma Refinitiv</v>
    <v>16</v>
    <v>17</v>
    <v>Redeia Corp (BMEX:RED)</v>
    <v>3</v>
    <v>18</v>
    <v>Finance</v>
    <v>5</v>
    <v>19.510000000000002</v>
    <v>14.15</v>
    <v>BMEX</v>
    <v>541080000</v>
    <v>15.2</v>
    <v>14.99</v>
    <v>0.38140000000000002</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15.11</v>
    <v>2057</v>
    <v>46059.697916666664</v>
    <v>71</v>
    <v>1548480</v>
    <v>EUR</v>
    <v>Redeia Corp</v>
    <v>Redeia Corp</v>
    <v>23.514900000000001</v>
    <v>15.11</v>
    <v>15.2</v>
    <v>Paseo Conde de los Gaitanes, 177, La Moraleja, ALCOBENDAS, MADRID, 28109 ES</v>
    <v>Electrical Utilities &amp; IPPs</v>
    <v>RED</v>
    <v>Ações</v>
    <v>Redeia Corp (BMEX:RED)</v>
    <v>0.09</v>
    <v>5.9560000000000004E-3</v>
    <v>1273526</v>
  </rv>
  <rv s="2">
    <v>72</v>
  </rv>
  <rv s="0">
    <v>https://www.bing.com/financeapi/forcetrigger?t=amg4dm&amp;q=BMEX%3aUNI&amp;form=skydnc</v>
    <v>Learn more on Bing</v>
  </rv>
  <rv s="1">
    <v>pt-BR</v>
    <v>amg4dm</v>
    <v>268435456</v>
    <v>1</v>
    <v>Da plataforma Refinitiv</v>
    <v>0</v>
    <v>1</v>
    <v>Unicaja Banco (BMEX:UNI)</v>
    <v>3</v>
    <v>4</v>
    <v>Finance</v>
    <v>5</v>
    <v>3.036</v>
    <v>1.25</v>
    <v>BMEX</v>
    <v>2571435000</v>
    <v>2.766</v>
    <v>2011</v>
    <v>2.7160000000000002</v>
    <v>1.0206999999999999</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2.758</v>
    <v>7281</v>
    <v>46059.697916666664</v>
    <v>74</v>
    <v>6375530</v>
    <v>EUR</v>
    <v>Unicaja Banco</v>
    <v>Unicaja Banco</v>
    <v>11.2052</v>
    <v>2.75</v>
    <v>2.7519999999999998</v>
    <v>Avda. de Andalucia numeros 10-12, MALAGA, MALAGA ES</v>
    <v>Banking Services</v>
    <v>UNI</v>
    <v>Ações</v>
    <v>Unicaja Banco (BMEX:UNI)</v>
    <v>-6.0000000000000001E-3</v>
    <v>-2.1749999999999999E-3</v>
    <v>5352556</v>
  </rv>
  <rv s="2">
    <v>75</v>
  </rv>
  <rv s="0">
    <v>https://www.bing.com/financeapi/forcetrigger?t=amfz52&amp;q=BMEX%3aMRL&amp;form=skydnc</v>
    <v>Learn more on Bing</v>
  </rv>
  <rv s="1">
    <v>pt-BR</v>
    <v>amfz52</v>
    <v>268435456</v>
    <v>1</v>
    <v>Da plataforma Refinitiv</v>
    <v>0</v>
    <v>1</v>
    <v>Merlin Properties SOCIMI SA (BMEX:MRL)</v>
    <v>3</v>
    <v>4</v>
    <v>Finance</v>
    <v>5</v>
    <v>13.91</v>
    <v>8.48</v>
    <v>BMEX</v>
    <v>563724900</v>
    <v>13.01</v>
    <v>2014</v>
    <v>12.78</v>
    <v>0.88919999999999999</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12.87</v>
    <v>293</v>
    <v>46059.697916666664</v>
    <v>77</v>
    <v>989480</v>
    <v>EUR</v>
    <v>Merlin Properties SOCIMI SA</v>
    <v>Merlin Properties SOCIMI SA</v>
    <v>11.2958</v>
    <v>12.95</v>
    <v>12.98</v>
    <v>Paseo de la Castellana, 257, MADRID, MADRID, 28046 ES</v>
    <v>Residential &amp; Commercial REIT</v>
    <v>MRL</v>
    <v>Ações</v>
    <v>Merlin Properties SOCIMI SA (BMEX:MRL)</v>
    <v>0.11</v>
    <v>8.5470000000000008E-3</v>
    <v>646464</v>
  </rv>
  <rv s="2">
    <v>78</v>
  </rv>
  <rv s="0">
    <v>https://www.bing.com/financeapi/forcetrigger?t=c2m26h&amp;q=BMEX%3aANE&amp;form=skydnc</v>
    <v>Learn more on Bing</v>
  </rv>
  <rv s="1">
    <v>pt-BR</v>
    <v>c2m26h</v>
    <v>268435456</v>
    <v>1</v>
    <v>Da plataforma Refinitiv</v>
    <v>0</v>
    <v>1</v>
    <v>Corp Acciona Ene (BMEX:ANE)</v>
    <v>3</v>
    <v>4</v>
    <v>Finance</v>
    <v>5</v>
    <v>25.64</v>
    <v>14.21</v>
    <v>BMEX</v>
    <v>324761800</v>
    <v>21.4</v>
    <v>2008</v>
    <v>20.98</v>
    <v>0.69520000000000004</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21.16</v>
    <v>3150</v>
    <v>46059.697916666664</v>
    <v>80</v>
    <v>187370</v>
    <v>EUR</v>
    <v>Corp Acciona Ene</v>
    <v>Corp Acciona Ene</v>
    <v>9.2396999999999991</v>
    <v>20.98</v>
    <v>21.28</v>
    <v>Av. de Europa 10, Parque Empresarial, La Moraleja, ALCOBENDAS, MADRID, 28108 ES</v>
    <v>Electrical Utilities &amp; IPPs</v>
    <v>ANE</v>
    <v>Ações</v>
    <v>Corp Acciona Ene (BMEX:ANE)</v>
    <v>0.12</v>
    <v>5.6710000000000007E-3</v>
    <v>183181</v>
  </rv>
  <rv s="2">
    <v>81</v>
  </rv>
  <rv s="0">
    <v>https://www.bing.com/financeapi/forcetrigger?t=boma1h&amp;q=BMEX%3aGRF.P&amp;form=skydnc</v>
    <v>Learn more on Bing</v>
  </rv>
  <rv s="9">
    <v>pt-BR</v>
    <v>boma1h</v>
    <v>268435456</v>
    <v>1</v>
    <v>Da plataforma Refinitiv</v>
    <v>24</v>
    <v>25</v>
    <v>Grifols (BMEX:GRF.P)</v>
    <v>3</v>
    <v>26</v>
    <v>Finance</v>
    <v>5</v>
    <v>9.7249999999999996</v>
    <v>5.59</v>
    <v>BMEX</v>
    <v>687554900</v>
    <v>7.8550000000000004</v>
    <v>1987</v>
    <v>7.6849999999999996</v>
    <v>1.6508</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7.8250000000000002</v>
    <v>23833</v>
    <v>46059.697916666664</v>
    <v>83</v>
    <v>1038970</v>
    <v>EUR</v>
    <v>Grifols</v>
    <v>Grifols</v>
    <v>7.7</v>
    <v>7.8550000000000004</v>
    <v>Parque Empresarial Can Sant Joan, Avinguda de la Generalitat, 152-158, SANT CUGAT DEL VALLES, BARCELONA, 08174 ES</v>
    <v>Pharmaceuticals</v>
    <v>GRF.P</v>
    <v>Ações</v>
    <v>Grifols (BMEX:GRF.P)</v>
    <v>0.03</v>
    <v>3.8340000000000002E-3</v>
    <v>67384</v>
  </rv>
  <rv s="2">
    <v>84</v>
  </rv>
  <rv s="0">
    <v>https://www.bing.com/financeapi/forcetrigger?t=amfwim&amp;q=BMEX%3aGRF&amp;form=skydnc</v>
    <v>Learn more on Bing</v>
  </rv>
  <rv s="1">
    <v>pt-BR</v>
    <v>amfwim</v>
    <v>268435456</v>
    <v>1</v>
    <v>Da plataforma Refinitiv</v>
    <v>0</v>
    <v>1</v>
    <v>Grifols (BMEX:GRF)</v>
    <v>3</v>
    <v>4</v>
    <v>Finance</v>
    <v>5</v>
    <v>13.7</v>
    <v>7.3239999999999998</v>
    <v>BMEX</v>
    <v>687554900</v>
    <v>10.87</v>
    <v>1987</v>
    <v>10.615</v>
    <v>1.6508</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10.84</v>
    <v>23833</v>
    <v>46059.697916666664</v>
    <v>86</v>
    <v>1038970</v>
    <v>EUR</v>
    <v>Grifols</v>
    <v>Grifols</v>
    <v>19.9084</v>
    <v>10.75</v>
    <v>10.87</v>
    <v>Parque Empresarial Can Sant Joan, Avinguda de la Generalitat, 152-158, SANT CUGAT DEL VALLES, BARCELONA, 08174 ES</v>
    <v>Pharmaceuticals</v>
    <v>GRF</v>
    <v>Ações</v>
    <v>Grifols (BMEX:GRF)</v>
    <v>0.03</v>
    <v>2.7680000000000001E-3</v>
    <v>911364</v>
  </rv>
  <rv s="2">
    <v>87</v>
  </rv>
  <rv s="0">
    <v>https://www.bing.com/financeapi/forcetrigger?t=amfvp2&amp;q=BMEX%3aFCC&amp;form=skydnc</v>
    <v>Learn more on Bing</v>
  </rv>
  <rv s="7">
    <v>pt-BR</v>
    <v>amfvp2</v>
    <v>268435456</v>
    <v>1</v>
    <v>Da plataforma Refinitiv</v>
    <v>16</v>
    <v>17</v>
    <v>FCC (BMEX:FCC)</v>
    <v>3</v>
    <v>18</v>
    <v>Finance</v>
    <v>5</v>
    <v>12.981</v>
    <v>8.8559999999999999</v>
    <v>BMEX</v>
    <v>472994000</v>
    <v>11.38</v>
    <v>11.04</v>
    <v>0.82110000000000005</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11.3</v>
    <v>71507</v>
    <v>46059.691087962965</v>
    <v>89</v>
    <v>14790</v>
    <v>EUR</v>
    <v>FCC</v>
    <v>FCC</v>
    <v>22.846800000000002</v>
    <v>11.36</v>
    <v>11.38</v>
    <v>Balmes, 36, BARCELONA, BARCELONA, 08007 ES</v>
    <v>Professional &amp; Commercial Services</v>
    <v>FCC</v>
    <v>Ações</v>
    <v>FCC (BMEX:FCC)</v>
    <v>0.08</v>
    <v>7.0799999999999995E-3</v>
    <v>4313</v>
  </rv>
  <rv s="2">
    <v>90</v>
  </rv>
  <rv s="0">
    <v>https://www.bing.com/financeapi/forcetrigger?t=amfvrw&amp;q=BMEX%3aFDR&amp;form=skydnc</v>
    <v>Learn more on Bing</v>
  </rv>
  <rv s="1">
    <v>pt-BR</v>
    <v>amfvrw</v>
    <v>268435456</v>
    <v>1</v>
    <v>Da plataforma Refinitiv</v>
    <v>0</v>
    <v>1</v>
    <v>Fluidr (BMEX:FDR)</v>
    <v>3</v>
    <v>4</v>
    <v>Finance</v>
    <v>5</v>
    <v>26.02</v>
    <v>17.739999999999998</v>
    <v>BMEX</v>
    <v>192129100</v>
    <v>25.2</v>
    <v>2002</v>
    <v>24.72</v>
    <v>0.8417</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24.86</v>
    <v>6990</v>
    <v>46059.697916666664</v>
    <v>92</v>
    <v>227440</v>
    <v>EUR</v>
    <v>Fluidr</v>
    <v>Fluidr</v>
    <v>29.540900000000001</v>
    <v>24.72</v>
    <v>25.16</v>
    <v>Av. Alcalde Barnils, 69, SANT CUGAT DEL VALLES, BARCELONA, 08174 ES</v>
    <v>Leisure Products</v>
    <v>FDR</v>
    <v>Ações</v>
    <v>Fluidr (BMEX:FDR)</v>
    <v>0.3</v>
    <v>1.2068000000000001E-2</v>
    <v>147771</v>
  </rv>
  <rv s="2">
    <v>93</v>
  </rv>
  <rv s="0">
    <v>https://www.bing.com/financeapi/forcetrigger?t=amfyec&amp;q=BMEX%3aLOG&amp;form=skydnc</v>
    <v>Learn more on Bing</v>
  </rv>
  <rv s="1">
    <v>pt-BR</v>
    <v>amfyec</v>
    <v>268435456</v>
    <v>1</v>
    <v>Da plataforma Refinitiv</v>
    <v>0</v>
    <v>1</v>
    <v>Logista Integral (BMEX:LOG)</v>
    <v>3</v>
    <v>4</v>
    <v>Finance</v>
    <v>5</v>
    <v>33.56</v>
    <v>26.16</v>
    <v>BMEX</v>
    <v>132750000</v>
    <v>33.56</v>
    <v>2014</v>
    <v>32.5</v>
    <v>0.36720000000000003</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33.299999999999997</v>
    <v>6898</v>
    <v>46059.697916666664</v>
    <v>95</v>
    <v>272680</v>
    <v>EUR</v>
    <v>Logista Integral</v>
    <v>Logista Integral</v>
    <v>15.748200000000001</v>
    <v>33.22</v>
    <v>33.520000000000003</v>
    <v>C/ Trigo, 39. Poligono Industrial Polvoranca, LEGANES, MADRID, 28914 ES</v>
    <v>Freight &amp; Logistics Services</v>
    <v>LOG</v>
    <v>Ações</v>
    <v>Logista Integral (BMEX:LOG)</v>
    <v>0.22</v>
    <v>6.6069999999999992E-3</v>
    <v>457483</v>
  </rv>
  <rv s="2">
    <v>96</v>
  </rv>
  <rv s="0">
    <v>https://www.bing.com/financeapi/forcetrigger?t=bn13nm&amp;q=BMEX%3aYGGC&amp;form=skydnc</v>
    <v>Learn more on Bing</v>
  </rv>
  <rv s="11">
    <v>pt-BR</v>
    <v>bn13nm</v>
    <v>268435456</v>
    <v>1</v>
    <v>Da plataforma Refinitiv</v>
    <v>30</v>
    <v>31</v>
    <v>General Gal Come (BMEX:GGC)</v>
    <v>3</v>
    <v>32</v>
    <v>Finance</v>
    <v>5</v>
    <v>BMEX</v>
    <v>26000000</v>
    <v>162</v>
    <v>1996</v>
    <v>162</v>
    <v>6.1400000000000003E-2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1">
    <v>pt-BR</v>
    <v>amg2nm</v>
    <v>268435456</v>
    <v>1</v>
    <v>Da plataforma Refinitiv</v>
    <v>0</v>
    <v>1</v>
    <v>Laboratorios (BMEX:ROVI)</v>
    <v>3</v>
    <v>4</v>
    <v>Finance</v>
    <v>5</v>
    <v>74.3</v>
    <v>45.52</v>
    <v>BMEX</v>
    <v>51235760</v>
    <v>73.3</v>
    <v>1946</v>
    <v>71.849999999999994</v>
    <v>0.31180000000000002</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73</v>
    <v>2188</v>
    <v>46059.697916666664</v>
    <v>101</v>
    <v>101020</v>
    <v>EUR</v>
    <v>Laboratorios</v>
    <v>Laboratorios</v>
    <v>31.092600000000001</v>
    <v>72.55</v>
    <v>72.849999999999994</v>
    <v>C/ Julian Camarillo, 35, MADRID, MADRID, 28037 ES</v>
    <v>Pharmaceuticals</v>
    <v>ROVI</v>
    <v>Ações</v>
    <v>Laboratorios (BMEX:ROVI)</v>
    <v>-0.15</v>
    <v>-2.055E-3</v>
    <v>88913</v>
  </rv>
  <rv s="2">
    <v>102</v>
  </rv>
  <rv s="0">
    <v>https://www.bing.com/financeapi/forcetrigger?t=amfv7w&amp;q=BMEX%3aENG&amp;form=skydnc</v>
    <v>Learn more on Bing</v>
  </rv>
  <rv s="1">
    <v>pt-BR</v>
    <v>amfv7w</v>
    <v>268435456</v>
    <v>1</v>
    <v>Da plataforma Refinitiv</v>
    <v>0</v>
    <v>1</v>
    <v>Enagas (BMEX:ENG)</v>
    <v>3</v>
    <v>4</v>
    <v>Finance</v>
    <v>5</v>
    <v>14.5</v>
    <v>11.83</v>
    <v>BMEX</v>
    <v>261990100</v>
    <v>14.475</v>
    <v>1972</v>
    <v>14.345000000000001</v>
    <v>0.46229999999999999</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14.37</v>
    <v>1388</v>
    <v>46059.697916666664</v>
    <v>104</v>
    <v>966410</v>
    <v>EUR</v>
    <v>Enagas</v>
    <v>Enagas</v>
    <v>40.116900000000001</v>
    <v>14.4</v>
    <v>14.41</v>
    <v>Paseo de los Olmos, 19, MADRID, MADRID, 28005 ES</v>
    <v>Oil &amp; Gas Related Equipment and Services</v>
    <v>ENG</v>
    <v>Ações</v>
    <v>Enagas (BMEX:ENG)</v>
    <v>0.04</v>
    <v>2.784E-3</v>
    <v>1355847</v>
  </rv>
  <rv s="2">
    <v>105</v>
  </rv>
  <rv s="0">
    <v>https://www.bing.com/financeapi/forcetrigger?t=amftc7&amp;q=BMEX%3aCIE&amp;form=skydnc</v>
    <v>Learn more on Bing</v>
  </rv>
  <rv s="1">
    <v>pt-BR</v>
    <v>amftc7</v>
    <v>268435456</v>
    <v>1</v>
    <v>Da plataforma Refinitiv</v>
    <v>0</v>
    <v>1</v>
    <v>CIE Automotive (BMEX:CIE)</v>
    <v>3</v>
    <v>4</v>
    <v>Finance</v>
    <v>5</v>
    <v>30.9</v>
    <v>20.25</v>
    <v>BMEX</v>
    <v>119807500</v>
    <v>29.6</v>
    <v>1939</v>
    <v>28.35</v>
    <v>0.78710000000000002</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28.85</v>
    <v>24342</v>
    <v>46059.697916666664</v>
    <v>107</v>
    <v>54160</v>
    <v>EUR</v>
    <v>CIE Automotive</v>
    <v>CIE Automotive</v>
    <v>10.8888</v>
    <v>28.55</v>
    <v>29.6</v>
    <v>Alameda Mazarredo 69, 8, BILBAO, VIZCAYA, 48009 ES</v>
    <v>Automobiles &amp; Auto Parts</v>
    <v>CIE</v>
    <v>Ações</v>
    <v>CIE Automotive (BMEX:CIE)</v>
    <v>0.75</v>
    <v>2.5996999999999999E-2</v>
    <v>36148</v>
  </rv>
  <rv s="2">
    <v>108</v>
  </rv>
  <rv s="0">
    <v>https://www.bing.com/financeapi/forcetrigger?t=amfttc&amp;q=BMEX%3aCOL&amp;form=skydnc</v>
    <v>Learn more on Bing</v>
  </rv>
  <rv s="1">
    <v>pt-BR</v>
    <v>amfttc</v>
    <v>268435456</v>
    <v>1</v>
    <v>Da plataforma Refinitiv</v>
    <v>0</v>
    <v>1</v>
    <v>Colonial SFL (BMEX:COL)</v>
    <v>3</v>
    <v>4</v>
    <v>Finance</v>
    <v>5</v>
    <v>6.34</v>
    <v>4.984</v>
    <v>BMEX</v>
    <v>627344700</v>
    <v>5.36</v>
    <v>1946</v>
    <v>5.2949999999999999</v>
    <v>1.2733000000000001</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5.34</v>
    <v>210</v>
    <v>46059.697916666664</v>
    <v>110</v>
    <v>1480790</v>
    <v>EUR</v>
    <v>Colonial SFL</v>
    <v>Colonial SFL</v>
    <v>7.2342000000000004</v>
    <v>5.35</v>
    <v>5.3150000000000004</v>
    <v>Paseo de la Castellana, 52, MADRID, MADRID ES</v>
    <v>Residential &amp; Commercial REIT</v>
    <v>COL</v>
    <v>Ações</v>
    <v>Colonial SFL (BMEX:COL)</v>
    <v>-2.5000000000000001E-2</v>
    <v>-4.6820000000000004E-3</v>
    <v>1309609</v>
  </rv>
  <rv s="2">
    <v>111</v>
  </rv>
  <rv s="0">
    <v>https://www.bing.com/financeapi/forcetrigger?t=amg2z2&amp;q=BMEX%3aSCYR&amp;form=skydnc</v>
    <v>Learn more on Bing</v>
  </rv>
  <rv s="12">
    <v>pt-BR</v>
    <v>amg2z2</v>
    <v>268435456</v>
    <v>1</v>
    <v>Da plataforma Refinitiv</v>
    <v>33</v>
    <v>34</v>
    <v>Sacyr ES (BMEX:SCYR)</v>
    <v>3</v>
    <v>35</v>
    <v>Finance</v>
    <v>9</v>
    <v>4.258</v>
    <v>2.4889999999999999</v>
    <v>BMEX</v>
    <v>806818500</v>
    <v>-1.9116999999999999E-2</v>
    <v>-8.14E-2</v>
    <v>4.258</v>
    <v>4.04</v>
    <v>1.1629</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4.0339999999999998</v>
    <v>13784</v>
    <v>46059.697916666664</v>
    <v>113</v>
    <v>1616450</v>
    <v>EUR</v>
    <v>Sacyr ES</v>
    <v>Sacyr ES</v>
    <v>32.355600000000003</v>
    <v>4.04</v>
    <v>4.258</v>
    <v>4.1765999999999996</v>
    <v>Condesa de Venadito 7, MADRID, MADRID, 28027 ES</v>
    <v>Construction &amp; Engineering</v>
    <v>SCYR</v>
    <v>Ações</v>
    <v>Sacyr ES (BMEX:SCYR)</v>
    <v>0.224</v>
    <v>5.5528000000000001E-2</v>
    <v>5090078</v>
  </rv>
  <rv s="2">
    <v>114</v>
  </rv>
  <rv s="0">
    <v>https://www.bing.com/financeapi/forcetrigger?t=amfqbh&amp;q=BMEX%3aACX&amp;form=skydnc</v>
    <v>Learn more on Bing</v>
  </rv>
  <rv s="1">
    <v>pt-BR</v>
    <v>amfqbh</v>
    <v>268435456</v>
    <v>1</v>
    <v>Da plataforma Refinitiv</v>
    <v>0</v>
    <v>1</v>
    <v>Acerinox (BMEX:ACX)</v>
    <v>3</v>
    <v>4</v>
    <v>Finance</v>
    <v>5</v>
    <v>13.5</v>
    <v>8.3000000000000007</v>
    <v>BMEX</v>
    <v>249335400</v>
    <v>13.32</v>
    <v>1970</v>
    <v>12.57</v>
    <v>1.2193000000000001</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12.66</v>
    <v>9276</v>
    <v>46059.697916666664</v>
    <v>116</v>
    <v>1294410</v>
    <v>EUR</v>
    <v>Acerinox</v>
    <v>Acerinox</v>
    <v>53.091299999999997</v>
    <v>12.59</v>
    <v>13.31</v>
    <v>C/ Santiago de Compostela n 100, MADRID, MADRID, 28035 ES</v>
    <v>Metals &amp; Mining</v>
    <v>ACX</v>
    <v>Ações</v>
    <v>Acerinox (BMEX:ACX)</v>
    <v>0.65</v>
    <v>5.1343E-2</v>
    <v>2202469</v>
  </rv>
  <rv s="2">
    <v>117</v>
  </rv>
  <rv s="0">
    <v>https://www.bing.com/financeapi/forcetrigger?t=amg4gh&amp;q=BMEX%3aVID&amp;form=skydnc</v>
    <v>Learn more on Bing</v>
  </rv>
  <rv s="12">
    <v>pt-BR</v>
    <v>amg4gh</v>
    <v>268435456</v>
    <v>1</v>
    <v>Da plataforma Refinitiv</v>
    <v>33</v>
    <v>34</v>
    <v>Vidrala (BMEX:VID)</v>
    <v>3</v>
    <v>35</v>
    <v>Finance</v>
    <v>9</v>
    <v>97.713999999999999</v>
    <v>80.099999999999994</v>
    <v>BMEX</v>
    <v>35206260</v>
    <v>-5.7599999999999995E-3</v>
    <v>-0.5</v>
    <v>87.4</v>
    <v>86.3</v>
    <v>0.95709999999999995</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87.3</v>
    <v>4889</v>
    <v>46059.697916666664</v>
    <v>119</v>
    <v>24620</v>
    <v>EUR</v>
    <v>Vidrala</v>
    <v>Vidrala</v>
    <v>10.4611</v>
    <v>87</v>
    <v>86.8</v>
    <v>86.3</v>
    <v>Barrio Munegazo, 22, LLODIO, ALAVA, 01400 ES</v>
    <v>Containers &amp; Packaging</v>
    <v>VID</v>
    <v>Ações</v>
    <v>Vidrala (BMEX:VID)</v>
    <v>-0.5</v>
    <v>-5.7269999999999995E-3</v>
    <v>21936</v>
  </rv>
  <rv s="2">
    <v>120</v>
  </rv>
  <rv s="0">
    <v>https://www.bing.com/financeapi/forcetrigger?t=amfuh7&amp;q=BMEX%3aEBRO&amp;form=skydnc</v>
    <v>Learn more on Bing</v>
  </rv>
  <rv s="7">
    <v>pt-BR</v>
    <v>amfuh7</v>
    <v>268435456</v>
    <v>1</v>
    <v>Da plataforma Refinitiv</v>
    <v>16</v>
    <v>17</v>
    <v>Ebro Foods (BMEX:EBRO)</v>
    <v>3</v>
    <v>18</v>
    <v>Finance</v>
    <v>5</v>
    <v>18.899999999999999</v>
    <v>15.94</v>
    <v>BMEX</v>
    <v>153865400</v>
    <v>18.68</v>
    <v>18.5</v>
    <v>0.24790000000000001</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18.62</v>
    <v>6404</v>
    <v>46059.697916666664</v>
    <v>122</v>
    <v>34640</v>
    <v>EUR</v>
    <v>Ebro Foods</v>
    <v>Ebro Foods</v>
    <v>14.656000000000001</v>
    <v>18.600000000000001</v>
    <v>18.66</v>
    <v>Paseo de la Castellana numero 20, 2 planta, MADRID, MADRID, 28046 ES</v>
    <v>Food &amp; Tobacco</v>
    <v>EBRO</v>
    <v>Ações</v>
    <v>Ebro Foods (BMEX:EBRO)</v>
    <v>0.04</v>
    <v>2.1479999999999997E-3</v>
    <v>41175</v>
  </rv>
  <rv s="2">
    <v>123</v>
  </rv>
  <rv s="0">
    <v>https://www.bing.com/financeapi/forcetrigger?t=amfr52&amp;q=BMEX%3aALM&amp;form=skydnc</v>
    <v>Learn more on Bing</v>
  </rv>
  <rv s="7">
    <v>pt-BR</v>
    <v>amfr52</v>
    <v>268435456</v>
    <v>1</v>
    <v>Da plataforma Refinitiv</v>
    <v>16</v>
    <v>17</v>
    <v>Almirall (BMEX:ALM)</v>
    <v>3</v>
    <v>18</v>
    <v>Finance</v>
    <v>5</v>
    <v>13.72</v>
    <v>8.5969999999999995</v>
    <v>BMEX</v>
    <v>214785200</v>
    <v>13.06</v>
    <v>12.7</v>
    <v>0.50260000000000005</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13.04</v>
    <v>2084</v>
    <v>46059.697916666664</v>
    <v>125</v>
    <v>154200</v>
    <v>EUR</v>
    <v>Almirall</v>
    <v>Almirall</v>
    <v>65.680800000000005</v>
    <v>13.06</v>
    <v>12.88</v>
    <v>Ronda General Mitre, 151, BARCELONA, BARCELONA, 08022 ES</v>
    <v>Pharmaceuticals</v>
    <v>ALM</v>
    <v>Ações</v>
    <v>Almirall (BMEX:ALM)</v>
    <v>-0.16</v>
    <v>-1.2270000000000001E-2</v>
    <v>96185</v>
  </rv>
  <rv s="2">
    <v>126</v>
  </rv>
  <rv s="0">
    <v>https://www.bing.com/financeapi/forcetrigger?t=amfrjc&amp;q=BMEX%3aAPAM&amp;form=skydnc</v>
    <v>Learn more on Bing</v>
  </rv>
  <rv s="9">
    <v>pt-BR</v>
    <v>amfrjc</v>
    <v>268435456</v>
    <v>1</v>
    <v>Da plataforma Refinitiv</v>
    <v>24</v>
    <v>25</v>
    <v>Aperam (BMEX:APAM)</v>
    <v>3</v>
    <v>26</v>
    <v>Finance</v>
    <v>5</v>
    <v>41.52</v>
    <v>23</v>
    <v>BMEX</v>
    <v>73184570</v>
    <v>41.52</v>
    <v>2010</v>
    <v>37.200000000000003</v>
    <v>1.6518999999999999</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36.700000000000003</v>
    <v>12900</v>
    <v>46059.692442129628</v>
    <v>128</v>
    <v>192520</v>
    <v>EUR</v>
    <v>Aperam</v>
    <v>Aperam</v>
    <v>37.200000000000003</v>
    <v>38</v>
    <v>24-26 Boulevard d'Avranches, LUXEMBOURG, 1160 LU</v>
    <v>Metals &amp; Mining</v>
    <v>APAM</v>
    <v>Ações</v>
    <v>Aperam (BMEX:APAM)</v>
    <v>1.3</v>
    <v>3.5421999999999995E-2</v>
    <v>13697</v>
  </rv>
  <rv s="2">
    <v>129</v>
  </rv>
  <rv s="0">
    <v>https://www.bing.com/financeapi/forcetrigger?t=btaxcw&amp;q=BMEX%3aGRE&amp;form=skydnc</v>
    <v>Learn more on Bing</v>
  </rv>
  <rv s="1">
    <v>pt-BR</v>
    <v>btaxcw</v>
    <v>268435456</v>
    <v>1</v>
    <v>Da plataforma Refinitiv</v>
    <v>0</v>
    <v>1</v>
    <v>Grenergy (BMEX:GRE)</v>
    <v>3</v>
    <v>4</v>
    <v>Finance</v>
    <v>5</v>
    <v>99.3</v>
    <v>34.25</v>
    <v>BMEX</v>
    <v>28579730</v>
    <v>94.9</v>
    <v>2007</v>
    <v>91.6</v>
    <v>1.4056999999999999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92.8</v>
    <v>647</v>
    <v>46059.697916666664</v>
    <v>131</v>
    <v>32420</v>
    <v>EUR</v>
    <v>Grenergy</v>
    <v>Grenergy</v>
    <v>26.878299999999999</v>
    <v>94.2</v>
    <v>94.3</v>
    <v>Rafael Boti, 26, MADRID, MADRID, 28023 ES</v>
    <v>Electrical Utilities &amp; IPPs</v>
    <v>GRE</v>
    <v>Ações</v>
    <v>Grenergy (BMEX:GRE)</v>
    <v>1.5</v>
    <v>1.6164000000000001E-2</v>
    <v>48315</v>
  </rv>
  <rv s="2">
    <v>132</v>
  </rv>
  <rv s="0">
    <v>https://www.bing.com/financeapi/forcetrigger?t=amg4jc&amp;q=BMEX%3aVIS&amp;form=skydnc</v>
    <v>Learn more on Bing</v>
  </rv>
  <rv s="1">
    <v>pt-BR</v>
    <v>amg4jc</v>
    <v>268435456</v>
    <v>1</v>
    <v>Da plataforma Refinitiv</v>
    <v>0</v>
    <v>1</v>
    <v>Viscofan (BMEX:VIS)</v>
    <v>3</v>
    <v>4</v>
    <v>Finance</v>
    <v>5</v>
    <v>65.625</v>
    <v>47.433999999999997</v>
    <v>BMEX</v>
    <v>46500000</v>
    <v>56</v>
    <v>1975</v>
    <v>54.8</v>
    <v>0.25640000000000002</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55.9</v>
    <v>5632</v>
    <v>46059.697916666664</v>
    <v>134</v>
    <v>70060</v>
    <v>EUR</v>
    <v>Viscofan</v>
    <v>Viscofan</v>
    <v>16.320399999999999</v>
    <v>55.7</v>
    <v>55.7</v>
    <v>Poligono Industrial Berroa, C/Berroa 15-4 planta, Tajonar, ARANGUREN, NAVARRA, 31192 ES</v>
    <v>Containers &amp; Packaging</v>
    <v>VIS</v>
    <v>Ações</v>
    <v>Viscofan (BMEX:VIS)</v>
    <v>-0.2</v>
    <v>-3.578E-3</v>
    <v>79929</v>
  </rv>
  <rv s="2">
    <v>135</v>
  </rv>
  <rv s="10">
    <v>pt-BR</v>
    <v>chde9c</v>
    <v>268435456</v>
    <v>1</v>
    <v>Da plataforma Refinitiv</v>
    <v>27</v>
    <v>28</v>
    <v>Cirsa Enterprise (BMEX:CIRSA)</v>
    <v>21</v>
    <v>29</v>
    <v>Finance</v>
    <v>5</v>
    <v>17.2</v>
    <v>12.77</v>
    <v>BMEX</v>
    <v>167992700</v>
    <v>14.7</v>
    <v>2017</v>
    <v>14.11</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14.7</v>
    <v>15803</v>
    <v>46059.697916666664</v>
    <v>86190</v>
    <v>EUR</v>
    <v>Cirsa Enterprise</v>
    <v>Cirsa Enterprise</v>
    <v>61.609400000000001</v>
    <v>14.7</v>
    <v>14.7</v>
    <v>Carretera de Castellar, 298, TERRASSA, BARCELONA, 08226 ES</v>
    <v>Hotels &amp; Entertainment Services</v>
    <v>CIRSA</v>
    <v>Ações</v>
    <v>Cirsa Enterprise (BMEX:CIRSA)</v>
    <v>0</v>
    <v>0</v>
    <v>63050</v>
  </rv>
  <rv s="2">
    <v>137</v>
  </rv>
  <rv s="0">
    <v>https://www.bing.com/financeapi/forcetrigger?t=amg427&amp;q=BMEX%3aTRE&amp;form=skydnc</v>
    <v>Learn more on Bing</v>
  </rv>
  <rv s="1">
    <v>pt-BR</v>
    <v>amg427</v>
    <v>268435456</v>
    <v>1</v>
    <v>Da plataforma Refinitiv</v>
    <v>0</v>
    <v>1</v>
    <v>Tecnicas Reunida (BMEX:TRE)</v>
    <v>3</v>
    <v>4</v>
    <v>Finance</v>
    <v>5</v>
    <v>32.9</v>
    <v>10.6</v>
    <v>BMEX</v>
    <v>80301270</v>
    <v>31.22</v>
    <v>1960</v>
    <v>30.5</v>
    <v>1.5769</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30.5</v>
    <v>10986</v>
    <v>46059.697916666664</v>
    <v>139</v>
    <v>143650</v>
    <v>EUR</v>
    <v>Tecnicas Reunida</v>
    <v>Tecnicas Reunida</v>
    <v>18.524000000000001</v>
    <v>30.6</v>
    <v>31.1</v>
    <v>Parque Empresarial Adequa, Edificio 6., Avenida de Burgos 89, MADRID, MADRID, 28050 ES</v>
    <v>Construction &amp; Engineering</v>
    <v>TRE</v>
    <v>Ações</v>
    <v>Tecnicas Reunida (BMEX:TRE)</v>
    <v>0.6</v>
    <v>1.9672000000000002E-2</v>
    <v>72129</v>
  </rv>
  <rv s="2">
    <v>140</v>
  </rv>
  <rv s="0">
    <v>https://www.bing.com/financeapi/forcetrigger?t=amfu2w&amp;q=BMEX%3aDIA&amp;form=skydnc</v>
    <v>Learn more on Bing</v>
  </rv>
  <rv s="1">
    <v>pt-BR</v>
    <v>amfu2w</v>
    <v>268435456</v>
    <v>1</v>
    <v>Da plataforma Refinitiv</v>
    <v>0</v>
    <v>1</v>
    <v>DIA (BMEX:DIA)</v>
    <v>3</v>
    <v>4</v>
    <v>Finance</v>
    <v>5</v>
    <v>39.75</v>
    <v>16.222000000000001</v>
    <v>BMEX</v>
    <v>58058900</v>
    <v>39.5</v>
    <v>1966</v>
    <v>38.25</v>
    <v>0.90149999999999997</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38.85</v>
    <v>16129</v>
    <v>46059.697916666664</v>
    <v>142</v>
    <v>23750</v>
    <v>EUR</v>
    <v>DIA</v>
    <v>DIA</v>
    <v>43.631900000000002</v>
    <v>38.5</v>
    <v>39.5</v>
    <v>Parque Empresarial de las Rozas - Edif. Tripark C/ Jacinto Benavente 2 A, LAS ROZAS DE MADRID, MADRID, 28232 ES</v>
    <v>Food &amp; Drug Retailing</v>
    <v>DIA</v>
    <v>Ações</v>
    <v>DIA (BMEX:DIA)</v>
    <v>0.65</v>
    <v>1.6730999999999999E-2</v>
    <v>30121</v>
  </rv>
  <rv s="2">
    <v>143</v>
  </rv>
  <rv s="0">
    <v>https://www.bing.com/financeapi/forcetrigger?t=amfvar&amp;q=BMEX%3aENO&amp;form=skydnc</v>
    <v>Learn more on Bing</v>
  </rv>
  <rv s="9">
    <v>pt-BR</v>
    <v>amfvar</v>
    <v>268435456</v>
    <v>1</v>
    <v>Da plataforma Refinitiv</v>
    <v>24</v>
    <v>25</v>
    <v>Elecnor (BMEX:ENO)</v>
    <v>3</v>
    <v>26</v>
    <v>Finance</v>
    <v>5</v>
    <v>30.9</v>
    <v>15.08</v>
    <v>BMEX</v>
    <v>87000000</v>
    <v>27.1</v>
    <v>1958</v>
    <v>26.05</v>
    <v>0.77490000000000003</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26.2</v>
    <v>28218</v>
    <v>46059.697916666664</v>
    <v>145</v>
    <v>57990</v>
    <v>EUR</v>
    <v>Elecnor</v>
    <v>Elecnor</v>
    <v>26.15</v>
    <v>27.1</v>
    <v>Calle Marques de Mondejar, 33, MADRID, MADRID, 28028 ES</v>
    <v>Construction &amp; Engineering</v>
    <v>ENO</v>
    <v>Ações</v>
    <v>Elecnor (BMEX:ENO)</v>
    <v>0.9</v>
    <v>3.4351E-2</v>
    <v>103092</v>
  </rv>
  <rv s="2">
    <v>146</v>
  </rv>
  <rv s="0">
    <v>https://www.bing.com/financeapi/forcetrigger?t=amg38m&amp;q=BMEX%3aSLR&amp;form=skydnc</v>
    <v>Learn more on Bing</v>
  </rv>
  <rv s="1">
    <v>pt-BR</v>
    <v>amg38m</v>
    <v>268435456</v>
    <v>1</v>
    <v>Da plataforma Refinitiv</v>
    <v>0</v>
    <v>1</v>
    <v>Sol Ene Y Med Am (BMEX:SLR)</v>
    <v>3</v>
    <v>4</v>
    <v>Finance</v>
    <v>5</v>
    <v>18.945</v>
    <v>6.0880000000000001</v>
    <v>BMEX</v>
    <v>124950900</v>
    <v>17.940000000000001</v>
    <v>2002</v>
    <v>17.350000000000001</v>
    <v>1.1568000000000001</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17.48</v>
    <v>235</v>
    <v>46059.697916666664</v>
    <v>148</v>
    <v>857810</v>
    <v>EUR</v>
    <v>Sol Ene Y Med Am</v>
    <v>Sol Ene Y Med Am</v>
    <v>12.7552</v>
    <v>17.454999999999998</v>
    <v>17.68</v>
    <v>C/ Princesa, 2 - 4 Planta, MADRID, MADRID, 28008 ES</v>
    <v>Electrical Utilities &amp; IPPs</v>
    <v>SLR</v>
    <v>Ações</v>
    <v>Sol Ene Y Med Am (BMEX:SLR)</v>
    <v>0.2</v>
    <v>1.1442000000000001E-2</v>
    <v>480222</v>
  </rv>
  <rv s="2">
    <v>149</v>
  </rv>
  <rv s="0">
    <v>https://www.bing.com/financeapi/forcetrigger?t=amfwzr&amp;q=BMEX%3aHOME&amp;form=skydnc</v>
    <v>Learn more on Bing</v>
  </rv>
  <rv s="1">
    <v>pt-BR</v>
    <v>amfwzr</v>
    <v>268435456</v>
    <v>1</v>
    <v>Da plataforma Refinitiv</v>
    <v>0</v>
    <v>1</v>
    <v>Neinor Homes (BMEX:HOME)</v>
    <v>3</v>
    <v>4</v>
    <v>Finance</v>
    <v>5</v>
    <v>21</v>
    <v>11</v>
    <v>BMEX</v>
    <v>98862690</v>
    <v>20.149999999999999</v>
    <v>2014</v>
    <v>19.600000000000001</v>
    <v>-5.4000000000000003E-3</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19.98</v>
    <v>284</v>
    <v>46059.697916666664</v>
    <v>151</v>
    <v>238860</v>
    <v>EUR</v>
    <v>Neinor Homes</v>
    <v>Neinor Homes</v>
    <v>26.112400000000001</v>
    <v>20</v>
    <v>19.600000000000001</v>
    <v>la calle Henao 20, BILBAO, VIZCAYA, 48009 ES</v>
    <v>Real Estate Operations</v>
    <v>HOME</v>
    <v>Ações</v>
    <v>Neinor Homes (BMEX:HOME)</v>
    <v>-0.38</v>
    <v>-1.9018999999999998E-2</v>
    <v>336658</v>
  </rv>
  <rv s="2">
    <v>152</v>
  </rv>
  <rv s="0">
    <v>https://www.bing.com/financeapi/forcetrigger?t=amfsu2&amp;q=BMEX%3aCAF&amp;form=skydnc</v>
    <v>Learn more on Bing</v>
  </rv>
  <rv s="7">
    <v>pt-BR</v>
    <v>amfsu2</v>
    <v>268435456</v>
    <v>1</v>
    <v>Da plataforma Refinitiv</v>
    <v>16</v>
    <v>17</v>
    <v>CAF (BMEX:CAF)</v>
    <v>3</v>
    <v>18</v>
    <v>Finance</v>
    <v>5</v>
    <v>61.8</v>
    <v>33.299999999999997</v>
    <v>BMEX</v>
    <v>34280750</v>
    <v>57.7</v>
    <v>56.1</v>
    <v>1.0086999999999999</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56.2</v>
    <v>16972</v>
    <v>46059.697916666664</v>
    <v>154</v>
    <v>28370</v>
    <v>EUR</v>
    <v>CAF</v>
    <v>CAF</v>
    <v>13.8668</v>
    <v>56.2</v>
    <v>57.6</v>
    <v>J.M. Iturrioz, 26, BEASAIN, GIPUZKOA, 20200 ES</v>
    <v>Machinery, Equipment &amp; Components</v>
    <v>CAF</v>
    <v>Ações</v>
    <v>CAF (BMEX:CAF)</v>
    <v>1.4</v>
    <v>2.4910999999999999E-2</v>
    <v>11758</v>
  </rv>
  <rv s="2">
    <v>155</v>
  </rv>
  <rv s="0">
    <v>https://www.bing.com/financeapi/forcetrigger?t=amfwa2&amp;q=BMEX%3aGEST&amp;form=skydnc</v>
    <v>Learn more on Bing</v>
  </rv>
  <rv s="1">
    <v>pt-BR</v>
    <v>amfwa2</v>
    <v>268435456</v>
    <v>1</v>
    <v>Da plataforma Refinitiv</v>
    <v>0</v>
    <v>1</v>
    <v>Gestamp Automoc (BMEX:GEST)</v>
    <v>3</v>
    <v>4</v>
    <v>Finance</v>
    <v>5</v>
    <v>3.5419999999999998</v>
    <v>2.3319999999999999</v>
    <v>BMEX</v>
    <v>575514300</v>
    <v>3.1320000000000001</v>
    <v>1997</v>
    <v>3.0379999999999998</v>
    <v>1.0521</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3.1040000000000001</v>
    <v>43757</v>
    <v>46059.697916666664</v>
    <v>157</v>
    <v>225190</v>
    <v>EUR</v>
    <v>Gestamp Automoc</v>
    <v>Gestamp Automoc</v>
    <v>10.7187</v>
    <v>3.09</v>
    <v>3.1320000000000001</v>
    <v>Poligono Industrial De Lebario S/N, ABADINO, VIZCAYA, 48220 ES</v>
    <v>Automobiles &amp; Auto Parts</v>
    <v>GEST</v>
    <v>Ações</v>
    <v>Gestamp Automoc (BMEX:GEST)</v>
    <v>2.8000000000000001E-2</v>
    <v>9.0209999999999995E-3</v>
    <v>163948</v>
  </rv>
  <rv s="2">
    <v>158</v>
  </rv>
  <rv s="10">
    <v>pt-BR</v>
    <v>cf58c7</v>
    <v>268435456</v>
    <v>1</v>
    <v>Da plataforma Refinitiv</v>
    <v>27</v>
    <v>28</v>
    <v>Inmocemento (BMEX:IMC)</v>
    <v>21</v>
    <v>29</v>
    <v>Finance</v>
    <v>5</v>
    <v>4.25</v>
    <v>2.71</v>
    <v>BMEX</v>
    <v>454878100</v>
    <v>4.2149999999999999</v>
    <v>2024</v>
    <v>3.9950000000000001</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4.03</v>
    <v>1233</v>
    <v>46059.697916666664</v>
    <v>29230</v>
    <v>EUR</v>
    <v>Inmocemento</v>
    <v>Inmocemento</v>
    <v>6.1007999999999996</v>
    <v>4.2149999999999999</v>
    <v>4.1150000000000002</v>
    <v>Avda. Camino De Santiago 50, MADRID, MADRID, 28034 ES</v>
    <v>Real Estate Operations</v>
    <v>IMC</v>
    <v>Ações</v>
    <v>Inmocemento (BMEX:IMC)</v>
    <v>8.5000000000000006E-2</v>
    <v>2.1092E-2</v>
    <v>15737</v>
  </rv>
  <rv s="2">
    <v>160</v>
  </rv>
  <rv s="0">
    <v>https://www.bing.com/financeapi/forcetrigger?t=amfz27&amp;q=BMEX%3aMEL&amp;form=skydnc</v>
    <v>Learn more on Bing</v>
  </rv>
  <rv s="1">
    <v>pt-BR</v>
    <v>amfz27</v>
    <v>268435456</v>
    <v>1</v>
    <v>Da plataforma Refinitiv</v>
    <v>0</v>
    <v>1</v>
    <v>Melia Hotels (BMEX:MEL)</v>
    <v>3</v>
    <v>4</v>
    <v>Finance</v>
    <v>5</v>
    <v>8.23</v>
    <v>5.6150000000000002</v>
    <v>BMEX</v>
    <v>220400000</v>
    <v>7.7949999999999999</v>
    <v>1986</v>
    <v>7.625</v>
    <v>1.2264999999999999</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7.7649999999999997</v>
    <v>18649</v>
    <v>46059.697916666664</v>
    <v>162</v>
    <v>274060</v>
    <v>EUR</v>
    <v>Melia Hotels</v>
    <v>Melia Hotels</v>
    <v>9.9269999999999996</v>
    <v>7.7649999999999997</v>
    <v>7.75</v>
    <v>Calle Gremio Toneleros 24, PALMA DE MALLORCA, BALEARES, 07009 ES</v>
    <v>Hotels &amp; Entertainment Services</v>
    <v>MEL</v>
    <v>Ações</v>
    <v>Melia Hotels (BMEX:MEL)</v>
    <v>-1.4999999999999999E-2</v>
    <v>-1.9320000000000001E-3</v>
    <v>308780</v>
  </rv>
  <rv s="2">
    <v>163</v>
  </rv>
  <rv s="0">
    <v>https://www.bing.com/financeapi/forcetrigger?t=amfvm7&amp;q=BMEX%3aFAE&amp;form=skydnc</v>
    <v>Learn more on Bing</v>
  </rv>
  <rv s="1">
    <v>pt-BR</v>
    <v>amfvm7</v>
    <v>268435456</v>
    <v>1</v>
    <v>Da plataforma Refinitiv</v>
    <v>0</v>
    <v>1</v>
    <v>Faes Farma (BMEX:FAE)</v>
    <v>3</v>
    <v>4</v>
    <v>Finance</v>
    <v>5</v>
    <v>5.44</v>
    <v>3.27</v>
    <v>BMEX</v>
    <v>316223900</v>
    <v>5.21</v>
    <v>1933</v>
    <v>5.15</v>
    <v>0.34039999999999998</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5.22</v>
    <v>756</v>
    <v>46059.697916666664</v>
    <v>165</v>
    <v>124680</v>
    <v>EUR</v>
    <v>Faes Farma</v>
    <v>Faes Farma</v>
    <v>15.373200000000001</v>
    <v>5.2</v>
    <v>5.19</v>
    <v>Avda. Autonomia 10, LEIOA, VIZCAYA, 48940 ES</v>
    <v>Pharmaceuticals</v>
    <v>FAE</v>
    <v>Ações</v>
    <v>Faes Farma (BMEX:FAE)</v>
    <v>-0.03</v>
    <v>-5.7469999999999995E-3</v>
    <v>61608</v>
  </rv>
  <rv s="2">
    <v>166</v>
  </rv>
  <rv s="0">
    <v>https://www.bing.com/financeapi/forcetrigger?t=amg2kr&amp;q=BMEX%3aRLIA&amp;form=skydnc</v>
    <v>Learn more on Bing</v>
  </rv>
  <rv s="1">
    <v>pt-BR</v>
    <v>amg2kr</v>
    <v>268435456</v>
    <v>1</v>
    <v>Da plataforma Refinitiv</v>
    <v>0</v>
    <v>1</v>
    <v>Realia Business (BMEX:RLIA)</v>
    <v>3</v>
    <v>4</v>
    <v>Finance</v>
    <v>5</v>
    <v>1.1000000000000001</v>
    <v>0.86</v>
    <v>BMEX</v>
    <v>1509588000</v>
    <v>1.0649999999999999</v>
    <v>1997</v>
    <v>1.04</v>
    <v>0.17929999999999999</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1.0449999999999999</v>
    <v>97</v>
    <v>46059.697916666664</v>
    <v>168</v>
    <v>15620</v>
    <v>EUR</v>
    <v>Realia Business</v>
    <v>Realia Business</v>
    <v>13.797599999999999</v>
    <v>1.04</v>
    <v>1.05</v>
    <v>Av. del Camino de Santiago 40, MADRID, MADRID, 28050 ES</v>
    <v>Real Estate Operations</v>
    <v>RLIA</v>
    <v>Ações</v>
    <v>Realia Business (BMEX:RLIA)</v>
    <v>5.0000000000000001E-3</v>
    <v>4.7850000000000002E-3</v>
    <v>7601</v>
  </rv>
  <rv s="2">
    <v>169</v>
  </rv>
  <rv s="0">
    <v>https://www.bing.com/financeapi/forcetrigger?t=aytbnm&amp;q=BMEX%3aMVC&amp;form=skydnc</v>
    <v>Learn more on Bing</v>
  </rv>
  <rv s="1">
    <v>pt-BR</v>
    <v>aytbnm</v>
    <v>268435456</v>
    <v>1</v>
    <v>Da plataforma Refinitiv</v>
    <v>0</v>
    <v>1</v>
    <v>Metrovacesa (BMEX:MVC)</v>
    <v>3</v>
    <v>4</v>
    <v>Finance</v>
    <v>5</v>
    <v>12.75</v>
    <v>8.59</v>
    <v>BMEX</v>
    <v>151676300</v>
    <v>10.3</v>
    <v>2016</v>
    <v>10.199999999999999</v>
    <v>0.628</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10.3</v>
    <v>163</v>
    <v>46059.697916666664</v>
    <v>171</v>
    <v>100600</v>
    <v>EUR</v>
    <v>Metrovacesa</v>
    <v>Metrovacesa</v>
    <v>97.805300000000003</v>
    <v>10.3</v>
    <v>10.25</v>
    <v>Parque empresarial Via Norte, C/ Quintanavides 13, MADRID, MADRID, 28050 ES</v>
    <v>Real Estate Operations</v>
    <v>MVC</v>
    <v>Ações</v>
    <v>Metrovacesa (BMEX:MVC)</v>
    <v>-0.05</v>
    <v>-4.8539999999999998E-3</v>
    <v>31720</v>
  </rv>
  <rv s="2">
    <v>172</v>
  </rv>
  <rv s="0">
    <v>https://www.bing.com/financeapi/forcetrigger?t=apm3m7&amp;q=BVMF%3aBRAP3&amp;form=skydnc</v>
    <v>Learn more on Bing</v>
  </rv>
  <rv s="13">
    <v>pt-BR</v>
    <v>apm3m7</v>
    <v>268435456</v>
    <v>1</v>
    <v>Da plataforma Refinitiv</v>
    <v>36</v>
    <v>37</v>
    <v>Bradespar S.A (BVMF:BRAP3)</v>
    <v>3</v>
    <v>38</v>
    <v>Finance</v>
    <v>39</v>
    <v>22.11</v>
    <v>12.54</v>
    <v>BVMF</v>
    <v>393096600</v>
    <v>21.03</v>
    <v>2000</v>
    <v>20.54</v>
    <v>0.8891</v>
    <v>B3 - Brazil Stock Exchange</v>
    <v>8113513824</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20.95</v>
    <v>46059.705810185187</v>
    <v>174</v>
    <v>4225710</v>
    <v>BRL</v>
    <v>Bradespar S.A</v>
    <v>Bradespar S.A</v>
    <v>20.92</v>
    <v>20.64</v>
    <v>Avenida Paulista, 1.450,9 andar, Cerqueira Cesar, SAO PAULO, SAO PAULO, 01.310-917 BR</v>
    <v>Metals &amp; Mining</v>
    <v>BRAP3</v>
    <v>Ações</v>
    <v>Bradespar S.A (BVMF:BRAP3)</v>
    <v>-0.31</v>
    <v>-1.4796999999999999E-2</v>
    <v>45500</v>
  </rv>
  <rv s="2">
    <v>175</v>
  </rv>
  <rv s="0">
    <v>https://www.bing.com/financeapi/forcetrigger?t=amg1r7&amp;q=BMEX%3aPSG&amp;form=skydnc</v>
    <v>Learn more on Bing</v>
  </rv>
  <rv s="1">
    <v>pt-BR</v>
    <v>amg1r7</v>
    <v>268435456</v>
    <v>1</v>
    <v>Da plataforma Refinitiv</v>
    <v>0</v>
    <v>1</v>
    <v>Prosegur (BMEX:PSG)</v>
    <v>3</v>
    <v>4</v>
    <v>Finance</v>
    <v>5</v>
    <v>3.085</v>
    <v>1.712</v>
    <v>BMEX</v>
    <v>545026900</v>
    <v>2.78</v>
    <v>1976</v>
    <v>2.73</v>
    <v>0.89219999999999999</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2.7850000000000001</v>
    <v>173389</v>
    <v>46059.697916666664</v>
    <v>177</v>
    <v>197580</v>
    <v>EUR</v>
    <v>Prosegur</v>
    <v>Prosegur</v>
    <v>13.8805</v>
    <v>2.78</v>
    <v>2.7650000000000001</v>
    <v>calle Pajaritos 24, MADRID, MADRID, 28007 ES</v>
    <v>Professional &amp; Commercial Services</v>
    <v>PSG</v>
    <v>Ações</v>
    <v>Prosegur (BMEX:PSG)</v>
    <v>-0.02</v>
    <v>-7.1809999999999999E-3</v>
    <v>40164</v>
  </rv>
  <rv s="2">
    <v>178</v>
  </rv>
  <rv s="0">
    <v>https://www.bing.com/financeapi/forcetrigger?t=c2enh7&amp;q=BMEX%3aART&amp;form=skydnc</v>
    <v>Learn more on Bing</v>
  </rv>
  <rv s="7">
    <v>pt-BR</v>
    <v>c2enh7</v>
    <v>268435456</v>
    <v>1</v>
    <v>Da plataforma Refinitiv</v>
    <v>16</v>
    <v>17</v>
    <v>Arteche Lantegi (BMEX:ART)</v>
    <v>3</v>
    <v>18</v>
    <v>Finance</v>
    <v>5</v>
    <v>27.8</v>
    <v>6.6</v>
    <v>BMEX</v>
    <v>57094010</v>
    <v>24.8</v>
    <v>23.2</v>
    <v>0.56620000000000004</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23.8</v>
    <v>2859</v>
    <v>46059.691087962965</v>
    <v>180</v>
    <v>18570</v>
    <v>EUR</v>
    <v>Arteche Lantegi</v>
    <v>Arteche Lantegi</v>
    <v>43.5809</v>
    <v>23.6</v>
    <v>24</v>
    <v>Derio Bidea, 28, MUNGIA, VIZCAYA, 48100 ES</v>
    <v>Machinery, Equipment &amp; Components</v>
    <v>ART</v>
    <v>Ações</v>
    <v>Arteche Lantegi (BMEX:ART)</v>
    <v>0.2</v>
    <v>8.4030000000000007E-3</v>
    <v>9300</v>
  </rv>
  <rv s="2">
    <v>181</v>
  </rv>
  <rv s="0">
    <v>https://www.bing.com/financeapi/forcetrigger?t=amg1fr&amp;q=BMEX%3aPHM&amp;form=skydnc</v>
    <v>Learn more on Bing</v>
  </rv>
  <rv s="1">
    <v>pt-BR</v>
    <v>amg1fr</v>
    <v>268435456</v>
    <v>1</v>
    <v>Da plataforma Refinitiv</v>
    <v>0</v>
    <v>1</v>
    <v>PharmaMar (BMEX:PHM)</v>
    <v>3</v>
    <v>4</v>
    <v>Finance</v>
    <v>5</v>
    <v>105.8</v>
    <v>65</v>
    <v>BMEX</v>
    <v>18000000</v>
    <v>76.45</v>
    <v>1986</v>
    <v>74.75</v>
    <v>0.82489999999999997</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76.150000000000006</v>
    <v>500</v>
    <v>46059.697916666664</v>
    <v>183</v>
    <v>28180</v>
    <v>EUR</v>
    <v>PharmaMar</v>
    <v>PharmaMar</v>
    <v>39.328499999999998</v>
    <v>76</v>
    <v>76.25</v>
    <v>Avda. De los Reyes, 1, Pol. Ind. La Mina, COLMENAR VIEJO, MADRID, 28770 ES</v>
    <v>Pharmaceuticals</v>
    <v>PHM</v>
    <v>Ações</v>
    <v>PharmaMar (BMEX:PHM)</v>
    <v>0.1</v>
    <v>1.3129999999999999E-3</v>
    <v>24646</v>
  </rv>
  <rv s="2">
    <v>184</v>
  </rv>
  <rv s="0">
    <v>https://www.bing.com/financeapi/forcetrigger?t=c1wu5r&amp;q=BMEX%3aLDA&amp;form=skydnc</v>
    <v>Learn more on Bing</v>
  </rv>
  <rv s="1">
    <v>pt-BR</v>
    <v>c1wu5r</v>
    <v>268435456</v>
    <v>1</v>
    <v>Da plataforma Refinitiv</v>
    <v>0</v>
    <v>1</v>
    <v>Linea Directa (BMEX:LDA)</v>
    <v>3</v>
    <v>4</v>
    <v>Finance</v>
    <v>5</v>
    <v>1.44</v>
    <v>1.056</v>
    <v>BMEX</v>
    <v>1088417000</v>
    <v>1.1639999999999999</v>
    <v>1994</v>
    <v>1.1479999999999999</v>
    <v>0.26879999999999998</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1.1599999999999999</v>
    <v>2423</v>
    <v>46059.697916666664</v>
    <v>186</v>
    <v>626370</v>
    <v>EUR</v>
    <v>Linea Directa</v>
    <v>Linea Directa</v>
    <v>15.0785</v>
    <v>1.1619999999999999</v>
    <v>1.1519999999999999</v>
    <v>calle Isaac Newton 7, TRES CANTOS, MADRID ES</v>
    <v>Insurance</v>
    <v>LDA</v>
    <v>Ações</v>
    <v>Linea Directa (BMEX:LDA)</v>
    <v>-8.0000000000000002E-3</v>
    <v>-6.8969999999999995E-3</v>
    <v>381833</v>
  </rv>
  <rv s="2">
    <v>187</v>
  </rv>
  <rv s="0">
    <v>https://www.bing.com/financeapi/forcetrigger?t=amg6z2&amp;q=BMEX%3aYGMP&amp;form=skydnc</v>
    <v>Learn more on Bing</v>
  </rv>
  <rv s="14">
    <v>pt-BR</v>
    <v>amg6z2</v>
    <v>268435456</v>
    <v>1</v>
    <v>Da plataforma Refinitiv</v>
    <v>40</v>
    <v>41</v>
    <v>GMP Property (BMEX:YGMP)</v>
    <v>3</v>
    <v>42</v>
    <v>Finance</v>
    <v>5</v>
    <v>BMEX</v>
    <v>19124270</v>
    <v>65</v>
    <v>1974</v>
    <v>65</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7">
    <v>pt-BR</v>
    <v>amfptc</v>
    <v>268435456</v>
    <v>1</v>
    <v>Da plataforma Refinitiv</v>
    <v>16</v>
    <v>17</v>
    <v>Atresmedia (BMEX:A3M)</v>
    <v>3</v>
    <v>18</v>
    <v>Finance</v>
    <v>5</v>
    <v>6.29</v>
    <v>4.38</v>
    <v>BMEX</v>
    <v>225732800</v>
    <v>5.14</v>
    <v>5.05</v>
    <v>0.93540000000000001</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5.1100000000000003</v>
    <v>2589</v>
    <v>46059.697916666664</v>
    <v>192</v>
    <v>305400</v>
    <v>EUR</v>
    <v>Atresmedia</v>
    <v>Atresmedia</v>
    <v>9.5282999999999998</v>
    <v>5.12</v>
    <v>5.09</v>
    <v>Avda. Isla Graciosa, 13, SAN SEBASTIAN DE LOS REYES, MADRID, 28703 ES</v>
    <v>Media &amp; Publishing</v>
    <v>A3M</v>
    <v>Ações</v>
    <v>Atresmedia (BMEX:A3M)</v>
    <v>-0.02</v>
    <v>-3.9139999999999999E-3</v>
    <v>277976</v>
  </rv>
  <rv s="2">
    <v>193</v>
  </rv>
  <rv s="0">
    <v>https://www.bing.com/financeapi/forcetrigger?t=amfqmw&amp;q=BMEX%3aAEDAS&amp;form=skydnc</v>
    <v>Learn more on Bing</v>
  </rv>
  <rv s="1">
    <v>pt-BR</v>
    <v>amfqmw</v>
    <v>268435456</v>
    <v>1</v>
    <v>Da plataforma Refinitiv</v>
    <v>0</v>
    <v>1</v>
    <v>Aedas Homes (BMEX:AEDAS)</v>
    <v>3</v>
    <v>4</v>
    <v>Finance</v>
    <v>5</v>
    <v>30.417999999999999</v>
    <v>20.85</v>
    <v>BMEX</v>
    <v>43700000</v>
    <v>23.95</v>
    <v>2016</v>
    <v>23.9</v>
    <v>0.61129999999999995</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23.9</v>
    <v>314</v>
    <v>46059.697916666664</v>
    <v>195</v>
    <v>55880</v>
    <v>EUR</v>
    <v>Aedas Homes</v>
    <v>Aedas Homes</v>
    <v>7.2510000000000003</v>
    <v>23.9</v>
    <v>23.95</v>
    <v>Paseo de la Castellana, 42, MADRID, MADRID, 28046 ES</v>
    <v>Real Estate Operations</v>
    <v>AEDAS</v>
    <v>Ações</v>
    <v>Aedas Homes (BMEX:AEDAS)</v>
    <v>0.05</v>
    <v>2.0920000000000001E-3</v>
    <v>38102</v>
  </rv>
  <rv s="2">
    <v>196</v>
  </rv>
  <rv s="0">
    <v>https://www.bing.com/financeapi/forcetrigger?t=bn12zr&amp;q=BMEX%3aYCPS&amp;form=skydnc</v>
    <v>Learn more on Bing</v>
  </rv>
  <rv s="15">
    <v>pt-BR</v>
    <v>bn12zr</v>
    <v>268435456</v>
    <v>1</v>
    <v>Da plataforma Refinitiv</v>
    <v>43</v>
    <v>44</v>
    <v>Castellana Prop (BMEX:YCPS)</v>
    <v>3</v>
    <v>45</v>
    <v>Finance</v>
    <v>5</v>
    <v>BMEX</v>
    <v>127684000</v>
    <v>8.4</v>
    <v>2015</v>
    <v>8.25</v>
    <v>-1E-4</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8.15</v>
    <v>44</v>
    <v>46059.625092592592</v>
    <v>198</v>
    <v>380</v>
    <v>EUR</v>
    <v>Castellana Prop</v>
    <v>Castellana Prop</v>
    <v>9.3592999999999993</v>
    <v>8.25</v>
    <v>8.4</v>
    <v>Glorieta Ruben Dario, 3, 1 derecha, MADRID, MADRID, 28010 ES</v>
    <v>Residential &amp; Commercial REIT</v>
    <v>YCPS</v>
    <v>Ações</v>
    <v>Castellana Prop (BMEX:YCPS)</v>
    <v>0.25</v>
    <v>3.0674999999999997E-2</v>
    <v>1203</v>
  </rv>
  <rv s="2">
    <v>199</v>
  </rv>
  <rv s="0">
    <v>https://www.bing.com/financeapi/forcetrigger?t=boh5zr&amp;q=BMEX%3aYVIV&amp;form=skydnc</v>
    <v>Learn more on Bing</v>
  </rv>
  <rv s="14">
    <v>pt-BR</v>
    <v>boh5zr</v>
    <v>268435456</v>
    <v>1</v>
    <v>Da plataforma Refinitiv</v>
    <v>40</v>
    <v>41</v>
    <v>Vivenio (BMEX:YVIV)</v>
    <v>3</v>
    <v>42</v>
    <v>Finance</v>
    <v>5</v>
    <v>BMEX</v>
    <v>732298100</v>
    <v>1.36</v>
    <v>2017</v>
    <v>1.36</v>
    <v>Bolsas y Mercados Espanoles</v>
    <v>1010571000</v>
    <v xml:space="preserve">Vivenio Residencial SOCIMI SA is a Spain-based real estate company, which aims to develop, acquire and manage residential properties in Spain. </v>
    <v>BMEX</v>
    <v>1.38</v>
    <v>90</v>
    <v>45952.667754629627</v>
    <v>201</v>
    <v>EUR</v>
    <v>Vivenio</v>
    <v>Vivenio</v>
    <v>11.138400000000001</v>
    <v>1.36</v>
    <v>1.36</v>
    <v>Velazquez 51, 1 I, MADRID, MADRID, 28001 ES</v>
    <v>Residential &amp; Commercial REIT</v>
    <v>YVIV</v>
    <v>Ações</v>
    <v>Vivenio (BMEX:YVIV)</v>
    <v>-0.02</v>
    <v>-1.4493000000000001E-2</v>
    <v>1000</v>
  </rv>
  <rv s="2">
    <v>202</v>
  </rv>
  <rv s="0">
    <v>https://www.bing.com/financeapi/forcetrigger?t=amfszr&amp;q=BMEX%3aCASH&amp;form=skydnc</v>
    <v>Learn more on Bing</v>
  </rv>
  <rv s="1">
    <v>pt-BR</v>
    <v>amfszr</v>
    <v>268435456</v>
    <v>1</v>
    <v>Da plataforma Refinitiv</v>
    <v>0</v>
    <v>1</v>
    <v>Prosegur Cash (BMEX:CASH)</v>
    <v>3</v>
    <v>4</v>
    <v>Finance</v>
    <v>5</v>
    <v>0.88600000000000001</v>
    <v>0.56299999999999994</v>
    <v>BMEX</v>
    <v>1484913000</v>
    <v>0.64</v>
    <v>2016</v>
    <v>0.629</v>
    <v>0.52559999999999996</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0.63700000000000001</v>
    <v>55657</v>
    <v>46059.697916666664</v>
    <v>204</v>
    <v>560300</v>
    <v>EUR</v>
    <v>Prosegur Cash</v>
    <v>Prosegur Cash</v>
    <v>10.544600000000001</v>
    <v>0.64</v>
    <v>0.63900000000000001</v>
    <v>Calle Santa Sabina 8, MADRID, MADRID, 28007 ES</v>
    <v>Professional &amp; Commercial Services</v>
    <v>CASH</v>
    <v>Ações</v>
    <v>Prosegur Cash (BMEX:CASH)</v>
    <v>2E-3</v>
    <v>3.14E-3</v>
    <v>479127</v>
  </rv>
  <rv s="2">
    <v>205</v>
  </rv>
  <rv s="0">
    <v>https://www.bing.com/financeapi/forcetrigger?t=amft3m&amp;q=BMEX%3aCBAV&amp;form=skydnc</v>
    <v>Learn more on Bing</v>
  </rv>
  <rv s="7">
    <v>pt-BR</v>
    <v>amft3m</v>
    <v>268435456</v>
    <v>1</v>
    <v>Da plataforma Refinitiv</v>
    <v>16</v>
    <v>17</v>
    <v>Clinica Baviera (BMEX:CBAV)</v>
    <v>3</v>
    <v>18</v>
    <v>Finance</v>
    <v>5</v>
    <v>56.6</v>
    <v>29.7</v>
    <v>BMEX</v>
    <v>16307580</v>
    <v>56.6</v>
    <v>52.4</v>
    <v>0.70450000000000002</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52.6</v>
    <v>1842</v>
    <v>46059.697916666664</v>
    <v>207</v>
    <v>5160</v>
    <v>EUR</v>
    <v>Clinica Baviera</v>
    <v>Clinica Baviera</v>
    <v>21.986699999999999</v>
    <v>52.6</v>
    <v>55.6</v>
    <v>Paseo de la Castellana 20, MADRID, MADRID, 28046 ES</v>
    <v>Healthcare Providers &amp; Services</v>
    <v>CBAV</v>
    <v>Ações</v>
    <v>Clinica Baviera (BMEX:CBAV)</v>
    <v>3</v>
    <v>5.7034000000000001E-2</v>
    <v>10026</v>
  </rv>
  <rv s="2">
    <v>208</v>
  </rv>
  <rv s="0">
    <v>https://www.bing.com/financeapi/forcetrigger?t=amg1zr&amp;q=BMEX%3aR4&amp;form=skydnc</v>
    <v>Learn more on Bing</v>
  </rv>
  <rv s="1">
    <v>pt-BR</v>
    <v>amg1zr</v>
    <v>268435456</v>
    <v>1</v>
    <v>Da plataforma Refinitiv</v>
    <v>0</v>
    <v>1</v>
    <v>Renta 4 Banco (BMEX:R4)</v>
    <v>3</v>
    <v>4</v>
    <v>Finance</v>
    <v>5</v>
    <v>21</v>
    <v>12.6</v>
    <v>BMEX</v>
    <v>40693200</v>
    <v>19.3</v>
    <v>2013</v>
    <v>19</v>
    <v>0.22040000000000001</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v>
    <v>741</v>
    <v>46059.691087962965</v>
    <v>210</v>
    <v>2470</v>
    <v>EUR</v>
    <v>Renta 4 Banco</v>
    <v>Renta 4 Banco</v>
    <v>18.423100000000002</v>
    <v>19</v>
    <v>19.3</v>
    <v>Paseo de la Habana 74, MADRID, MADRID, 28036 ES</v>
    <v>Investment Banking &amp; Investment Services</v>
    <v>R4</v>
    <v>Ações</v>
    <v>Renta 4 Banco (BMEX:R4)</v>
    <v>0.3</v>
    <v>1.5789000000000001E-2</v>
    <v>234</v>
  </rv>
  <rv s="2">
    <v>211</v>
  </rv>
  <rv s="16">
    <v>pt-BR</v>
    <v>ci8gkr</v>
    <v>268435456</v>
    <v>1</v>
    <v>Da plataforma Refinitiv</v>
    <v>46</v>
    <v>47</v>
    <v>Helios Re (BMEX:SCLRE)</v>
    <v>21</v>
    <v>48</v>
    <v>Finance</v>
    <v>49</v>
    <v>8.3000000000000007</v>
    <v>8.27</v>
    <v>BMEX</v>
    <v>83692970</v>
    <v>2014</v>
    <v>0.78180000000000005</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 MARIA DE MOLINA 39 - 10a PLANTA, MADRID, MADRID ES</v>
    <v>Residential &amp; Commercial REIT</v>
    <v>SCLRE</v>
    <v>Ações</v>
    <v>Helios Re (BMEX:SCLRE)</v>
  </rv>
  <rv s="2">
    <v>213</v>
  </rv>
  <rv s="17">
    <v>12</v>
    <v>Preço</v>
    <v>0</v>
  </rv>
  <rv s="18">
    <v>12</v>
    <v>1</v>
  </rv>
  <rv s="0">
    <v>https://www.bing.com/financeapi/forcetrigger?t=bny3oc&amp;q=BMEX%3aEAT&amp;form=skydnc</v>
    <v>Learn more on Bing</v>
  </rv>
  <rv s="7">
    <v>pt-BR</v>
    <v>bny3oc</v>
    <v>268435456</v>
    <v>1</v>
    <v>Da plataforma Refinitiv</v>
    <v>16</v>
    <v>17</v>
    <v>Amrest Holdings (BMEX:EAT)</v>
    <v>3</v>
    <v>50</v>
    <v>Finance</v>
    <v>5</v>
    <v>4.5599999999999996</v>
    <v>2.95</v>
    <v>BMEX</v>
    <v>219554200</v>
    <v>3.25</v>
    <v>3.17</v>
    <v>0.56259999999999999</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3.2549999999999999</v>
    <v>45259</v>
    <v>46059.691087962965</v>
    <v>217</v>
    <v>230480</v>
    <v>EUR</v>
    <v>Amrest Holdings</v>
    <v>Amrest Holdings</v>
    <v>30.534400000000002</v>
    <v>3.25</v>
    <v>3.2</v>
    <v>Paseo de la Castellana, 163, (10A Planta), MADRID, MADRID, 28046 ES</v>
    <v>Hotels &amp; Entertainment Services</v>
    <v>EAT</v>
    <v>Ações</v>
    <v>Amrest Holdings (BMEX:EAT)</v>
    <v>-5.5E-2</v>
    <v>-1.6896999999999999E-2</v>
    <v>23375</v>
  </rv>
  <rv s="2">
    <v>218</v>
  </rv>
  <rv s="0">
    <v>https://www.bing.com/financeapi/forcetrigger?t=amfqh7&amp;q=BMEX%3aADX&amp;form=skydnc</v>
    <v>Learn more on Bing</v>
  </rv>
  <rv s="1">
    <v>pt-BR</v>
    <v>amfqh7</v>
    <v>268435456</v>
    <v>1</v>
    <v>Da plataforma Refinitiv</v>
    <v>0</v>
    <v>1</v>
    <v>Audax Renovables (BMEX:ADX)</v>
    <v>3</v>
    <v>4</v>
    <v>Finance</v>
    <v>5</v>
    <v>1.712</v>
    <v>1.242</v>
    <v>BMEX</v>
    <v>453430800</v>
    <v>1.3080000000000001</v>
    <v>2000</v>
    <v>1.292</v>
    <v>1.7421</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1.296</v>
    <v>783</v>
    <v>46059.697916666664</v>
    <v>220</v>
    <v>146090</v>
    <v>EUR</v>
    <v>Audax Renovables</v>
    <v>Audax Renovables</v>
    <v>10.1252</v>
    <v>1.3</v>
    <v>1.294</v>
    <v>Calle de la Electronica, n 19, planta 7, puerta C, BADALONA, BARCELONA, 08915 ES</v>
    <v>Multiline Utilities</v>
    <v>ADX</v>
    <v>Ações</v>
    <v>Audax Renovables (BMEX:ADX)</v>
    <v>-2E-3</v>
    <v>-1.5429999999999999E-3</v>
    <v>94551</v>
  </rv>
  <rv s="2">
    <v>221</v>
  </rv>
  <rv s="0">
    <v>https://www.bing.com/financeapi/forcetrigger?t=awnuim&amp;q=BMEX%3aYZBL&amp;form=skydnc</v>
    <v>Learn more on Bing</v>
  </rv>
  <rv s="11">
    <v>pt-BR</v>
    <v>awnuim</v>
    <v>268435456</v>
    <v>1</v>
    <v>Da plataforma Refinitiv</v>
    <v>30</v>
    <v>31</v>
    <v>Zambal Spain (BMEX:YZBL)</v>
    <v>3</v>
    <v>32</v>
    <v>Finance</v>
    <v>5</v>
    <v>BMEX</v>
    <v>646006500</v>
    <v>0.90500000000000003</v>
    <v>2013</v>
    <v>0.90500000000000003</v>
    <v>7.3899999999999993E-2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223</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224</v>
  </rv>
  <rv s="0">
    <v>https://www.bing.com/financeapi/forcetrigger?t=amfwr7&amp;q=BMEX%3aGSJ&amp;form=skydnc</v>
    <v>Learn more on Bing</v>
  </rv>
  <rv s="1">
    <v>pt-BR</v>
    <v>amfwr7</v>
    <v>268435456</v>
    <v>1</v>
    <v>Da plataforma Refinitiv</v>
    <v>0</v>
    <v>1</v>
    <v>Grupo Sanjose (BMEX:GSJ)</v>
    <v>3</v>
    <v>4</v>
    <v>Finance</v>
    <v>5</v>
    <v>8.6999999999999993</v>
    <v>4.75</v>
    <v>BMEX</v>
    <v>65026080</v>
    <v>8.59</v>
    <v>1987</v>
    <v>8.4700000000000006</v>
    <v>0.98950000000000005</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8.5</v>
    <v>3876</v>
    <v>46059.697916666664</v>
    <v>226</v>
    <v>85980</v>
    <v>EUR</v>
    <v>Grupo Sanjose</v>
    <v>Grupo Sanjose</v>
    <v>20.846599999999999</v>
    <v>8.4700000000000006</v>
    <v>8.52</v>
    <v>C/Rosalia de Castro, 44, PONTEVEDRA, PONTEVEDRA, 36001 ES</v>
    <v>Construction &amp; Engineering</v>
    <v>GSJ</v>
    <v>Ações</v>
    <v>Grupo Sanjose (BMEX:GSJ)</v>
    <v>0.02</v>
    <v>2.3530000000000001E-3</v>
    <v>36116</v>
  </rv>
  <rv s="2">
    <v>227</v>
  </rv>
  <rv s="0">
    <v>https://www.bing.com/financeapi/forcetrigger?t=amfv52&amp;q=BMEX%3aENC&amp;form=skydnc</v>
    <v>Learn more on Bing</v>
  </rv>
  <rv s="19">
    <v>pt-BR</v>
    <v>amfv52</v>
    <v>268435456</v>
    <v>1</v>
    <v>Da plataforma Refinitiv</v>
    <v>51</v>
    <v>52</v>
    <v>Ence Energia (BMEX:ENC)</v>
    <v>3</v>
    <v>53</v>
    <v>Finance</v>
    <v>5</v>
    <v>3.5760000000000001</v>
    <v>2.1760000000000002</v>
    <v>BMEX</v>
    <v>246272500</v>
    <v>2.298</v>
    <v>2.242</v>
    <v>0.5877</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2.2959999999999998</v>
    <v>1276</v>
    <v>46059.697916666664</v>
    <v>229</v>
    <v>287430</v>
    <v>EUR</v>
    <v>Ence Energia</v>
    <v>Ence Energia</v>
    <v>2.254</v>
    <v>2.294</v>
    <v>C. de Estebanez Calderon, 3-5, 2a planta, MADRID, MADRID ES</v>
    <v>Paper &amp; Forest Products</v>
    <v>ENC</v>
    <v>Ações</v>
    <v>Ence Energia (BMEX:ENC)</v>
    <v>-2E-3</v>
    <v>-8.7110000000000009E-4</v>
    <v>234389</v>
  </rv>
  <rv s="2">
    <v>230</v>
  </rv>
  <rv s="0">
    <v>https://www.bing.com/financeapi/forcetrigger?t=amfysm&amp;q=BMEX%3aMCM&amp;form=skydnc</v>
    <v>Learn more on Bing</v>
  </rv>
  <rv s="7">
    <v>pt-BR</v>
    <v>amfysm</v>
    <v>268435456</v>
    <v>1</v>
    <v>Da plataforma Refinitiv</v>
    <v>16</v>
    <v>17</v>
    <v>Miquel Y Costas (BMEX:MCM)</v>
    <v>3</v>
    <v>18</v>
    <v>Finance</v>
    <v>5</v>
    <v>15</v>
    <v>11.75</v>
    <v>BMEX</v>
    <v>40000000</v>
    <v>14.25</v>
    <v>14.05</v>
    <v>0.15709999999999999</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14.25</v>
    <v>507</v>
    <v>46059.697916666664</v>
    <v>232</v>
    <v>11440</v>
    <v>EUR</v>
    <v>Miquel Y Costas</v>
    <v>Miquel Y Costas</v>
    <v>11.647</v>
    <v>14.2</v>
    <v>14.2</v>
    <v>Tuset 8-10, 7 Planta, BARCELONA, BARCELONA, 08006 ES</v>
    <v>Paper &amp; Forest Products</v>
    <v>MCM</v>
    <v>Ações</v>
    <v>Miquel Y Costas (BMEX:MCM)</v>
    <v>-0.05</v>
    <v>-3.509E-3</v>
    <v>921</v>
  </rv>
  <rv s="2">
    <v>233</v>
  </rv>
  <rv s="0">
    <v>https://www.bing.com/financeapi/forcetrigger?t=amfu5r&amp;q=BMEX%3aDOM&amp;form=skydnc</v>
    <v>Learn more on Bing</v>
  </rv>
  <rv s="1">
    <v>pt-BR</v>
    <v>amfu5r</v>
    <v>268435456</v>
    <v>1</v>
    <v>Da plataforma Refinitiv</v>
    <v>0</v>
    <v>1</v>
    <v>Global Dominion (BMEX:DOM)</v>
    <v>3</v>
    <v>4</v>
    <v>Finance</v>
    <v>5</v>
    <v>3.69</v>
    <v>2.42</v>
    <v>BMEX</v>
    <v>151140000</v>
    <v>3.4049999999999998</v>
    <v>1999</v>
    <v>3.3</v>
    <v>0.54259999999999997</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3.375</v>
    <v>10723</v>
    <v>46059.697916666664</v>
    <v>235</v>
    <v>198950</v>
    <v>EUR</v>
    <v>Global Dominion</v>
    <v>Global Dominion</v>
    <v>16.158200000000001</v>
    <v>3.37</v>
    <v>3.39</v>
    <v>3 Pio Baroja Place, 1st Floor, BILBAO, VIZCAYA, 48001 ES</v>
    <v>Professional &amp; Commercial Services</v>
    <v>DOM</v>
    <v>Ações</v>
    <v>Global Dominion (BMEX:DOM)</v>
    <v>1.4999999999999999E-2</v>
    <v>4.444E-3</v>
    <v>160952</v>
  </rv>
  <rv s="2">
    <v>236</v>
  </rv>
  <rv s="0">
    <v>https://www.bing.com/financeapi/forcetrigger?t=bny4nm&amp;q=BMEX%3aYATO&amp;form=skydnc</v>
    <v>Learn more on Bing</v>
  </rv>
  <rv s="15">
    <v>pt-BR</v>
    <v>bny4nm</v>
    <v>268435456</v>
    <v>1</v>
    <v>Da plataforma Refinitiv</v>
    <v>43</v>
    <v>44</v>
    <v>Atom Hoteles (BMEX:YATO)</v>
    <v>3</v>
    <v>45</v>
    <v>Finance</v>
    <v>5</v>
    <v>BMEX</v>
    <v>32288750</v>
    <v>15.8</v>
    <v>2018</v>
    <v>15.7</v>
    <v>0.1527</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15.7</v>
    <v>55</v>
    <v>46059.625092592592</v>
    <v>238</v>
    <v>650</v>
    <v>EUR</v>
    <v>Atom Hoteles</v>
    <v>Atom Hoteles</v>
    <v>5.1917</v>
    <v>15.7</v>
    <v>15.8</v>
    <v>Paseo del Club Deportivo 1, Edificio 11 (Parque Empresarial La Finca), POZUELO DE ALARCON, MADRID, 28223 ES</v>
    <v>Residential &amp; Commercial REIT</v>
    <v>YATO</v>
    <v>Ações</v>
    <v>Atom Hoteles (BMEX:YATO)</v>
    <v>0.1</v>
    <v>6.3690000000000005E-3</v>
    <v>736</v>
  </rv>
  <rv s="2">
    <v>239</v>
  </rv>
  <rv s="0">
    <v>https://www.bing.com/financeapi/forcetrigger?t=amfzxm&amp;q=BMEX%3aOHLA&amp;form=skydnc</v>
    <v>Learn more on Bing</v>
  </rv>
  <rv s="19">
    <v>pt-BR</v>
    <v>amfzxm</v>
    <v>268435456</v>
    <v>1</v>
    <v>Da plataforma Refinitiv</v>
    <v>51</v>
    <v>52</v>
    <v>OHL (BMEX:OHLA)</v>
    <v>3</v>
    <v>53</v>
    <v>Finance</v>
    <v>5</v>
    <v>0.52300000000000002</v>
    <v>0.26700000000000002</v>
    <v>BMEX</v>
    <v>1383432000</v>
    <v>0.35499999999999998</v>
    <v>0.34599999999999997</v>
    <v>1.1464000000000001</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0.34949999999999998</v>
    <v>8439</v>
    <v>46059.697916666664</v>
    <v>241</v>
    <v>3819840</v>
    <v>EUR</v>
    <v>OHL</v>
    <v>OHL</v>
    <v>0.34849999999999998</v>
    <v>0.35499999999999998</v>
    <v>Torre Emperador. Paseo de la Castellana, 259, MADRID, MADRID, 28046 ES</v>
    <v>Construction &amp; Engineering</v>
    <v>OHLA</v>
    <v>Ações</v>
    <v>OHL (BMEX:OHLA)</v>
    <v>5.4999999999999997E-3</v>
    <v>1.5737000000000001E-2</v>
    <v>3457955</v>
  </rv>
  <rv s="2">
    <v>242</v>
  </rv>
  <rv s="0">
    <v>https://www.bing.com/financeapi/forcetrigger?t=amfr27&amp;q=BMEX%3aALC&amp;form=skydnc</v>
    <v>Learn more on Bing</v>
  </rv>
  <rv s="1">
    <v>pt-BR</v>
    <v>amfr27</v>
    <v>268435456</v>
    <v>1</v>
    <v>Da plataforma Refinitiv</v>
    <v>0</v>
    <v>1</v>
    <v>Altia (BMEX:ALC)</v>
    <v>3</v>
    <v>4</v>
    <v>Finance</v>
    <v>5</v>
    <v>7.1</v>
    <v>2.25</v>
    <v>BMEX</v>
    <v>68781850</v>
    <v>7.1</v>
    <v>1994</v>
    <v>7</v>
    <v>-1.3299999999999999E-2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7.1</v>
    <v>3578</v>
    <v>46059.625092592592</v>
    <v>244</v>
    <v>1240</v>
    <v>EUR</v>
    <v>Altia</v>
    <v>Altia</v>
    <v>29.239799999999999</v>
    <v>7.1</v>
    <v>7</v>
    <v>Rua Vulcano, 3 (Poligono ICARIA III), OLEIROS, LA CORUNA, 15172 ES</v>
    <v>Software &amp; IT Services</v>
    <v>ALC</v>
    <v>Ações</v>
    <v>Altia (BMEX:ALC)</v>
    <v>-0.1</v>
    <v>-1.4085E-2</v>
    <v>2015</v>
  </rv>
  <rv s="2">
    <v>245</v>
  </rv>
  <rv s="0">
    <v>https://www.bing.com/financeapi/forcetrigger?t=amg1oc&amp;q=BMEX%3aPRS&amp;form=skydnc</v>
    <v>Learn more on Bing</v>
  </rv>
  <rv s="9">
    <v>pt-BR</v>
    <v>amg1oc</v>
    <v>268435456</v>
    <v>1</v>
    <v>Da plataforma Refinitiv</v>
    <v>24</v>
    <v>25</v>
    <v>Promotora Inform (BMEX:PRS)</v>
    <v>3</v>
    <v>26</v>
    <v>Finance</v>
    <v>5</v>
    <v>0.54</v>
    <v>0.317</v>
    <v>BMEX</v>
    <v>1349050000</v>
    <v>0.34499999999999997</v>
    <v>1972</v>
    <v>0.34200000000000003</v>
    <v>0.83230000000000004</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0.34699999999999998</v>
    <v>7287</v>
    <v>46059.697916666664</v>
    <v>247</v>
    <v>53950</v>
    <v>EUR</v>
    <v>Promotora Inform</v>
    <v>Promotora Inform</v>
    <v>0.34200000000000003</v>
    <v>0.34200000000000003</v>
    <v>Gran Via, 32, MADRID, MADRID, 28013 ES</v>
    <v>Media &amp; Publishing</v>
    <v>PRS</v>
    <v>Ações</v>
    <v>Promotora Inform (BMEX:PRS)</v>
    <v>-5.0000000000000001E-3</v>
    <v>-1.4409E-2</v>
    <v>79192</v>
  </rv>
  <rv s="2">
    <v>248</v>
  </rv>
  <rv s="0">
    <v>https://www.bing.com/financeapi/forcetrigger?t=amg47w&amp;q=BMEX%3aTUB&amp;form=skydnc</v>
    <v>Learn more on Bing</v>
  </rv>
  <rv s="1">
    <v>pt-BR</v>
    <v>amg47w</v>
    <v>268435456</v>
    <v>1</v>
    <v>Da plataforma Refinitiv</v>
    <v>0</v>
    <v>1</v>
    <v>Tubacex (BMEX:TUB)</v>
    <v>3</v>
    <v>4</v>
    <v>Finance</v>
    <v>5</v>
    <v>4.3899999999999997</v>
    <v>3</v>
    <v>BMEX</v>
    <v>126549200</v>
    <v>3.5249999999999999</v>
    <v>1963</v>
    <v>3.44</v>
    <v>1.0045999999999999</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3.49</v>
    <v>2769</v>
    <v>46059.697916666664</v>
    <v>250</v>
    <v>251770</v>
    <v>EUR</v>
    <v>Tubacex</v>
    <v>Tubacex</v>
    <v>12.819100000000001</v>
    <v>3.49</v>
    <v>3.4649999999999999</v>
    <v>Tres Cruces 8, LLODIO, ALAVA, 01400 ES</v>
    <v>Metals &amp; Mining</v>
    <v>TUB</v>
    <v>Ações</v>
    <v>Tubacex (BMEX:TUB)</v>
    <v>-2.5000000000000001E-2</v>
    <v>-7.1630000000000001E-3</v>
    <v>216853</v>
  </rv>
  <rv s="2">
    <v>251</v>
  </rv>
  <rv s="0">
    <v>https://www.bing.com/financeapi/forcetrigger?t=bjsfyc&amp;q=BMEX%3aNXT&amp;form=skydnc</v>
    <v>Learn more on Bing</v>
  </rv>
  <rv s="1">
    <v>pt-BR</v>
    <v>bjsfyc</v>
    <v>268435456</v>
    <v>1</v>
    <v>Da plataforma Refinitiv</v>
    <v>0</v>
    <v>1</v>
    <v>Nue Expres Txtl (BMEX:NXT)</v>
    <v>3</v>
    <v>4</v>
    <v>Finance</v>
    <v>5</v>
    <v>1.02</v>
    <v>0.33500000000000002</v>
    <v>BMEX</v>
    <v>430705500</v>
    <v>0.96</v>
    <v>1971</v>
    <v>0.89600000000000002</v>
    <v>0.65710000000000002</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0.90200000000000002</v>
    <v>326</v>
    <v>46059.697916666664</v>
    <v>253</v>
    <v>1365040</v>
    <v>EUR</v>
    <v>Nue Expres Txtl</v>
    <v>Nue Expres Txtl</v>
    <v>78.644099999999995</v>
    <v>0.91</v>
    <v>0.92800000000000005</v>
    <v>Paseo de la Castellana 140, 1 Planta B2, MADRID, MADRID, 28046 ES</v>
    <v>Textiles &amp; Apparel</v>
    <v>NXT</v>
    <v>Ações</v>
    <v>Nue Expres Txtl (BMEX:NXT)</v>
    <v>2.5999999999999999E-2</v>
    <v>2.8825E-2</v>
    <v>1148880</v>
  </rv>
  <rv s="2">
    <v>254</v>
  </rv>
  <rv s="0">
    <v>https://www.bing.com/financeapi/forcetrigger?t=bn11jc&amp;q=BMEX%3aYTST&amp;form=skydnc</v>
    <v>Learn more on Bing</v>
  </rv>
  <rv s="11">
    <v>pt-BR</v>
    <v>bn11jc</v>
    <v>268435456</v>
    <v>1</v>
    <v>Da plataforma Refinitiv</v>
    <v>30</v>
    <v>31</v>
    <v>Testa Residencia (BMEX:YTST)</v>
    <v>3</v>
    <v>32</v>
    <v>Finance</v>
    <v>5</v>
    <v>BMEX</v>
    <v>132270200</v>
    <v>3.1</v>
    <v>2001</v>
    <v>3.1</v>
    <v>-1.5900000000000001E-2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3.12</v>
    <v>134</v>
    <v>46059.625092592592</v>
    <v>256</v>
    <v>EUR</v>
    <v>Testa Residencia</v>
    <v>Testa Residencia</v>
    <v>11.6541</v>
    <v>3.1</v>
    <v>3.1</v>
    <v>Paseo de la Castellana, 257, MADRID, MADRID, 28046 ES</v>
    <v>Real Estate Operations</v>
    <v>YTST</v>
    <v>Ações</v>
    <v>Testa Residencia (BMEX:YTST)</v>
    <v>-0.02</v>
    <v>-6.4099999999999999E-3</v>
    <v>500</v>
  </rv>
  <rv s="2">
    <v>257</v>
  </rv>
  <rv s="0">
    <v>https://www.bing.com/financeapi/forcetrigger?t=amfrar&amp;q=BMEX%3aAMP&amp;form=skydnc</v>
    <v>Learn more on Bing</v>
  </rv>
  <rv s="1">
    <v>pt-BR</v>
    <v>amfrar</v>
    <v>268435456</v>
    <v>1</v>
    <v>Da plataforma Refinitiv</v>
    <v>0</v>
    <v>1</v>
    <v>Amper (BMEX:AMP)</v>
    <v>3</v>
    <v>4</v>
    <v>Finance</v>
    <v>5</v>
    <v>0.20699999999999999</v>
    <v>0.113</v>
    <v>BMEX</v>
    <v>2276124000</v>
    <v>0.17799999999999999</v>
    <v>1971</v>
    <v>0.17100000000000001</v>
    <v>1.0835999999999999</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0.1736</v>
    <v>3885</v>
    <v>46059.697916666664</v>
    <v>259</v>
    <v>9742770</v>
    <v>EUR</v>
    <v>Amper</v>
    <v>Amper</v>
    <v>1770</v>
    <v>0.17299999999999999</v>
    <v>0.17699999999999999</v>
    <v>C/ Virgilio,2 (Edif. 4). Ciudad de la Imagen, POZUELO DE ALARCON, MADRID, 28223 ES</v>
    <v>Communications &amp; Networking</v>
    <v>AMP</v>
    <v>Ações</v>
    <v>Amper (BMEX:AMP)</v>
    <v>3.3999999999999998E-3</v>
    <v>1.9584999999999998E-2</v>
    <v>6319562</v>
  </rv>
  <rv s="2">
    <v>260</v>
  </rv>
  <rv s="0">
    <v>https://www.bing.com/financeapi/forcetrigger?t=amg3sm&amp;q=BMEX%3aTLGO&amp;form=skydnc</v>
    <v>Learn more on Bing</v>
  </rv>
  <rv s="9">
    <v>pt-BR</v>
    <v>amg3sm</v>
    <v>268435456</v>
    <v>1</v>
    <v>Da plataforma Refinitiv</v>
    <v>24</v>
    <v>25</v>
    <v>Talgo (BMEX:TLGO)</v>
    <v>3</v>
    <v>26</v>
    <v>Finance</v>
    <v>5</v>
    <v>4.37</v>
    <v>2.52</v>
    <v>BMEX</v>
    <v>134448500</v>
    <v>2.895</v>
    <v>2005</v>
    <v>2.85</v>
    <v>1.1231</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2.88</v>
    <v>3558</v>
    <v>46059.697916666664</v>
    <v>262</v>
    <v>74040</v>
    <v>EUR</v>
    <v>Talgo</v>
    <v>Talgo</v>
    <v>2.875</v>
    <v>2.86</v>
    <v>Paseo Del Tren Talgo, Numero 2, Las Matas, LAS ROZAS DE MADRID, MADRID ES</v>
    <v>Machinery, Equipment &amp; Components</v>
    <v>TLGO</v>
    <v>Ações</v>
    <v>Talgo (BMEX:TLGO)</v>
    <v>-0.02</v>
    <v>-6.9440000000000005E-3</v>
    <v>92741</v>
  </rv>
  <rv s="2">
    <v>263</v>
  </rv>
  <rv s="0">
    <v>https://www.bing.com/financeapi/forcetrigger?t=bn13hw&amp;q=BMEX%3aYFID&amp;form=skydnc</v>
    <v>Learn more on Bing</v>
  </rv>
  <rv s="20">
    <v>pt-BR</v>
    <v>bn13hw</v>
    <v>268435456</v>
    <v>1</v>
    <v>Da plataforma Refinitiv</v>
    <v>54</v>
    <v>55</v>
    <v>Fidere Pat (BMEX:YFID)</v>
    <v>3</v>
    <v>56</v>
    <v>Finance</v>
    <v>5</v>
    <v>BMEX</v>
    <v>10074320</v>
    <v>40</v>
    <v>2012</v>
    <v>40</v>
    <v>0.19370000000000001</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38.200000000000003</v>
    <v>46051.708877314813</v>
    <v>265</v>
    <v>50</v>
    <v>EUR</v>
    <v>Fidere Pat</v>
    <v>Fidere Pat</v>
    <v>25.169699999999999</v>
    <v>40</v>
    <v>40</v>
    <v>Paseo de la Castellana, 257, Edificio Hall, MADRID, MADRID, 28046 ES</v>
    <v>Residential &amp; Commercial REIT</v>
    <v>YFID</v>
    <v>Ações</v>
    <v>Fidere Pat (BMEX:YFID)</v>
    <v>1.8</v>
    <v>4.7119999999999995E-2</v>
    <v>125</v>
  </rv>
  <rv s="2">
    <v>266</v>
  </rv>
  <rv s="0">
    <v>https://www.bing.com/financeapi/forcetrigger?t=amfupr&amp;q=BMEX%3aEDR&amp;form=skydnc</v>
    <v>Learn more on Bing</v>
  </rv>
  <rv s="1">
    <v>pt-BR</v>
    <v>amfupr</v>
    <v>268435456</v>
    <v>1</v>
    <v>Da plataforma Refinitiv</v>
    <v>0</v>
    <v>1</v>
    <v>Edreams ES (BMEX:EDR)</v>
    <v>3</v>
    <v>4</v>
    <v>Finance</v>
    <v>5</v>
    <v>9.34</v>
    <v>3.15</v>
    <v>BMEX</v>
    <v>118625100</v>
    <v>3.27</v>
    <v>2021</v>
    <v>3.15</v>
    <v>1.1607000000000001</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3.1749999999999998</v>
    <v>1734</v>
    <v>46059.697916666664</v>
    <v>268</v>
    <v>470620</v>
    <v>EUR</v>
    <v>Edreams ES</v>
    <v>Edreams ES</v>
    <v>5.1529999999999996</v>
    <v>3.19</v>
    <v>3.25</v>
    <v>C/ Lopez De Hoyos 35, MADRID, MADRID, 28002 ES</v>
    <v>Hotels &amp; Entertainment Services</v>
    <v>EDR</v>
    <v>Ações</v>
    <v>Edreams ES (BMEX:EDR)</v>
    <v>7.4999999999999997E-2</v>
    <v>2.3622000000000001E-2</v>
    <v>639436</v>
  </rv>
  <rv s="2">
    <v>269</v>
  </rv>
  <rv s="0">
    <v>https://www.bing.com/financeapi/forcetrigger?t=amfr7w&amp;q=BMEX%3aALNT&amp;form=skydnc</v>
    <v>Learn more on Bing</v>
  </rv>
  <rv s="1">
    <v>pt-BR</v>
    <v>amfr7w</v>
    <v>268435456</v>
    <v>1</v>
    <v>Da plataforma Refinitiv</v>
    <v>0</v>
    <v>1</v>
    <v>Alantra Partners (BMEX:ALNT)</v>
    <v>3</v>
    <v>4</v>
    <v>Finance</v>
    <v>5</v>
    <v>9.6</v>
    <v>7.66</v>
    <v>BMEX</v>
    <v>38631400</v>
    <v>9.06</v>
    <v>1997</v>
    <v>8.9600000000000009</v>
    <v>0.49309999999999998</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9.06</v>
    <v>65</v>
    <v>46059.697916666664</v>
    <v>271</v>
    <v>37660</v>
    <v>EUR</v>
    <v>Alantra Partners</v>
    <v>Alantra Partners</v>
    <v>50.618699999999997</v>
    <v>9</v>
    <v>9</v>
    <v>Calle Padilla, numero 17, MADRID, MADRID, 28006 ES</v>
    <v>Investment Banking &amp; Investment Services</v>
    <v>ALNT</v>
    <v>Ações</v>
    <v>Alantra Partners (BMEX:ALNT)</v>
    <v>-0.06</v>
    <v>-6.6230000000000004E-3</v>
    <v>14223</v>
  </rv>
  <rv s="2">
    <v>272</v>
  </rv>
  <rv s="0">
    <v>https://www.bing.com/financeapi/forcetrigger?t=bqrc7w&amp;q=BMEX%3aYMHRE&amp;form=skydnc</v>
    <v>Learn more on Bing</v>
  </rv>
  <rv s="15">
    <v>pt-BR</v>
    <v>bqrc7w</v>
    <v>268435456</v>
    <v>1</v>
    <v>Da plataforma Refinitiv</v>
    <v>43</v>
    <v>44</v>
    <v>Hotei Properties (BMEX:YHTI)</v>
    <v>3</v>
    <v>45</v>
    <v>Finance</v>
    <v>5</v>
    <v>BMEX</v>
    <v>116032500</v>
    <v>2.92</v>
    <v>2017</v>
    <v>2.9</v>
    <v>-0.29949999999999999</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2.9</v>
    <v>149</v>
    <v>46059.625092592592</v>
    <v>274</v>
    <v>3170</v>
    <v>EUR</v>
    <v>Hotei Properties</v>
    <v>Hotei Properties</v>
    <v>8.7192000000000007</v>
    <v>2.92</v>
    <v>2.9</v>
    <v>Paseo de la Castellana 102, MADRID, MADRID, 28046 ES</v>
    <v>Residential &amp; Commercial REIT</v>
    <v>YHTI</v>
    <v>Ações</v>
    <v>Hotei Properties (BMEX:YHTI)</v>
    <v>0</v>
    <v>0</v>
    <v>1539</v>
  </rv>
  <rv s="2">
    <v>275</v>
  </rv>
  <rv s="0">
    <v>https://www.bing.com/financeapi/forcetrigger?t=bsszm7&amp;q=BMEX%3aIZER&amp;form=skydnc</v>
    <v>Learn more on Bing</v>
  </rv>
  <rv s="1">
    <v>pt-BR</v>
    <v>bsszm7</v>
    <v>268435456</v>
    <v>1</v>
    <v>Da plataforma Refinitiv</v>
    <v>0</v>
    <v>1</v>
    <v>Izertis (BMEX:IZER)</v>
    <v>3</v>
    <v>4</v>
    <v>Finance</v>
    <v>5</v>
    <v>12.95</v>
    <v>8.8000000000000007</v>
    <v>BMEX</v>
    <v>34606060</v>
    <v>9.6199999999999992</v>
    <v>1998</v>
    <v>9.56</v>
    <v>-8.2699999999999996E-2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9.6</v>
    <v>1930</v>
    <v>46059.691087962965</v>
    <v>277</v>
    <v>30940</v>
    <v>EUR</v>
    <v>Izertis</v>
    <v>Izertis</v>
    <v>50.3673</v>
    <v>9.56</v>
    <v>9.6</v>
    <v>Avda. del Jardin Botanico 1345, Edificio Intra, GIJON, ASTURIAS, 33203 ES</v>
    <v>Software &amp; IT Services</v>
    <v>IZER</v>
    <v>Ações</v>
    <v>Izertis (BMEX:IZER)</v>
    <v>0</v>
    <v>0</v>
    <v>3499</v>
  </rv>
  <rv s="2">
    <v>278</v>
  </rv>
  <rv s="0">
    <v>https://www.bing.com/financeapi/forcetrigger?t=amfumw&amp;q=BMEX%3aECR&amp;form=skydnc</v>
    <v>Learn more on Bing</v>
  </rv>
  <rv s="9">
    <v>pt-BR</v>
    <v>amfumw</v>
    <v>268435456</v>
    <v>1</v>
    <v>Da plataforma Refinitiv</v>
    <v>24</v>
    <v>25</v>
    <v>Ercros (BMEX:ECR)</v>
    <v>3</v>
    <v>26</v>
    <v>Finance</v>
    <v>5</v>
    <v>3.55</v>
    <v>2.23</v>
    <v>BMEX</v>
    <v>91436200</v>
    <v>3.4249999999999998</v>
    <v>1989</v>
    <v>3.42</v>
    <v>0.6946</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3.4249999999999998</v>
    <v>1357</v>
    <v>46059.697916666664</v>
    <v>280</v>
    <v>89690</v>
    <v>EUR</v>
    <v>Ercros</v>
    <v>Ercros</v>
    <v>3.4249999999999998</v>
    <v>3.4249999999999998</v>
    <v>Avda. Diagonal, 593-595, BARCELONA, BARCELONA, 08014 ES</v>
    <v>Chemicals</v>
    <v>ECR</v>
    <v>Ações</v>
    <v>Ercros (BMEX:ECR)</v>
    <v>0</v>
    <v>0</v>
    <v>115718</v>
  </rv>
  <rv s="2">
    <v>281</v>
  </rv>
  <rv s="0">
    <v>https://www.bing.com/financeapi/forcetrigger?t=bn148m&amp;q=BMEX%3aIFF&amp;form=skydnc</v>
    <v>Learn more on Bing</v>
  </rv>
  <rv s="21">
    <v>pt-BR</v>
    <v>bn148m</v>
    <v>268435456</v>
    <v>1</v>
    <v>Da plataforma Refinitiv</v>
    <v>57</v>
    <v>58</v>
    <v>Natac Natural In (BMEX:NAT)</v>
    <v>3</v>
    <v>59</v>
    <v>Finance</v>
    <v>5</v>
    <v>BMEX</v>
    <v>434830300</v>
    <v>0.72</v>
    <v>2011</v>
    <v>0.7</v>
    <v>-7.4300000000000005E-2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0.7</v>
    <v>184</v>
    <v>46059.697916666664</v>
    <v>283</v>
    <v>51540</v>
    <v>EUR</v>
    <v>Natac Natural In</v>
    <v>Natac Natural In</v>
    <v>0.7</v>
    <v>0.71</v>
    <v>avenida Rita Levi Montalcini n 14, GETAFE, MADRID, 28906 ES</v>
    <v>Pharmaceuticals</v>
    <v>NAT</v>
    <v>Ações</v>
    <v>Natac Natural In (BMEX:NAT)</v>
    <v>0.01</v>
    <v>1.4286E-2</v>
    <v>22093</v>
  </rv>
  <rv s="2">
    <v>284</v>
  </rv>
  <rv s="0">
    <v>https://www.bing.com/financeapi/forcetrigger?t=amfxz2&amp;q=BMEX%3aISUR&amp;form=skydnc</v>
    <v>Learn more on Bing</v>
  </rv>
  <rv s="7">
    <v>pt-BR</v>
    <v>amfxz2</v>
    <v>268435456</v>
    <v>1</v>
    <v>Da plataforma Refinitiv</v>
    <v>16</v>
    <v>17</v>
    <v>Inmobiliaria Sur (BMEX:ISUR)</v>
    <v>3</v>
    <v>18</v>
    <v>Finance</v>
    <v>5</v>
    <v>17.100000000000001</v>
    <v>9.3000000000000007</v>
    <v>BMEX</v>
    <v>18669030</v>
    <v>17.100000000000001</v>
    <v>16.100000000000001</v>
    <v>0.33</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16.2</v>
    <v>213</v>
    <v>46059.691087962965</v>
    <v>286</v>
    <v>1930</v>
    <v>EUR</v>
    <v>Inmobiliaria Sur</v>
    <v>Inmobiliaria Sur</v>
    <v>15.1005</v>
    <v>16.100000000000001</v>
    <v>16.600000000000001</v>
    <v>C/ Angel Gelan n2, SEVILLA, SEVILLA, 41013 ES</v>
    <v>Real Estate Operations</v>
    <v>ISUR</v>
    <v>Ações</v>
    <v>Inmobiliaria Sur (BMEX:ISUR)</v>
    <v>0.4</v>
    <v>2.4691000000000001E-2</v>
    <v>10192</v>
  </rv>
  <rv s="2">
    <v>287</v>
  </rv>
  <rv s="0">
    <v>https://www.bing.com/financeapi/forcetrigger?t=c1ync7&amp;q=BMEX%3aENER&amp;form=skydnc</v>
    <v>Learn more on Bing</v>
  </rv>
  <rv s="1">
    <v>pt-BR</v>
    <v>c1ync7</v>
    <v>268435456</v>
    <v>1</v>
    <v>Da plataforma Refinitiv</v>
    <v>0</v>
    <v>1</v>
    <v>Grupo Ecoener (BMEX:ENER)</v>
    <v>3</v>
    <v>4</v>
    <v>Finance</v>
    <v>5</v>
    <v>5.26</v>
    <v>4.25</v>
    <v>BMEX</v>
    <v>56949150</v>
    <v>4.99</v>
    <v>2020</v>
    <v>4.74</v>
    <v>0.68630000000000002</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4.9000000000000004</v>
    <v>254</v>
    <v>46059.691087962965</v>
    <v>289</v>
    <v>5510</v>
    <v>EUR</v>
    <v>Grupo Ecoener</v>
    <v>Grupo Ecoener</v>
    <v>27.212800000000001</v>
    <v>4.99</v>
    <v>4.95</v>
    <v>C/ San Andres, n 143, 4, LA CORUNA, LA CORUNA, 15003 ES</v>
    <v>Electrical Utilities &amp; IPPs</v>
    <v>ENER</v>
    <v>Ações</v>
    <v>Grupo Ecoener (BMEX:ENER)</v>
    <v>0.05</v>
    <v>1.0204E-2</v>
    <v>13251</v>
  </rv>
  <rv s="2">
    <v>290</v>
  </rv>
  <rv s="0">
    <v>https://www.bing.com/financeapi/forcetrigger?t=c3j8gh&amp;q=BMEX%3aYSIL&amp;form=skydnc</v>
    <v>Learn more on Bing</v>
  </rv>
  <rv s="21">
    <v>pt-BR</v>
    <v>c3j8gh</v>
    <v>268435456</v>
    <v>1</v>
    <v>Da plataforma Refinitiv</v>
    <v>57</v>
    <v>58</v>
    <v>Silicius Real Es (BMEX:YSIL)</v>
    <v>3</v>
    <v>59</v>
    <v>Finance</v>
    <v>5</v>
    <v>BMEX</v>
    <v>25770450</v>
    <v>11</v>
    <v>2015</v>
    <v>11</v>
    <v>-0.1075</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46058.709039351852</v>
    <v>292</v>
    <v>30</v>
    <v>EUR</v>
    <v>Silicius Real Es</v>
    <v>Silicius Real Es</v>
    <v>11</v>
    <v>11</v>
    <v>Calle Velazquez, 123 - 6, Madrid, MADRID, 28006 ES</v>
    <v>Residential &amp; Commercial REIT</v>
    <v>YSIL</v>
    <v>Ações</v>
    <v>Silicius Real Es (BMEX:YSIL)</v>
    <v>0.1</v>
    <v>9.1739999999999999E-3</v>
    <v>300</v>
  </rv>
  <rv s="2">
    <v>293</v>
  </rv>
  <rv s="0">
    <v>https://www.bing.com/financeapi/forcetrigger?t=bwlrec&amp;q=BMEX%3aSOL&amp;form=skydnc</v>
    <v>Learn more on Bing</v>
  </rv>
  <rv s="9">
    <v>pt-BR</v>
    <v>bwlrec</v>
    <v>268435456</v>
    <v>1</v>
    <v>Da plataforma Refinitiv</v>
    <v>24</v>
    <v>25</v>
    <v>Soltec Pwr Hldg (BMEX:SOL)</v>
    <v>3</v>
    <v>26</v>
    <v>Finance</v>
    <v>5</v>
    <v>2.1800000000000002</v>
    <v>0.16400000000000001</v>
    <v>BMEX</v>
    <v>456933600</v>
    <v>0.60899999999999999</v>
    <v>1970</v>
    <v>0.58199999999999996</v>
    <v>0.82250000000000001</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0.57299999999999995</v>
    <v>593</v>
    <v>46059.697916666664</v>
    <v>295</v>
    <v>976940</v>
    <v>EUR</v>
    <v>Soltec Pwr Hldg</v>
    <v>Soltec Pwr Hldg</v>
    <v>0.58399999999999996</v>
    <v>0.59</v>
    <v>C/ Gabriel Campillo Contreras, Pol. Ind. La Serreta, s/n, MOLINA DE SEGURA, MURCIA, 30500 ES</v>
    <v>Renewable Energy</v>
    <v>SOL</v>
    <v>Ações</v>
    <v>Soltec Pwr Hldg (BMEX:SOL)</v>
    <v>1.7000000000000001E-2</v>
    <v>2.9668E-2</v>
    <v>315234</v>
  </rv>
  <rv s="2">
    <v>296</v>
  </rv>
  <rv s="0">
    <v>https://www.bing.com/financeapi/forcetrigger?t=amg32w&amp;q=BMEX%3aSEC&amp;form=skydnc</v>
    <v>Learn more on Bing</v>
  </rv>
  <rv s="1">
    <v>pt-BR</v>
    <v>amg32w</v>
    <v>268435456</v>
    <v>1</v>
    <v>Da plataforma Refinitiv</v>
    <v>0</v>
    <v>1</v>
    <v>Secuoya (BMEX:SEC)</v>
    <v>3</v>
    <v>4</v>
    <v>Finance</v>
    <v>5</v>
    <v>31.4</v>
    <v>3.92</v>
    <v>BMEX</v>
    <v>8073570</v>
    <v>31.4</v>
    <v>2008</v>
    <v>31.4</v>
    <v>-0.26500000000000001</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31.8</v>
    <v>1398</v>
    <v>46059.622627314813</v>
    <v>298</v>
    <v>20</v>
    <v>EUR</v>
    <v>Secuoya</v>
    <v>Secuoya</v>
    <v>32.268000000000001</v>
    <v>31.4</v>
    <v>31.4</v>
    <v>Gran Via de Colon 12, GRANADA, GRANADA, 18010 ES</v>
    <v>Media &amp; Publishing</v>
    <v>SEC</v>
    <v>Ações</v>
    <v>Secuoya (BMEX:SEC)</v>
    <v>-0.4</v>
    <v>-1.2579E-2</v>
    <v>9</v>
  </rv>
  <rv s="2">
    <v>299</v>
  </rv>
  <rv s="0">
    <v>https://www.bing.com/financeapi/forcetrigger?t=amg177&amp;q=BMEX%3aORY&amp;form=skydnc</v>
    <v>Learn more on Bing</v>
  </rv>
  <rv s="9">
    <v>pt-BR</v>
    <v>amg177</v>
    <v>268435456</v>
    <v>1</v>
    <v>Da plataforma Refinitiv</v>
    <v>24</v>
    <v>25</v>
    <v>ORYZON (BMEX:ORY)</v>
    <v>3</v>
    <v>26</v>
    <v>Finance</v>
    <v>5</v>
    <v>4.0199999999999996</v>
    <v>1.4179999999999999</v>
    <v>BMEX</v>
    <v>79887700</v>
    <v>3.145</v>
    <v>2000</v>
    <v>3.07</v>
    <v>0.68279999999999996</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3.125</v>
    <v>47</v>
    <v>46059.697916666664</v>
    <v>301</v>
    <v>394690</v>
    <v>EUR</v>
    <v>ORYZON</v>
    <v>ORYZON</v>
    <v>3.12</v>
    <v>3.12</v>
    <v>Sant Ferran 74, CORNELLA DE LLOBREGAT, BARCELONA, 08940 ES</v>
    <v>Biotechnology &amp; Medical Research</v>
    <v>ORY</v>
    <v>Ações</v>
    <v>ORYZON (BMEX:ORY)</v>
    <v>-5.0000000000000001E-3</v>
    <v>-1.6000000000000001E-3</v>
    <v>218977</v>
  </rv>
  <rv s="2">
    <v>302</v>
  </rv>
  <rv s="0">
    <v>https://www.bing.com/financeapi/forcetrigger?t=bne9h7&amp;q=BMEX%3aARM&amp;form=skydnc</v>
    <v>Learn more on Bing</v>
  </rv>
  <rv s="9">
    <v>pt-BR</v>
    <v>bne9h7</v>
    <v>268435456</v>
    <v>1</v>
    <v>Da plataforma Refinitiv</v>
    <v>24</v>
    <v>25</v>
    <v>Arima Real Estat (BMEX:ARM)</v>
    <v>3</v>
    <v>26</v>
    <v>Finance</v>
    <v>5</v>
    <v>9</v>
    <v>6.2</v>
    <v>BMEX</v>
    <v>31794770</v>
    <v>8.6</v>
    <v>2018</v>
    <v>8.6</v>
    <v>0.15970000000000001</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8.15</v>
    <v>8</v>
    <v>46059.691087962965</v>
    <v>304</v>
    <v>270</v>
    <v>EUR</v>
    <v>Arima Real Estat</v>
    <v>Arima Real Estat</v>
    <v>8.6</v>
    <v>8.6</v>
    <v>Edificio Torre Serrano, Serrano, 47, MADRID, MADRID, 28001 ES</v>
    <v>Residential &amp; Commercial REIT</v>
    <v>ARM</v>
    <v>Ações</v>
    <v>Arima Real Estat (BMEX:ARM)</v>
    <v>0.45</v>
    <v>5.5214999999999993E-2</v>
    <v>16</v>
  </rv>
  <rv s="2">
    <v>305</v>
  </rv>
  <rv s="0">
    <v>https://www.bing.com/financeapi/forcetrigger?t=amg8gh&amp;q=BMEX%3aYVIT&amp;form=skydnc</v>
    <v>Learn more on Bing</v>
  </rv>
  <rv s="15">
    <v>pt-BR</v>
    <v>amg8gh</v>
    <v>268435456</v>
    <v>1</v>
    <v>Da plataforma Refinitiv</v>
    <v>43</v>
    <v>44</v>
    <v>Vitruvio Socimi (BMEX:YVIT)</v>
    <v>3</v>
    <v>45</v>
    <v>Finance</v>
    <v>5</v>
    <v>BMEX</v>
    <v>14900000</v>
    <v>16.5</v>
    <v>2014</v>
    <v>16.5</v>
    <v>-8.5599999999999996E-2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16.5</v>
    <v>15</v>
    <v>46059.607905092591</v>
    <v>307</v>
    <v>3150</v>
    <v>EUR</v>
    <v>Vitruvio Socimi</v>
    <v>Vitruvio Socimi</v>
    <v>28.998200000000001</v>
    <v>16.5</v>
    <v>16.5</v>
    <v>Plaza de la Independencia, 6, MADRID, MADRID, 28001 ES</v>
    <v>Residential &amp; Commercial REIT</v>
    <v>YVIT</v>
    <v>Ações</v>
    <v>Vitruvio Socimi (BMEX:YVIT)</v>
    <v>0</v>
    <v>0</v>
    <v>10011</v>
  </rv>
  <rv s="2">
    <v>308</v>
  </rv>
  <rv s="0">
    <v>https://www.bing.com/financeapi/forcetrigger?t=c6xxf2&amp;q=BMEX%3aYIBV&amp;form=skydnc</v>
    <v>Learn more on Bing</v>
  </rv>
  <rv s="22">
    <v>pt-BR</v>
    <v>c6xxf2</v>
    <v>268435456</v>
    <v>1</v>
    <v>Da plataforma Refinitiv</v>
    <v>60</v>
    <v>61</v>
    <v>Irg10 Socimi (BMEX:YIRG)</v>
    <v>3</v>
    <v>62</v>
    <v>Finance</v>
    <v>5</v>
    <v>BMEX</v>
    <v>42089310</v>
    <v>5.6</v>
    <v>1965</v>
    <v>5.6</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310</v>
    <v>210</v>
    <v>EUR</v>
    <v>Irg10 Socimi</v>
    <v>Irg10 Socimi</v>
    <v>7.3963000000000001</v>
    <v>5.6</v>
    <v>5.6</v>
    <v>Av. de Bruselas, 7, ALCOBENDAS, MADRID, 28108 ES</v>
    <v>Residential &amp; Commercial REIT</v>
    <v>YIRG</v>
    <v>Ações</v>
    <v>Irg10 Socimi (BMEX:YIRG)</v>
    <v>-0.05</v>
    <v>-8.8500000000000002E-3</v>
    <v>87</v>
  </rv>
  <rv s="2">
    <v>311</v>
  </rv>
  <rv s="0">
    <v>https://www.bing.com/financeapi/forcetrigger?t=ayqsz2&amp;q=BMEX%3aSQRL&amp;form=skydnc</v>
    <v>Learn more on Bing</v>
  </rv>
  <rv s="7">
    <v>pt-BR</v>
    <v>ayqsz2</v>
    <v>268435456</v>
    <v>1</v>
    <v>Da plataforma Refinitiv</v>
    <v>16</v>
    <v>17</v>
    <v>Squirrel Media (BMEX:SQRL)</v>
    <v>3</v>
    <v>18</v>
    <v>Finance</v>
    <v>5</v>
    <v>3.03</v>
    <v>1.4</v>
    <v>BMEX</v>
    <v>95953640</v>
    <v>2.4300000000000002</v>
    <v>2.36</v>
    <v>0.77039999999999997</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v>
    <v>353</v>
    <v>46059.691087962965</v>
    <v>313</v>
    <v>12480</v>
    <v>EUR</v>
    <v>Squirrel Media</v>
    <v>Squirrel Media</v>
    <v>137.3563</v>
    <v>2.38</v>
    <v>2.39</v>
    <v>Calle Agastia, 80, MADRID, MADRID, 28043 ES</v>
    <v>Media &amp; Publishing</v>
    <v>SQRL</v>
    <v>Ações</v>
    <v>Squirrel Media (BMEX:SQRL)</v>
    <v>-0.01</v>
    <v>-4.1670000000000006E-3</v>
    <v>9758</v>
  </rv>
  <rv s="2">
    <v>314</v>
  </rv>
  <rv s="0">
    <v>https://www.bing.com/financeapi/forcetrigger?t=amfxc7&amp;q=BMEX%3aIBG&amp;form=skydnc</v>
    <v>Learn more on Bing</v>
  </rv>
  <rv s="1">
    <v>pt-BR</v>
    <v>amfxc7</v>
    <v>268435456</v>
    <v>1</v>
    <v>Da plataforma Refinitiv</v>
    <v>0</v>
    <v>1</v>
    <v>Iberpapel (BMEX:IBG)</v>
    <v>3</v>
    <v>4</v>
    <v>Finance</v>
    <v>5</v>
    <v>22.3</v>
    <v>18.25</v>
    <v>BMEX</v>
    <v>10964440</v>
    <v>21.1</v>
    <v>1997</v>
    <v>20.7</v>
    <v>0.53110000000000002</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21.1</v>
    <v>283</v>
    <v>46059.691087962965</v>
    <v>316</v>
    <v>2890</v>
    <v>EUR</v>
    <v>Iberpapel</v>
    <v>Iberpapel</v>
    <v>17.867699999999999</v>
    <v>21.1</v>
    <v>21.1</v>
    <v>Avda. Sancho El Sabio, 2 1, DONOSTIA-SAN SEBASTIAN, GIPUZKOA, 20010 ES</v>
    <v>Paper &amp; Forest Products</v>
    <v>IBG</v>
    <v>Ações</v>
    <v>Iberpapel (BMEX:IBG)</v>
    <v>0</v>
    <v>0</v>
    <v>3880</v>
  </rv>
  <rv s="2">
    <v>317</v>
  </rv>
  <rv s="0">
    <v>https://www.bing.com/financeapi/forcetrigger?t=amg2hw&amp;q=BMEX%3aRJF&amp;form=skydnc</v>
    <v>Learn more on Bing</v>
  </rv>
  <rv s="7">
    <v>pt-BR</v>
    <v>amg2hw</v>
    <v>268435456</v>
    <v>1</v>
    <v>Da plataforma Refinitiv</v>
    <v>16</v>
    <v>17</v>
    <v>Reig Jofre (BMEX:RJF)</v>
    <v>3</v>
    <v>18</v>
    <v>Finance</v>
    <v>5</v>
    <v>3.4</v>
    <v>2.46</v>
    <v>BMEX</v>
    <v>82219240</v>
    <v>2.76</v>
    <v>2.73</v>
    <v>0.82069999999999999</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2.75</v>
    <v>1419</v>
    <v>46059.691087962965</v>
    <v>319</v>
    <v>24670</v>
    <v>EUR</v>
    <v>Reig Jofre</v>
    <v>Reig Jofre</v>
    <v>52.3992</v>
    <v>2.73</v>
    <v>2.73</v>
    <v>Gran Capita, 10, SANT JOAN DESPI, BARCELONA, 08970 ES</v>
    <v>Pharmaceuticals</v>
    <v>RJF</v>
    <v>Ações</v>
    <v>Reig Jofre (BMEX:RJF)</v>
    <v>-0.02</v>
    <v>-7.2729999999999991E-3</v>
    <v>2107</v>
  </rv>
  <rv s="2">
    <v>320</v>
  </rv>
  <rv s="0">
    <v>https://www.bing.com/financeapi/forcetrigger?t=ayspoc&amp;q=BMEX%3aATRY&amp;form=skydnc</v>
    <v>Learn more on Bing</v>
  </rv>
  <rv s="9">
    <v>pt-BR</v>
    <v>ayspoc</v>
    <v>268435456</v>
    <v>1</v>
    <v>Da plataforma Refinitiv</v>
    <v>24</v>
    <v>25</v>
    <v>Atrys Health (BMEX:ATRY)</v>
    <v>3</v>
    <v>26</v>
    <v>Finance</v>
    <v>5</v>
    <v>3.64</v>
    <v>2.48</v>
    <v>BMEX</v>
    <v>76014190</v>
    <v>2.94</v>
    <v>2007</v>
    <v>2.86</v>
    <v>0.80630000000000002</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v>
    <v>2016</v>
    <v>46059.697916666664</v>
    <v>322</v>
    <v>44450</v>
    <v>EUR</v>
    <v>Atrys Health</v>
    <v>Atrys Health</v>
    <v>2.93</v>
    <v>2.94</v>
    <v>C/ Principe de Vergara 132, 1 piso, MADRID, MADRID, 28002 ES</v>
    <v>Healthcare Providers &amp; Services</v>
    <v>ATRY</v>
    <v>Ações</v>
    <v>Atrys Health (BMEX:ATRY)</v>
    <v>0.04</v>
    <v>1.3793E-2</v>
    <v>30691</v>
  </rv>
  <rv s="2">
    <v>323</v>
  </rv>
  <rv s="0">
    <v>https://www.bing.com/financeapi/forcetrigger?t=amg1lh&amp;q=BMEX%3aPRM&amp;form=skydnc</v>
    <v>Learn more on Bing</v>
  </rv>
  <rv s="1">
    <v>pt-BR</v>
    <v>amg1lh</v>
    <v>268435456</v>
    <v>1</v>
    <v>Da plataforma Refinitiv</v>
    <v>0</v>
    <v>1</v>
    <v>Prim (BMEX:PRM)</v>
    <v>3</v>
    <v>4</v>
    <v>Finance</v>
    <v>5</v>
    <v>13.95</v>
    <v>9.06</v>
    <v>BMEX</v>
    <v>17036580</v>
    <v>13.2</v>
    <v>1967</v>
    <v>12.8</v>
    <v>0.3538</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12.9</v>
    <v>954</v>
    <v>46059.691087962965</v>
    <v>325</v>
    <v>7290</v>
    <v>EUR</v>
    <v>Prim</v>
    <v>Prim</v>
    <v>15.4314</v>
    <v>12.8</v>
    <v>13.2</v>
    <v>C/ Yolanda Gonzales n 15, - Antigua C/ F, Polig. Industrial numero 1, MOSTOLES, MADRID, 28938 ES</v>
    <v>Healthcare Equipment &amp; Supplies</v>
    <v>PRM</v>
    <v>Ações</v>
    <v>Prim (BMEX:PRM)</v>
    <v>0.3</v>
    <v>2.3256000000000002E-2</v>
    <v>3359</v>
  </rv>
  <rv s="2">
    <v>326</v>
  </rv>
  <rv s="0">
    <v>https://www.bing.com/financeapi/forcetrigger?t=amfrrw&amp;q=BMEX%3aAZK&amp;form=skydnc</v>
    <v>Learn more on Bing</v>
  </rv>
  <rv s="1">
    <v>pt-BR</v>
    <v>amfrrw</v>
    <v>268435456</v>
    <v>1</v>
    <v>Da plataforma Refinitiv</v>
    <v>0</v>
    <v>1</v>
    <v>Azkoyen (BMEX:AZK)</v>
    <v>3</v>
    <v>4</v>
    <v>Finance</v>
    <v>5</v>
    <v>9.98</v>
    <v>6.14</v>
    <v>BMEX</v>
    <v>24450000</v>
    <v>8.64</v>
    <v>1976</v>
    <v>8.56</v>
    <v>0.37259999999999999</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8.64</v>
    <v>987</v>
    <v>46059.691087962965</v>
    <v>328</v>
    <v>2760</v>
    <v>EUR</v>
    <v>Azkoyen</v>
    <v>Azkoyen</v>
    <v>10.8354</v>
    <v>8.64</v>
    <v>8.56</v>
    <v>Avda. San Silvestre, s/n, PERALTA, NAVARRA, 31350 ES</v>
    <v>Machinery, Equipment &amp; Components</v>
    <v>AZK</v>
    <v>Ações</v>
    <v>Azkoyen (BMEX:AZK)</v>
    <v>-0.08</v>
    <v>-9.2589999999999999E-3</v>
    <v>4978</v>
  </rv>
  <rv s="2">
    <v>329</v>
  </rv>
  <rv s="0">
    <v>https://www.bing.com/financeapi/forcetrigger?t=bqpzww&amp;q=BMEX%3aYTRI&amp;form=skydnc</v>
    <v>Learn more on Bing</v>
  </rv>
  <rv s="15">
    <v>pt-BR</v>
    <v>bqpzww</v>
    <v>268435456</v>
    <v>1</v>
    <v>Da plataforma Refinitiv</v>
    <v>43</v>
    <v>44</v>
    <v>Trivium Real Est (BMEX:YTRI)</v>
    <v>3</v>
    <v>45</v>
    <v>Finance</v>
    <v>5</v>
    <v>BMEX</v>
    <v>5040910</v>
    <v>40.4</v>
    <v>2018</v>
    <v>40.4</v>
    <v>-1.77E-2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46059.625092592592</v>
    <v>331</v>
    <v>40</v>
    <v>EUR</v>
    <v>Trivium Real Est</v>
    <v>Trivium Real Est</v>
    <v>17.9404</v>
    <v>40.4</v>
    <v>40.4</v>
    <v>C/ Goya, 22, 3 Planta, MADRID, MADRID, 28001 ES</v>
    <v>Residential &amp; Commercial REIT</v>
    <v>YTRI</v>
    <v>Ações</v>
    <v>Trivium Real Est (BMEX:YTRI)</v>
    <v>0.2</v>
    <v>4.9750000000000003E-3</v>
    <v>50</v>
  </rv>
  <rv s="2">
    <v>332</v>
  </rv>
  <rv s="0">
    <v>https://www.bing.com/financeapi/forcetrigger?t=amg7k2&amp;q=BMEX%3aYORE&amp;form=skydnc</v>
    <v>Learn more on Bing</v>
  </rv>
  <rv s="15">
    <v>pt-BR</v>
    <v>amg7k2</v>
    <v>268435456</v>
    <v>1</v>
    <v>Da plataforma Refinitiv</v>
    <v>43</v>
    <v>44</v>
    <v>Olimpo Real Esta (BMEX:YORE)</v>
    <v>3</v>
    <v>45</v>
    <v>Finance</v>
    <v>5</v>
    <v>BMEX</v>
    <v>196695200</v>
    <v>0.95</v>
    <v>2016</v>
    <v>0.95</v>
    <v>8.6999999999999994E-2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0.95499999999999996</v>
    <v>1</v>
    <v>46055.709317129629</v>
    <v>334</v>
    <v>1040</v>
    <v>EUR</v>
    <v>Olimpo Real Esta</v>
    <v>Olimpo Real Esta</v>
    <v>16.579899999999999</v>
    <v>0.95</v>
    <v>0.95</v>
    <v>Calle Goya, 22 - 3 planta, MADRID, MADRID, 28001 ES</v>
    <v>Residential &amp; Commercial REIT</v>
    <v>YORE</v>
    <v>Ações</v>
    <v>Olimpo Real Esta (BMEX:YORE)</v>
    <v>-5.0000000000000001E-3</v>
    <v>-5.2359999999999993E-3</v>
    <v>10</v>
  </rv>
  <rv s="2">
    <v>335</v>
  </rv>
  <rv s="0">
    <v>https://www.bing.com/financeapi/forcetrigger?t=aldsc7&amp;q=XMEX%3aVINTE*&amp;form=skydnc</v>
    <v>Learn more on Bing</v>
  </rv>
  <rv s="9">
    <v>pt-BR</v>
    <v>aldsc7</v>
    <v>268435456</v>
    <v>1</v>
    <v>Da plataforma Refinitiv</v>
    <v>24</v>
    <v>25</v>
    <v>Viente Viviendas (XMEX:VINTE*)</v>
    <v>3</v>
    <v>63</v>
    <v>Finance</v>
    <v>64</v>
    <v>35.159999999999997</v>
    <v>28.8</v>
    <v>XMEX</v>
    <v>279148100</v>
    <v>35.159999999999997</v>
    <v>2001</v>
    <v>35.159999999999997</v>
    <v>-0.13089999999999999</v>
    <v>Mexican Stock Exchange</v>
    <v>9814847196</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35.159999999999997</v>
    <v>3756</v>
    <v>46059.649085648147</v>
    <v>337</v>
    <v>5670</v>
    <v>MXN</v>
    <v>Viente Viviendas</v>
    <v>Viente Viviendas</v>
    <v>35.159999999999997</v>
    <v>35.159999999999997</v>
    <v>Downtown Santa Fe, Av. Santa Fe 428, Torre 1, Piso 12, Oficina 1201, CUAJIMALPA, MEXICO, D.F., 05349 MX</v>
    <v>Real Estate Operations</v>
    <v>VINTE*</v>
    <v>Ações</v>
    <v>Viente Viviendas (XMEX:VINTE*)</v>
    <v>0</v>
    <v>0</v>
    <v>126</v>
  </rv>
  <rv s="2">
    <v>338</v>
  </rv>
  <rv s="23">
    <v>pt-BR</v>
    <v>ce7n9c</v>
    <v>268435456</v>
    <v>1</v>
    <v>Da plataforma Refinitiv</v>
    <v>65</v>
    <v>66</v>
    <v>Bytetravel (BMEX:SCBYT)</v>
    <v>21</v>
    <v>62</v>
    <v>Finance</v>
    <v>5</v>
    <v>BMEX</v>
    <v>29984130</v>
    <v>5.4</v>
    <v>2021</v>
    <v>5.4</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5.4</v>
    <v>42</v>
    <v>46058.709039351852</v>
    <v>480</v>
    <v>EUR</v>
    <v>Bytetravel</v>
    <v>Bytetravel</v>
    <v>104.8544</v>
    <v>5.4</v>
    <v>5.4</v>
    <v>Avenida Via Augusta 15-25, SANT CUGAT DEL VALLES, BARCELONA, 08174 ES</v>
    <v>Hotels &amp; Entertainment Services</v>
    <v>SCBYT</v>
    <v>Ações</v>
    <v>Bytetravel (BMEX:SCBYT)</v>
    <v>0</v>
    <v>0</v>
    <v>225</v>
  </rv>
  <rv s="2">
    <v>340</v>
  </rv>
  <rv s="0">
    <v>https://www.bing.com/financeapi/forcetrigger?t=bn133m&amp;q=BMEX%3aYDOA&amp;form=skydnc</v>
    <v>Learn more on Bing</v>
  </rv>
  <rv s="24">
    <v>pt-BR</v>
    <v>bn133m</v>
    <v>268435456</v>
    <v>1</v>
    <v>Da plataforma Refinitiv</v>
    <v>67</v>
    <v>68</v>
    <v>Inversion Doalca (BMEX:YDOA)</v>
    <v>3</v>
    <v>69</v>
    <v>Finance</v>
    <v>5</v>
    <v>BMEX</v>
    <v>6123000</v>
    <v>25.6</v>
    <v>25.6</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46059.625092592592</v>
    <v>342</v>
    <v>EUR</v>
    <v>Inversion Doalca</v>
    <v>Inversion Doalca</v>
    <v>21.781700000000001</v>
    <v>25.6</v>
    <v>25.6</v>
    <v>C/ San Bernardo 123 3, MADRID, MADRID, 28015 ES</v>
    <v>Residential &amp; Commercial REIT</v>
    <v>YDOA</v>
    <v>Ações</v>
    <v>Inversion Doalca (BMEX:YDOA)</v>
    <v>0</v>
    <v>0</v>
    <v>200</v>
  </rv>
  <rv s="2">
    <v>343</v>
  </rv>
  <rv s="0">
    <v>https://www.bing.com/financeapi/forcetrigger?t=bny3a2&amp;q=BMEX%3aAI&amp;form=skydnc</v>
    <v>Learn more on Bing</v>
  </rv>
  <rv s="9">
    <v>pt-BR</v>
    <v>bny3a2</v>
    <v>268435456</v>
    <v>1</v>
    <v>Da plataforma Refinitiv</v>
    <v>24</v>
    <v>25</v>
    <v>Artificial (BMEX:AI)</v>
    <v>3</v>
    <v>26</v>
    <v>Finance</v>
    <v>5</v>
    <v>0.14399999999999999</v>
    <v>9.1999999999999998E-2</v>
    <v>BMEX</v>
    <v>1555841000</v>
    <v>9.6699999999999994E-2</v>
    <v>1971</v>
    <v>9.5100000000000004E-2</v>
    <v>1.7312000000000001</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9.6600000000000005E-2</v>
    <v>924</v>
    <v>46059.697916666664</v>
    <v>345</v>
    <v>1872740</v>
    <v>EUR</v>
    <v>Artificial</v>
    <v>Artificial</v>
    <v>9.6299999999999997E-2</v>
    <v>9.6500000000000002E-2</v>
    <v>General Diaz Porlier 49, MADRID, MADRID, 28001 ES</v>
    <v>Electronic Equipment &amp; Parts</v>
    <v>AI</v>
    <v>Ações</v>
    <v>Artificial (BMEX:AI)</v>
    <v>-1E-4</v>
    <v>-1.0349999999999999E-3</v>
    <v>397862</v>
  </rv>
  <rv s="2">
    <v>346</v>
  </rv>
  <rv s="0">
    <v>https://www.bing.com/financeapi/forcetrigger?t=bnk6kr&amp;q=BMEX%3aBKY&amp;form=skydnc</v>
    <v>Learn more on Bing</v>
  </rv>
  <rv s="9">
    <v>pt-BR</v>
    <v>bnk6kr</v>
    <v>268435456</v>
    <v>1</v>
    <v>Da plataforma Refinitiv</v>
    <v>24</v>
    <v>25</v>
    <v>Berkeley Energia (BMEX:BKY)</v>
    <v>3</v>
    <v>70</v>
    <v>Finance</v>
    <v>5</v>
    <v>0.38800000000000001</v>
    <v>0.21099999999999999</v>
    <v>BMEX</v>
    <v>446293200</v>
    <v>0.31850000000000001</v>
    <v>1991</v>
    <v>0.309</v>
    <v>1.4141999999999999</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0.307</v>
    <v>33</v>
    <v>46059.697916666664</v>
    <v>348</v>
    <v>129300</v>
    <v>EUR</v>
    <v>Berkeley Energia</v>
    <v>Berkeley Energia</v>
    <v>0.31850000000000001</v>
    <v>0.3105</v>
    <v>Level 9, 28 The Esplanade, PERTH, WESTERN AUSTRALIA, 6000 AU</v>
    <v>Metals &amp; Mining</v>
    <v>BKY</v>
    <v>Ações</v>
    <v>Berkeley Energia (BMEX:BKY)</v>
    <v>3.5000000000000001E-3</v>
    <v>1.1401E-2</v>
    <v>1144220</v>
  </rv>
  <rv s="2">
    <v>349</v>
  </rv>
  <rv s="0">
    <v>https://www.bing.com/financeapi/forcetrigger?t=amfzur&amp;q=BMEX%3aNTH&amp;form=skydnc</v>
    <v>Learn more on Bing</v>
  </rv>
  <rv s="1">
    <v>pt-BR</v>
    <v>amfzur</v>
    <v>268435456</v>
    <v>1</v>
    <v>Da plataforma Refinitiv</v>
    <v>0</v>
    <v>1</v>
    <v>Naturhouse Healt (BMEX:NTH)</v>
    <v>3</v>
    <v>4</v>
    <v>Finance</v>
    <v>5</v>
    <v>2.82</v>
    <v>1.65</v>
    <v>BMEX</v>
    <v>60000000</v>
    <v>2.58</v>
    <v>1991</v>
    <v>2.46</v>
    <v>0.4698</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2.4700000000000002</v>
    <v>184</v>
    <v>46059.697916666664</v>
    <v>351</v>
    <v>190140</v>
    <v>EUR</v>
    <v>Naturhouse Healt</v>
    <v>Naturhouse Healt</v>
    <v>15.064500000000001</v>
    <v>2.46</v>
    <v>2.57</v>
    <v>Calle Claudio Coello 91, 4 Planta, MADRID, MADRID, 28006 ES</v>
    <v>Specialty Retailers</v>
    <v>NTH</v>
    <v>Ações</v>
    <v>Naturhouse Healt (BMEX:NTH)</v>
    <v>0.1</v>
    <v>4.0486000000000001E-2</v>
    <v>210858</v>
  </rv>
  <rv s="2">
    <v>352</v>
  </rv>
  <rv s="0">
    <v>https://www.bing.com/financeapi/forcetrigger?t=amfw1h&amp;q=BMEX%3aGALQ&amp;form=skydnc</v>
    <v>Learn more on Bing</v>
  </rv>
  <rv s="1">
    <v>pt-BR</v>
    <v>amfw1h</v>
    <v>268435456</v>
    <v>1</v>
    <v>Da plataforma Refinitiv</v>
    <v>0</v>
    <v>1</v>
    <v>General Alquiler (BMEX:GAM)</v>
    <v>3</v>
    <v>4</v>
    <v>Finance</v>
    <v>5</v>
    <v>1.72</v>
    <v>1.06</v>
    <v>BMEX</v>
    <v>94608110</v>
    <v>1.53</v>
    <v>2002</v>
    <v>1.49</v>
    <v>0.65869999999999995</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1.5</v>
    <v>1981</v>
    <v>46059.691087962965</v>
    <v>354</v>
    <v>6550</v>
    <v>EUR</v>
    <v>General Alquiler</v>
    <v>General Alquiler</v>
    <v>27.6753</v>
    <v>1.5</v>
    <v>1.5</v>
    <v>Calle Velazquez, n 64, planta 4, puerta izq, MADRID, MADRID, 28001 ES</v>
    <v>Professional &amp; Commercial Services</v>
    <v>GAM</v>
    <v>Ações</v>
    <v>General Alquiler (BMEX:GAM)</v>
    <v>0</v>
    <v>0</v>
    <v>9524</v>
  </rv>
  <rv s="2">
    <v>355</v>
  </rv>
  <rv s="0">
    <v>https://www.bing.com/financeapi/forcetrigger?t=c28ixm&amp;q=BMEX%3aYADR&amp;form=skydnc</v>
    <v>Learn more on Bing</v>
  </rv>
  <rv s="1">
    <v>pt-BR</v>
    <v>c28ixm</v>
    <v>268435456</v>
    <v>1</v>
    <v>Da plataforma Refinitiv</v>
    <v>0</v>
    <v>1</v>
    <v>Adriano Care (BMEX:YADR)</v>
    <v>3</v>
    <v>4</v>
    <v>Finance</v>
    <v>5</v>
    <v>11</v>
    <v>9.9</v>
    <v>BMEX</v>
    <v>12000000</v>
    <v>10.4</v>
    <v>2019</v>
    <v>10.3</v>
    <v>-9.74E-2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9.9</v>
    <v>94</v>
    <v>46048.709317129629</v>
    <v>357</v>
    <v>120</v>
    <v>EUR</v>
    <v>Adriano Care</v>
    <v>Adriano Care</v>
    <v>9.6278000000000006</v>
    <v>10.3</v>
    <v>10.4</v>
    <v>C/ Villanueva 2 bis - planta jardin, Madrid, MADRID, 28001 ES</v>
    <v>Residential &amp; Commercial REIT</v>
    <v>YADR</v>
    <v>Ações</v>
    <v>Adriano Care (BMEX:YADR)</v>
    <v>0.5</v>
    <v>5.0505000000000001E-2</v>
    <v>715</v>
  </rv>
  <rv s="2">
    <v>358</v>
  </rv>
  <rv s="0">
    <v>https://www.bing.com/financeapi/forcetrigger?t=bn13w7&amp;q=BMEX%3aYISC&amp;form=skydnc</v>
    <v>Learn more on Bing</v>
  </rv>
  <rv s="14">
    <v>pt-BR</v>
    <v>bn13w7</v>
    <v>268435456</v>
    <v>1</v>
    <v>Da plataforma Refinitiv</v>
    <v>40</v>
    <v>41</v>
    <v>ISC Fresh Water (BMEX:YISC)</v>
    <v>3</v>
    <v>42</v>
    <v>Finance</v>
    <v>5</v>
    <v>BMEX</v>
    <v>7497000</v>
    <v>18</v>
    <v>2007</v>
    <v>18</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360</v>
    <v>EUR</v>
    <v>ISC Fresh Water</v>
    <v>ISC Fresh Water</v>
    <v>10.861700000000001</v>
    <v>18</v>
    <v>18</v>
    <v>Paseo de la Castellana, n 143, planta 11D, MADRID, MADRID, 28046 ES</v>
    <v>Real Estate Operations</v>
    <v>YISC</v>
    <v>Ações</v>
    <v>ISC Fresh Water (BMEX:YISC)</v>
    <v>0.3</v>
    <v>1.6949000000000002E-2</v>
    <v>263</v>
  </rv>
  <rv s="2">
    <v>361</v>
  </rv>
  <rv s="0">
    <v>https://www.bing.com/financeapi/forcetrigger?t=br1lxm&amp;q=BMEX%3aYTRM&amp;form=skydnc</v>
    <v>Learn more on Bing</v>
  </rv>
  <rv s="15">
    <v>pt-BR</v>
    <v>br1lxm</v>
    <v>268435456</v>
    <v>1</v>
    <v>Da plataforma Refinitiv</v>
    <v>43</v>
    <v>44</v>
    <v>Torimbia (BMEX:YTRM)</v>
    <v>3</v>
    <v>45</v>
    <v>Finance</v>
    <v>5</v>
    <v>BMEX</v>
    <v>5119070</v>
    <v>23.8</v>
    <v>1967</v>
    <v>23.8</v>
    <v>9.8500000000000004E-2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46056.708877314813</v>
    <v>363</v>
    <v>40</v>
    <v>EUR</v>
    <v>Torimbia</v>
    <v>Torimbia</v>
    <v>9.5161999999999995</v>
    <v>23.8</v>
    <v>23.8</v>
    <v>Paseo del Pintor Rosales 18, MADRID, MADRID, 28008 ES</v>
    <v>Residential &amp; Commercial REIT</v>
    <v>YTRM</v>
    <v>Ações</v>
    <v>Torimbia (BMEX:YTRM)</v>
    <v>0</v>
    <v>0</v>
    <v>200</v>
  </rv>
  <rv s="2">
    <v>364</v>
  </rv>
  <rv s="0">
    <v>https://www.bing.com/financeapi/forcetrigger?t=amg11h&amp;q=BMEX%3aOLE&amp;form=skydnc</v>
    <v>Learn more on Bing</v>
  </rv>
  <rv s="9">
    <v>pt-BR</v>
    <v>amg11h</v>
    <v>268435456</v>
    <v>1</v>
    <v>Da plataforma Refinitiv</v>
    <v>24</v>
    <v>25</v>
    <v>Deoleo (BMEX:OLE)</v>
    <v>3</v>
    <v>26</v>
    <v>Finance</v>
    <v>5</v>
    <v>0.246</v>
    <v>0.16</v>
    <v>BMEX</v>
    <v>500000000</v>
    <v>0.23400000000000001</v>
    <v>1955</v>
    <v>0.22800000000000001</v>
    <v>0.92500000000000004</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0.22900000000000001</v>
    <v>653</v>
    <v>46059.697916666664</v>
    <v>366</v>
    <v>1212840</v>
    <v>EUR</v>
    <v>Deoleo</v>
    <v>Deoleo</v>
    <v>0.23400000000000001</v>
    <v>0.23300000000000001</v>
    <v>Parque Empresarial Rivas Futura. C/ Marie Curie, 7, 4, Edificio Beta, RIVAS-VACIAMADRID, MADRID, 28521 ES</v>
    <v>Food &amp; Tobacco</v>
    <v>OLE</v>
    <v>Ações</v>
    <v>Deoleo (BMEX:OLE)</v>
    <v>4.0000000000000001E-3</v>
    <v>1.7467E-2</v>
    <v>519711</v>
  </rv>
  <rv s="2">
    <v>367</v>
  </rv>
  <rv s="0">
    <v>https://www.bing.com/financeapi/forcetrigger?t=bn11dm&amp;q=BMEX%3aYTEM&amp;form=skydnc</v>
    <v>Learn more on Bing</v>
  </rv>
  <rv s="14">
    <v>pt-BR</v>
    <v>bn11dm</v>
    <v>268435456</v>
    <v>1</v>
    <v>Da plataforma Refinitiv</v>
    <v>40</v>
    <v>41</v>
    <v>Tempore Properti (BMEX:YTEM)</v>
    <v>3</v>
    <v>42</v>
    <v>Finance</v>
    <v>5</v>
    <v>BMEX</v>
    <v>36416040</v>
    <v>3.36</v>
    <v>2017</v>
    <v>3.36</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369</v>
    <v>EUR</v>
    <v>Tempore Properti</v>
    <v>Tempore Properti</v>
    <v>11.0959</v>
    <v>3.36</v>
    <v>3.36</v>
    <v>Plaza Manuel Gomez-Moreno, 3. Planta 6, MADRID, MADRID, 28020 ES</v>
    <v>Residential &amp; Commercial REIT</v>
    <v>YTEM</v>
    <v>Ações</v>
    <v>Tempore Properti (BMEX:YTEM)</v>
    <v>0.06</v>
    <v>1.8182E-2</v>
    <v>1489</v>
  </rv>
  <rv s="2">
    <v>370</v>
  </rv>
  <rv s="0">
    <v>https://www.bing.com/financeapi/forcetrigger?t=amfzjc&amp;q=BMEX%3aNEA&amp;form=skydnc</v>
    <v>Learn more on Bing</v>
  </rv>
  <rv s="7">
    <v>pt-BR</v>
    <v>amfzjc</v>
    <v>268435456</v>
    <v>1</v>
    <v>Da plataforma Refinitiv</v>
    <v>16</v>
    <v>17</v>
    <v>Nicolas Correa (BMEX:NEA)</v>
    <v>3</v>
    <v>18</v>
    <v>Finance</v>
    <v>5</v>
    <v>12.5</v>
    <v>8.02</v>
    <v>BMEX</v>
    <v>12316630</v>
    <v>9.9</v>
    <v>9.44</v>
    <v>0.48870000000000002</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9.44</v>
    <v>487</v>
    <v>46059.691087962965</v>
    <v>372</v>
    <v>5350</v>
    <v>EUR</v>
    <v>Nicolas Correa</v>
    <v>Nicolas Correa</v>
    <v>9.2272999999999996</v>
    <v>9.44</v>
    <v>9.9</v>
    <v>Alcalde Martin Cobos 16A, BURGOS, BURGOS, 09007 ES</v>
    <v>Machinery, Equipment &amp; Components</v>
    <v>NEA</v>
    <v>Ações</v>
    <v>Nicolas Correa (BMEX:NEA)</v>
    <v>0.46</v>
    <v>4.8728999999999995E-2</v>
    <v>3030</v>
  </rv>
  <rv s="2">
    <v>373</v>
  </rv>
  <rv s="0">
    <v>https://www.bing.com/financeapi/forcetrigger?t=bn11ar&amp;q=BMEX%3aYTAN&amp;form=skydnc</v>
    <v>Learn more on Bing</v>
  </rv>
  <rv s="11">
    <v>pt-BR</v>
    <v>bn11ar</v>
    <v>268435456</v>
    <v>1</v>
    <v>Da plataforma Refinitiv</v>
    <v>30</v>
    <v>31</v>
    <v>Tander Inversion (BMEX:YTAN)</v>
    <v>3</v>
    <v>32</v>
    <v>Finance</v>
    <v>5</v>
    <v>BMEX</v>
    <v>8536400</v>
    <v>12.1</v>
    <v>2013</v>
    <v>12.1</v>
    <v>-2.4500000000000001E-2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375</v>
    <v>EUR</v>
    <v>Tander Inversion</v>
    <v>Tander Inversion</v>
    <v>52.2453</v>
    <v>12.1</v>
    <v>12.1</v>
    <v>Avenida Diagonal 467, 4 2b, BARCELONA, BARCELONA, 08036 ES</v>
    <v>Residential &amp; Commercial REIT</v>
    <v>YTAN</v>
    <v>Ações</v>
    <v>Tander Inversion (BMEX:YTAN)</v>
    <v>0.5</v>
    <v>4.3102999999999995E-2</v>
    <v>428</v>
  </rv>
  <rv s="2">
    <v>376</v>
  </rv>
  <rv s="0">
    <v>https://www.bing.com/financeapi/forcetrigger?t=c2u63m&amp;q=BMEX%3aAMEN&amp;form=skydnc</v>
    <v>Learn more on Bing</v>
  </rv>
  <rv s="25">
    <v>pt-BR</v>
    <v>c2u63m</v>
    <v>268435456</v>
    <v>1</v>
    <v>Da plataforma Refinitiv</v>
    <v>71</v>
    <v>72</v>
    <v>Aeternal Mentis (BMEX:AMEN)</v>
    <v>3</v>
    <v>73</v>
    <v>Finance</v>
    <v>5</v>
    <v>BMEX</v>
    <v>13232170</v>
    <v>8.15</v>
    <v>2021</v>
    <v>8.15</v>
    <v>-0.4904</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46058.709039351852</v>
    <v>378</v>
    <v>EUR</v>
    <v>Aeternal Mentis</v>
    <v>Aeternal Mentis</v>
    <v>8.15</v>
    <v>8.15</v>
    <v>Plaza Euskadi 5 15, BILBAO, VIZCAYA ES</v>
    <v>Software &amp; IT Services</v>
    <v>AMEN</v>
    <v>Ações</v>
    <v>Aeternal Mentis (BMEX:AMEN)</v>
    <v>-0.4</v>
    <v>-4.6783999999999999E-2</v>
    <v>5</v>
  </rv>
  <rv s="2">
    <v>379</v>
  </rv>
  <rv s="26">
    <v>pt-BR</v>
    <v>c9fjim</v>
    <v>268435456</v>
    <v>1</v>
    <v>Da plataforma Refinitiv</v>
    <v>74</v>
    <v>75</v>
    <v>Greening Group (BMEX:GGR)</v>
    <v>21</v>
    <v>76</v>
    <v>Finance</v>
    <v>5</v>
    <v>6.7</v>
    <v>3.72</v>
    <v>BMEX</v>
    <v>29102280</v>
    <v>4</v>
    <v>2020</v>
    <v>3.72</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3.81</v>
    <v>608</v>
    <v>46059.691087962965</v>
    <v>10120</v>
    <v>EUR</v>
    <v>Greening Group</v>
    <v>Greening Group</v>
    <v>3.84</v>
    <v>4</v>
    <v>C/ Alcayata, 4. Poligono Industrial El Florio, GRANADA, GRANADA, 18015 ES</v>
    <v>Renewable Energy</v>
    <v>GGR</v>
    <v>Ações</v>
    <v>Greening Group (BMEX:GGR)</v>
    <v>0.19</v>
    <v>4.9869000000000004E-2</v>
    <v>11106</v>
  </rv>
  <rv s="2">
    <v>381</v>
  </rv>
  <rv s="0">
    <v>https://www.bing.com/financeapi/forcetrigger?t=amftkr&amp;q=BMEX%3aCLR&amp;form=skydnc</v>
    <v>Learn more on Bing</v>
  </rv>
  <rv s="15">
    <v>pt-BR</v>
    <v>amftkr</v>
    <v>268435456</v>
    <v>1</v>
    <v>Da plataforma Refinitiv</v>
    <v>43</v>
    <v>44</v>
    <v>Clerhp Estructur (BMEX:CLR)</v>
    <v>3</v>
    <v>45</v>
    <v>Finance</v>
    <v>5</v>
    <v>BMEX</v>
    <v>14796830</v>
    <v>6.16</v>
    <v>2018</v>
    <v>6.02</v>
    <v>0.81589999999999996</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6.22</v>
    <v>91</v>
    <v>46059.691087962965</v>
    <v>383</v>
    <v>30030</v>
    <v>EUR</v>
    <v>Clerhp Estructur</v>
    <v>Clerhp Estructur</v>
    <v>1648.6486</v>
    <v>6.08</v>
    <v>6.1</v>
    <v>c/ Avenida Europa, 3B, Entresuelo 1, MURCIA, MURCIA, 30007 ES</v>
    <v>Construction &amp; Engineering</v>
    <v>CLR</v>
    <v>Ações</v>
    <v>Clerhp Estructur (BMEX:CLR)</v>
    <v>-0.12</v>
    <v>-1.9293000000000001E-2</v>
    <v>34557</v>
  </rv>
  <rv s="2">
    <v>384</v>
  </rv>
  <rv s="0">
    <v>https://www.bing.com/financeapi/forcetrigger?t=c4bavh&amp;q=BMEX%3aSNG&amp;form=skydnc</v>
    <v>Learn more on Bing</v>
  </rv>
  <rv s="15">
    <v>pt-BR</v>
    <v>c4bavh</v>
    <v>268435456</v>
    <v>1</v>
    <v>Da plataforma Refinitiv</v>
    <v>43</v>
    <v>44</v>
    <v>Singular people (BMEX:SNG)</v>
    <v>3</v>
    <v>45</v>
    <v>Finance</v>
    <v>5</v>
    <v>BMEX</v>
    <v>53852530</v>
    <v>2.02</v>
    <v>2014</v>
    <v>2.02</v>
    <v>4.8999999999999998E-3</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2.02</v>
    <v>1412</v>
    <v>46059.691087962965</v>
    <v>386</v>
    <v>1690</v>
    <v>EUR</v>
    <v>Singular people</v>
    <v>Singular people</v>
    <v>21.5122</v>
    <v>2.02</v>
    <v>2.02</v>
    <v>Calle Labastida N 1, Madrid, MADRID, 28034 ES</v>
    <v>Software &amp; IT Services</v>
    <v>SNG</v>
    <v>Ações</v>
    <v>Singular people (BMEX:SNG)</v>
    <v>0</v>
    <v>0</v>
    <v>945</v>
  </rv>
  <rv s="2">
    <v>387</v>
  </rv>
  <rv s="0">
    <v>https://www.bing.com/financeapi/forcetrigger?t=amg72w&amp;q=BMEX%3aYGOP&amp;form=skydnc</v>
    <v>Learn more on Bing</v>
  </rv>
  <rv s="15">
    <v>pt-BR</v>
    <v>amg72w</v>
    <v>268435456</v>
    <v>1</v>
    <v>Da plataforma Refinitiv</v>
    <v>43</v>
    <v>44</v>
    <v>Gop Properties (BMEX:YGOP)</v>
    <v>3</v>
    <v>45</v>
    <v>Finance</v>
    <v>5</v>
    <v>BMEX</v>
    <v>6187500</v>
    <v>16.899999999999999</v>
    <v>2016</v>
    <v>16.899999999999999</v>
    <v>-2.5100000000000001E-2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16.7</v>
    <v>1</v>
    <v>46059.458483796298</v>
    <v>389</v>
    <v>920</v>
    <v>EUR</v>
    <v>Gop Properties</v>
    <v>Gop Properties</v>
    <v>12.537100000000001</v>
    <v>16.899999999999999</v>
    <v>16.899999999999999</v>
    <v>Avenida Ensanche de Vallecas 44, MADRID, MADRID, 28051 ES</v>
    <v>Real Estate Operations</v>
    <v>YGOP</v>
    <v>Ações</v>
    <v>Gop Properties (BMEX:YGOP)</v>
    <v>0.2</v>
    <v>1.1976000000000001E-2</v>
    <v>1</v>
  </rv>
  <rv s="2">
    <v>390</v>
  </rv>
  <rv s="0">
    <v>https://www.bing.com/financeapi/forcetrigger?t=bo9q9c&amp;q=BMEX%3aYHSP&amp;form=skydnc</v>
    <v>Learn more on Bing</v>
  </rv>
  <rv s="11">
    <v>pt-BR</v>
    <v>bo9q9c</v>
    <v>268435456</v>
    <v>1</v>
    <v>Da plataforma Refinitiv</v>
    <v>30</v>
    <v>31</v>
    <v>Hispanotels Inv (BMEX:YHSP)</v>
    <v>3</v>
    <v>32</v>
    <v>Finance</v>
    <v>5</v>
    <v>BMEX</v>
    <v>11174900</v>
    <v>9</v>
    <v>1947</v>
    <v>9</v>
    <v>0.1033</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46031.625162037039</v>
    <v>392</v>
    <v>EUR</v>
    <v>Hispanotels Inv</v>
    <v>Hispanotels Inv</v>
    <v>12.9069</v>
    <v>9</v>
    <v>9</v>
    <v>Calle Zurbano, 83, MADRID, MADRID, 28003 ES</v>
    <v>Residential &amp; Commercial REIT</v>
    <v>YHSP</v>
    <v>Ações</v>
    <v>Hispanotels Inv (BMEX:YHSP)</v>
    <v>0</v>
    <v>0</v>
    <v>285</v>
  </rv>
  <rv s="2">
    <v>393</v>
  </rv>
  <rv s="0">
    <v>https://www.bing.com/financeapi/forcetrigger?t=bsoq2w&amp;q=BMEX%3aYADV&amp;form=skydnc</v>
    <v>Learn more on Bing</v>
  </rv>
  <rv s="15">
    <v>pt-BR</v>
    <v>bsoq2w</v>
    <v>268435456</v>
    <v>1</v>
    <v>Da plataforma Refinitiv</v>
    <v>43</v>
    <v>44</v>
    <v>Advero Propertie (BMEX:YADV)</v>
    <v>3</v>
    <v>45</v>
    <v>Finance</v>
    <v>5</v>
    <v>BMEX</v>
    <v>6908630</v>
    <v>14.1</v>
    <v>2017</v>
    <v>14.1</v>
    <v>6.0900000000000003E-2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14.2</v>
    <v>6</v>
    <v>46057.709039351852</v>
    <v>395</v>
    <v>250</v>
    <v>EUR</v>
    <v>Advero Propertie</v>
    <v>Advero Propertie</v>
    <v>145.34289999999999</v>
    <v>14.1</v>
    <v>14.1</v>
    <v>c/Iradier 21, BARCELONA, BARCELONA, 08017 ES</v>
    <v>Residential &amp; Commercial REIT</v>
    <v>YADV</v>
    <v>Ações</v>
    <v>Advero Propertie (BMEX:YADV)</v>
    <v>-0.1</v>
    <v>-7.0420000000000005E-3</v>
    <v>190</v>
  </rv>
  <rv s="2">
    <v>396</v>
  </rv>
  <rv s="0">
    <v>https://www.bing.com/financeapi/forcetrigger?t=c6l327&amp;q=BMEX%3aYIBI&amp;form=skydnc</v>
    <v>Learn more on Bing</v>
  </rv>
  <rv s="15">
    <v>pt-BR</v>
    <v>c6l327</v>
    <v>268435456</v>
    <v>1</v>
    <v>Da plataforma Refinitiv</v>
    <v>43</v>
    <v>44</v>
    <v>Ibi Lion Socimi (BMEX:YIBI)</v>
    <v>3</v>
    <v>45</v>
    <v>Finance</v>
    <v>5</v>
    <v>BMEX</v>
    <v>75858140</v>
    <v>1.1399999999999999</v>
    <v>2021</v>
    <v>1.1399999999999999</v>
    <v>0.104</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46045.708877314813</v>
    <v>398</v>
    <v>50</v>
    <v>EUR</v>
    <v>Ibi Lion Socimi</v>
    <v>Ibi Lion Socimi</v>
    <v>44.531300000000002</v>
    <v>1.1399999999999999</v>
    <v>1.1399999999999999</v>
    <v>Velazquez, 17 5a planta izquierda, MADRID, MADRID, 28001 ES</v>
    <v>Real Estate Operations</v>
    <v>YIBI</v>
    <v>Ações</v>
    <v>Ibi Lion Socimi (BMEX:YIBI)</v>
    <v>0.01</v>
    <v>8.8500000000000002E-3</v>
    <v>500</v>
  </rv>
  <rv s="2">
    <v>399</v>
  </rv>
  <rv s="27">
    <v>pt-BR</v>
    <v>cfd1ec</v>
    <v>268435456</v>
    <v>1</v>
    <v>Da plataforma Refinitiv</v>
    <v>77</v>
    <v>78</v>
    <v>Santa Ana Global (BMEX:STNA)</v>
    <v>21</v>
    <v>79</v>
    <v>Finance</v>
    <v>5</v>
    <v>BMEX</v>
    <v>12.4</v>
    <v>12.4</v>
    <v>Bolsas y Mercados Espanoles</v>
    <v>BMEX</v>
    <v>13</v>
    <v>46024.70957175926</v>
    <v>EUR</v>
    <v>Santa Ana Global</v>
    <v>Santa Ana Global</v>
    <v>12.4</v>
    <v>12.4</v>
    <v>CASTELLO 32 1 Derecha, MADRID, MADRID, 28001 ES</v>
    <v>STNA</v>
    <v>Ações</v>
    <v>Santa Ana Global (BMEX:STNA)</v>
    <v>-0.6</v>
    <v>-4.6154000000000001E-2</v>
    <v>56</v>
  </rv>
  <rv s="2">
    <v>401</v>
  </rv>
  <rv s="17">
    <v>12</v>
    <v>Setor</v>
    <v>0</v>
  </rv>
  <rv s="0">
    <v>https://www.bing.com/financeapi/forcetrigger?t=c6y3bh&amp;q=BMEX%3aAPG&amp;form=skydnc</v>
    <v>Learn more on Bing</v>
  </rv>
  <rv s="15">
    <v>pt-BR</v>
    <v>c6y3bh</v>
    <v>268435456</v>
    <v>1</v>
    <v>Da plataforma Refinitiv</v>
    <v>43</v>
    <v>44</v>
    <v>Axon Partnes Grp (BMEX:APG)</v>
    <v>3</v>
    <v>45</v>
    <v>Finance</v>
    <v>5</v>
    <v>BMEX</v>
    <v>5307430</v>
    <v>15.1</v>
    <v>2012</v>
    <v>15.1</v>
    <v>-0.31280000000000002</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15.7</v>
    <v>71</v>
    <v>46058.625231481485</v>
    <v>404</v>
    <v>150</v>
    <v>EUR</v>
    <v>Axon Partnes Grp</v>
    <v>Axon Partnes Grp</v>
    <v>13.7585</v>
    <v>15.1</v>
    <v>15.1</v>
    <v>Calle Sagasta 18 3, MADRID, MADRID, 28004 ES</v>
    <v>Investment Banking &amp; Investment Services</v>
    <v>APG</v>
    <v>Ações</v>
    <v>Axon Partnes Grp (BMEX:APG)</v>
    <v>-0.6</v>
    <v>-3.8217000000000001E-2</v>
    <v>700</v>
  </rv>
  <rv s="2">
    <v>405</v>
  </rv>
  <rv s="0">
    <v>https://www.bing.com/financeapi/forcetrigger?t=c5jm27&amp;q=BMEX%3aVYT&amp;form=skydnc</v>
    <v>Learn more on Bing</v>
  </rv>
  <rv s="15">
    <v>pt-BR</v>
    <v>c5jm27</v>
    <v>268435456</v>
    <v>1</v>
    <v>Da plataforma Refinitiv</v>
    <v>43</v>
    <v>44</v>
    <v>Vytrus Biotech (BMEX:VYT)</v>
    <v>3</v>
    <v>45</v>
    <v>Finance</v>
    <v>5</v>
    <v>BMEX</v>
    <v>7635100</v>
    <v>11.2</v>
    <v>2009</v>
    <v>10</v>
    <v>0.32819999999999999</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11.5</v>
    <v>41</v>
    <v>46059.697916666664</v>
    <v>407</v>
    <v>11000</v>
    <v>EUR</v>
    <v>Vytrus Biotech</v>
    <v>Vytrus Biotech</v>
    <v>43.1571</v>
    <v>11.1</v>
    <v>11.1</v>
    <v>Sant Gaieta 121, 2nd, TERRASSA, BARCELONA, 08221 ES</v>
    <v>Professional &amp; Commercial Services</v>
    <v>VYT</v>
    <v>Ações</v>
    <v>Vytrus Biotech (BMEX:VYT)</v>
    <v>-0.4</v>
    <v>-3.4783000000000001E-2</v>
    <v>34644</v>
  </rv>
  <rv s="2">
    <v>408</v>
  </rv>
  <rv s="0">
    <v>https://www.bing.com/financeapi/forcetrigger?t=c2u29c&amp;q=BMEX%3aLLYC&amp;form=skydnc</v>
    <v>Learn more on Bing</v>
  </rv>
  <rv s="28">
    <v>pt-BR</v>
    <v>c2u29c</v>
    <v>268435456</v>
    <v>1</v>
    <v>Da plataforma Refinitiv</v>
    <v>80</v>
    <v>81</v>
    <v>Llorente &amp; Cuenc (BMEX:LLYC)</v>
    <v>3</v>
    <v>82</v>
    <v>Finance</v>
    <v>5</v>
    <v>BMEX</v>
    <v>11639570</v>
    <v>7</v>
    <v>7</v>
    <v>0.65</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7</v>
    <v>1258</v>
    <v>46059.691087962965</v>
    <v>410</v>
    <v>440</v>
    <v>EUR</v>
    <v>Llorente &amp; Cuenc</v>
    <v>Llorente &amp; Cuenc</v>
    <v>5.9504000000000001</v>
    <v>7</v>
    <v>7</v>
    <v>Calle Lagasca 88, MADRID, MADRID, 28001 ES</v>
    <v>Media &amp; Publishing</v>
    <v>LLYC</v>
    <v>Ações</v>
    <v>Llorente &amp; Cuenc (BMEX:LLYC)</v>
    <v>0</v>
    <v>0</v>
    <v>2500</v>
  </rv>
  <rv s="2">
    <v>411</v>
  </rv>
  <rv s="0">
    <v>https://www.bing.com/financeapi/forcetrigger?t=c3u4lh&amp;q=OTCM%3aSCBKF&amp;form=skydnc</v>
    <v>Learn more on Bing</v>
  </rv>
  <rv s="29">
    <v>pt-BR</v>
    <v>c3u4lh</v>
    <v>268435456</v>
    <v>1</v>
    <v>Da plataforma Refinitiv</v>
    <v>83</v>
    <v>84</v>
    <v>Science (OTCM:SCBKF)</v>
    <v>3</v>
    <v>85</v>
    <v>Finance</v>
    <v>5</v>
    <v>0.4</v>
    <v>0.4</v>
    <v>OTCM</v>
    <v>0.4</v>
    <v>0.4</v>
    <v>OTC Markets</v>
    <v>OTCM</v>
    <v>0.4</v>
    <v>45952.006944444445</v>
    <v>413</v>
    <v>USD</v>
    <v>Science</v>
    <v>Science</v>
    <v>0</v>
    <v>0.4</v>
    <v>0.4</v>
    <v>22 North Canal Road, 048834 SG</v>
    <v>SCBKF</v>
    <v>Ações</v>
    <v>Science (OTCM:SCBKF)</v>
    <v>0</v>
    <v>0</v>
    <v>980</v>
  </rv>
  <rv s="2">
    <v>414</v>
  </rv>
  <rv s="0">
    <v>https://www.bing.com/financeapi/forcetrigger?t=c66sur&amp;q=BMEX%3aLIB&amp;form=skydnc</v>
    <v>Learn more on Bing</v>
  </rv>
  <rv s="1">
    <v>pt-BR</v>
    <v>c66sur</v>
    <v>268435456</v>
    <v>1</v>
    <v>Da plataforma Refinitiv</v>
    <v>0</v>
    <v>1</v>
    <v>Libertas 7 (BMEX:LIB)</v>
    <v>3</v>
    <v>4</v>
    <v>Finance</v>
    <v>5</v>
    <v>4.9539999999999997</v>
    <v>1.524</v>
    <v>BMEX</v>
    <v>21914440</v>
    <v>3.62</v>
    <v>1946</v>
    <v>3.4</v>
    <v>0.90710000000000002</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3.48</v>
    <v>48</v>
    <v>46059.691087962965</v>
    <v>416</v>
    <v>10440</v>
    <v>EUR</v>
    <v>Libertas 7</v>
    <v>Libertas 7</v>
    <v>0.15959999999999999</v>
    <v>3.58</v>
    <v>3.62</v>
    <v>Calle Caballeros, n 36, VALENCIA, VALENCIA, 46001 ES</v>
    <v>Real Estate Operations</v>
    <v>LIB</v>
    <v>Ações</v>
    <v>Libertas 7 (BMEX:LIB)</v>
    <v>0.14000000000000001</v>
    <v>4.0229999999999995E-2</v>
    <v>3523</v>
  </rv>
  <rv s="2">
    <v>417</v>
  </rv>
  <rv s="0">
    <v>https://www.bing.com/financeapi/forcetrigger?t=amg4m7&amp;q=BMEX%3aVOC&amp;form=skydnc</v>
    <v>Learn more on Bing</v>
  </rv>
  <rv s="9">
    <v>pt-BR</v>
    <v>amg4m7</v>
    <v>268435456</v>
    <v>1</v>
    <v>Da plataforma Refinitiv</v>
    <v>24</v>
    <v>25</v>
    <v>Vocento (BMEX:VOC)</v>
    <v>3</v>
    <v>26</v>
    <v>Finance</v>
    <v>5</v>
    <v>0.8</v>
    <v>0.61</v>
    <v>BMEX</v>
    <v>124319700</v>
    <v>0.65</v>
    <v>1945</v>
    <v>0.65</v>
    <v>1.024</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0.65</v>
    <v>2651</v>
    <v>46059.691087962965</v>
    <v>419</v>
    <v>83900</v>
    <v>EUR</v>
    <v>Vocento</v>
    <v>Vocento</v>
    <v>0.65</v>
    <v>0.65</v>
    <v>Gran Via de Don Diego Lopez de Haro n45, 3 planta., BILBAO, VIZCAYA, 48011 ES</v>
    <v>Media &amp; Publishing</v>
    <v>VOC</v>
    <v>Ações</v>
    <v>Vocento (BMEX:VOC)</v>
    <v>0</v>
    <v>0</v>
    <v>397</v>
  </rv>
  <rv s="2">
    <v>420</v>
  </rv>
  <rv s="0">
    <v>https://www.bing.com/financeapi/forcetrigger?t=bok727&amp;q=BMEX%3aYIPS&amp;form=skydnc</v>
    <v>Learn more on Bing</v>
  </rv>
  <rv s="15">
    <v>pt-BR</v>
    <v>bok727</v>
    <v>268435456</v>
    <v>1</v>
    <v>Da plataforma Refinitiv</v>
    <v>43</v>
    <v>44</v>
    <v>Inversa Prime (BMEX:YIPS)</v>
    <v>3</v>
    <v>45</v>
    <v>Finance</v>
    <v>5</v>
    <v>BMEX</v>
    <v>76377210</v>
    <v>0.96</v>
    <v>2017</v>
    <v>0.94</v>
    <v>-0.22420000000000001</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0.96</v>
    <v>1</v>
    <v>46059.691087962965</v>
    <v>422</v>
    <v>3230</v>
    <v>EUR</v>
    <v>Inversa Prime</v>
    <v>Inversa Prime</v>
    <v>12.307700000000001</v>
    <v>0.94</v>
    <v>0.96</v>
    <v>C/ Velazquez 41 1, Madrid, MADRID ES</v>
    <v>Residential &amp; Commercial REIT</v>
    <v>YIPS</v>
    <v>Ações</v>
    <v>Inversa Prime (BMEX:YIPS)</v>
    <v>0</v>
    <v>0</v>
    <v>3492</v>
  </rv>
  <rv s="2">
    <v>423</v>
  </rv>
  <rv s="0">
    <v>https://www.bing.com/financeapi/forcetrigger?t=c6y3h7&amp;q=BMEX%3aUSI&amp;form=skydnc</v>
    <v>Learn more on Bing</v>
  </rv>
  <rv s="21">
    <v>pt-BR</v>
    <v>c6y3h7</v>
    <v>268435456</v>
    <v>1</v>
    <v>Da plataforma Refinitiv</v>
    <v>57</v>
    <v>58</v>
    <v>Umbrella Solar (BMEX:UMB)</v>
    <v>3</v>
    <v>59</v>
    <v>Finance</v>
    <v>5</v>
    <v>BMEX</v>
    <v>21558000</v>
    <v>3.36</v>
    <v>2018</v>
    <v>3.36</v>
    <v>0.2462</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3.36</v>
    <v>84</v>
    <v>46057.709039351852</v>
    <v>425</v>
    <v>1830</v>
    <v>EUR</v>
    <v>Umbrella Solar</v>
    <v>Umbrella Solar</v>
    <v>3.36</v>
    <v>3.36</v>
    <v>Plaza de America 2, 4 piso, puerta AB., VALENCIA, VALENCIA, 46004 ES</v>
    <v>Construction &amp; Engineering</v>
    <v>UMB</v>
    <v>Ações</v>
    <v>Umbrella Solar (BMEX:UMB)</v>
    <v>0</v>
    <v>0</v>
    <v>100</v>
  </rv>
  <rv s="2">
    <v>426</v>
  </rv>
  <rv s="23">
    <v>pt-BR</v>
    <v>c8a46h</v>
    <v>268435456</v>
    <v>1</v>
    <v>Da plataforma Refinitiv</v>
    <v>65</v>
    <v>66</v>
    <v>Energy Solar Tec (BMEX:ETC)</v>
    <v>21</v>
    <v>62</v>
    <v>Finance</v>
    <v>5</v>
    <v>BMEX</v>
    <v>26951380</v>
    <v>2.56</v>
    <v>2020</v>
    <v>2.48</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2.5499999999999998</v>
    <v>134</v>
    <v>46059.691087962965</v>
    <v>4720</v>
    <v>EUR</v>
    <v>Energy Solar Tec</v>
    <v>Energy Solar Tec</v>
    <v>59.302300000000002</v>
    <v>2.56</v>
    <v>2.5499999999999998</v>
    <v>C/ Ruso 18, LAS ROZAS DE MADRID, MADRID, 28290 ES</v>
    <v>Electrical Utilities &amp; IPPs</v>
    <v>ETC</v>
    <v>Ações</v>
    <v>Energy Solar Tec (BMEX:ETC)</v>
    <v>0</v>
    <v>0</v>
    <v>5062</v>
  </rv>
  <rv s="2">
    <v>428</v>
  </rv>
  <rv s="0">
    <v>https://www.bing.com/financeapi/forcetrigger?t=bjrkcw&amp;q=BMEX%3aALQ&amp;form=skydnc</v>
    <v>Learn more on Bing</v>
  </rv>
  <rv s="28">
    <v>pt-BR</v>
    <v>bjrkcw</v>
    <v>268435456</v>
    <v>1</v>
    <v>Da plataforma Refinitiv</v>
    <v>80</v>
    <v>81</v>
    <v>Alquiber Quality (BMEX:ALQ)</v>
    <v>3</v>
    <v>82</v>
    <v>Finance</v>
    <v>5</v>
    <v>BMEX</v>
    <v>5401420</v>
    <v>12.9</v>
    <v>12.9</v>
    <v>0.16259999999999999</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12.8</v>
    <v>320</v>
    <v>46059.625092592592</v>
    <v>430</v>
    <v>370</v>
    <v>EUR</v>
    <v>Alquiber Quality</v>
    <v>Alquiber Quality</v>
    <v>10.942399999999999</v>
    <v>12.9</v>
    <v>12.9</v>
    <v>C/ Almendro, 6, FUENLABRADA, MADRID, 28940 ES</v>
    <v>Professional &amp; Commercial Services</v>
    <v>ALQ</v>
    <v>Ações</v>
    <v>Alquiber Quality (BMEX:ALQ)</v>
    <v>0.1</v>
    <v>7.8130000000000005E-3</v>
    <v>407</v>
  </rv>
  <rv s="2">
    <v>431</v>
  </rv>
  <rv s="23">
    <v>pt-BR</v>
    <v>c9vnr7</v>
    <v>268435456</v>
    <v>1</v>
    <v>Da plataforma Refinitiv</v>
    <v>65</v>
    <v>66</v>
    <v>Milepro Logistic (BMEX:YMIL)</v>
    <v>21</v>
    <v>62</v>
    <v>Finance</v>
    <v>5</v>
    <v>BMEX</v>
    <v>2399200</v>
    <v>27.2</v>
    <v>2020</v>
    <v>27.2</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27.6</v>
    <v>1</v>
    <v>46059.625092592592</v>
    <v>20</v>
    <v>EUR</v>
    <v>Milepro Logistic</v>
    <v>Milepro Logistic</v>
    <v>772.72730000000001</v>
    <v>27.2</v>
    <v>27.2</v>
    <v>C/ Villanueva 2 bis - planta jardin, MADRID, MADRID, 28001 ES</v>
    <v>Residential &amp; Commercial REIT</v>
    <v>YMIL</v>
    <v>Ações</v>
    <v>Milepro Logistic (BMEX:YMIL)</v>
    <v>-0.4</v>
    <v>-1.4493000000000001E-2</v>
    <v>166</v>
  </rv>
  <rv s="2">
    <v>433</v>
  </rv>
  <rv s="10">
    <v>pt-BR</v>
    <v>c87olh</v>
    <v>268435456</v>
    <v>1</v>
    <v>Da plataforma Refinitiv</v>
    <v>27</v>
    <v>28</v>
    <v>Seresco (BMEX:SCO)</v>
    <v>21</v>
    <v>29</v>
    <v>Finance</v>
    <v>5</v>
    <v>6.8</v>
    <v>2.9</v>
    <v>BMEX</v>
    <v>9103010</v>
    <v>6.8</v>
    <v>1969</v>
    <v>6.6</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6.65</v>
    <v>1032</v>
    <v>46059.691087962965</v>
    <v>1360</v>
    <v>EUR</v>
    <v>Seresco</v>
    <v>Seresco</v>
    <v>13.1274</v>
    <v>6.6</v>
    <v>6.8</v>
    <v>Calle Matematico Pedrayes, 23, OVIEDO, ASTURIAS, 33005 ES</v>
    <v>Software &amp; IT Services</v>
    <v>SCO</v>
    <v>Ações</v>
    <v>Seresco (BMEX:SCO)</v>
    <v>0.15</v>
    <v>2.2556E-2</v>
    <v>977</v>
  </rv>
  <rv s="2">
    <v>435</v>
  </rv>
  <rv s="0">
    <v>https://www.bing.com/financeapi/forcetrigger?t=amg7mw&amp;q=BMEX%3aYORS&amp;form=skydnc</v>
    <v>Learn more on Bing</v>
  </rv>
  <rv s="25">
    <v>pt-BR</v>
    <v>amg7mw</v>
    <v>268435456</v>
    <v>1</v>
    <v>Da plataforma Refinitiv</v>
    <v>71</v>
    <v>72</v>
    <v>Optimum RE Spain (BMEX:SCORS)</v>
    <v>3</v>
    <v>73</v>
    <v>Finance</v>
    <v>5</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437</v>
    <v>EUR</v>
    <v>Optimum RE Spain</v>
    <v>Optimum RE Spain</v>
    <v>13</v>
    <v>13</v>
    <v>C/ Serrano 26 6, BARCELONA, BARCELONA ES</v>
    <v>Residential &amp; Commercial REIT</v>
    <v>SCORS</v>
    <v>Ações</v>
    <v>Optimum RE Spain (BMEX:SCORS)</v>
    <v>0</v>
    <v>0</v>
    <v>1</v>
  </rv>
  <rv s="2">
    <v>438</v>
  </rv>
  <rv s="0">
    <v>https://www.bing.com/financeapi/forcetrigger?t=c2p1kr&amp;q=BMEX%3aEIDF&amp;form=skydnc</v>
    <v>Learn more on Bing</v>
  </rv>
  <rv s="21">
    <v>pt-BR</v>
    <v>c2p1kr</v>
    <v>268435456</v>
    <v>1</v>
    <v>Da plataforma Refinitiv</v>
    <v>57</v>
    <v>58</v>
    <v>EiDF Solar (BMEX:EIDF)</v>
    <v>3</v>
    <v>59</v>
    <v>Finance</v>
    <v>5</v>
    <v>BMEX</v>
    <v>63466410</v>
    <v>0.94</v>
    <v>2009</v>
    <v>0.91</v>
    <v>0.44640000000000002</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0.93400000000000005</v>
    <v>125</v>
    <v>46059.691087962965</v>
    <v>440</v>
    <v>64080</v>
    <v>EUR</v>
    <v>EiDF Solar</v>
    <v>EiDF Solar</v>
    <v>0.93200000000000005</v>
    <v>0.93700000000000006</v>
    <v>Poligono Industrial Outeda - Curro, n 3, BARRO, PONTEVEDRA, 36692 ES</v>
    <v>Renewable Energy</v>
    <v>EIDF</v>
    <v>Ações</v>
    <v>EiDF Solar (BMEX:EIDF)</v>
    <v>3.0000000000000001E-3</v>
    <v>3.212E-3</v>
    <v>11296</v>
  </rv>
  <rv s="2">
    <v>441</v>
  </rv>
  <rv s="0">
    <v>https://www.bing.com/financeapi/forcetrigger?t=amfvjc&amp;q=BMEX%3aFACE&amp;form=skydnc</v>
    <v>Learn more on Bing</v>
  </rv>
  <rv s="21">
    <v>pt-BR</v>
    <v>amfvjc</v>
    <v>268435456</v>
    <v>1</v>
    <v>Da plataforma Refinitiv</v>
    <v>57</v>
    <v>58</v>
    <v>Facephi Biometri (BMEX:FACE)</v>
    <v>3</v>
    <v>59</v>
    <v>Finance</v>
    <v>5</v>
    <v>BMEX</v>
    <v>25776710</v>
    <v>2.44</v>
    <v>2012</v>
    <v>2.34</v>
    <v>1.1601999999999999</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2.4900000000000002</v>
    <v>259</v>
    <v>46059.691087962965</v>
    <v>443</v>
    <v>10080</v>
    <v>EUR</v>
    <v>Facephi Biometri</v>
    <v>Facephi Biometri</v>
    <v>2.42</v>
    <v>2.4300000000000002</v>
    <v>Avenida Perfecto, Palacio de la Fuente, 6, ALICANTE, ALICANTE, 03003 ES</v>
    <v>Software &amp; IT Services</v>
    <v>FACE</v>
    <v>Ações</v>
    <v>Facephi Biometri (BMEX:FACE)</v>
    <v>-0.06</v>
    <v>-2.4096000000000003E-2</v>
    <v>8805</v>
  </rv>
  <rv s="2">
    <v>444</v>
  </rv>
  <rv s="0">
    <v>https://www.bing.com/financeapi/forcetrigger?t=boh63m&amp;q=BMEX%3aYARP&amp;form=skydnc</v>
    <v>Learn more on Bing</v>
  </rv>
  <rv s="11">
    <v>pt-BR</v>
    <v>boh63m</v>
    <v>268435456</v>
    <v>1</v>
    <v>Da plataforma Refinitiv</v>
    <v>30</v>
    <v>31</v>
    <v>Arrienda Rental (BMEX:YARP)</v>
    <v>3</v>
    <v>32</v>
    <v>Finance</v>
    <v>5</v>
    <v>BMEX</v>
    <v>20605750</v>
    <v>2.8</v>
    <v>2017</v>
    <v>2.8</v>
    <v>-9.4999999999999998E-3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446</v>
    <v>EUR</v>
    <v>Arrienda Rental</v>
    <v>Arrienda Rental</v>
    <v>26.183800000000002</v>
    <v>2.8</v>
    <v>2.8</v>
    <v>calle Bahia de Cartagena, numero 1, MADRID, MADRID, 28042 ES</v>
    <v>Residential &amp; Commercial REIT</v>
    <v>YARP</v>
    <v>Ações</v>
    <v>Arrienda Rental (BMEX:YARP)</v>
    <v>-0.02</v>
    <v>-7.0920000000000002E-3</v>
    <v>150</v>
  </rv>
  <rv s="2">
    <v>447</v>
  </rv>
  <rv s="0">
    <v>https://www.bing.com/financeapi/forcetrigger?t=amfy8m&amp;q=BMEX%3aLGT&amp;form=skydnc</v>
    <v>Learn more on Bing</v>
  </rv>
  <rv s="1">
    <v>pt-BR</v>
    <v>amfy8m</v>
    <v>268435456</v>
    <v>1</v>
    <v>Da plataforma Refinitiv</v>
    <v>0</v>
    <v>1</v>
    <v>Lingotes (BMEX:LGT)</v>
    <v>3</v>
    <v>4</v>
    <v>Finance</v>
    <v>5</v>
    <v>6.66</v>
    <v>4.82</v>
    <v>BMEX</v>
    <v>10000000</v>
    <v>5.8</v>
    <v>1968</v>
    <v>5.6</v>
    <v>0.86229999999999996</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5.7</v>
    <v>439</v>
    <v>46059.691087962965</v>
    <v>449</v>
    <v>10620</v>
    <v>EUR</v>
    <v>Lingotes</v>
    <v>Lingotes</v>
    <v>77.8523</v>
    <v>5.7</v>
    <v>5.8</v>
    <v>Calle Colmenares, N 5, Piso 1, VALLADOLID, VALLADOLID, 47004 ES</v>
    <v>Metals &amp; Mining</v>
    <v>LGT</v>
    <v>Ações</v>
    <v>Lingotes (BMEX:LGT)</v>
    <v>0.1</v>
    <v>1.7544000000000001E-2</v>
    <v>1075</v>
  </rv>
  <rv s="2">
    <v>450</v>
  </rv>
  <rv s="0">
    <v>https://www.bing.com/financeapi/forcetrigger?t=amfz7w&amp;q=BMEX%3aMTB&amp;form=skydnc</v>
    <v>Learn more on Bing</v>
  </rv>
  <rv s="1">
    <v>pt-BR</v>
    <v>amfz7w</v>
    <v>268435456</v>
    <v>1</v>
    <v>Da plataforma Refinitiv</v>
    <v>0</v>
    <v>1</v>
    <v>Montebalito (BMEX:MTB)</v>
    <v>3</v>
    <v>4</v>
    <v>Finance</v>
    <v>5</v>
    <v>1.98</v>
    <v>1.26</v>
    <v>BMEX</v>
    <v>32000000</v>
    <v>1.82</v>
    <v>1972</v>
    <v>1.82</v>
    <v>0.47139999999999999</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1.82</v>
    <v>18</v>
    <v>46059.691087962965</v>
    <v>452</v>
    <v>3810</v>
    <v>EUR</v>
    <v>Montebalito</v>
    <v>Montebalito</v>
    <v>33.766199999999998</v>
    <v>1.82</v>
    <v>1.82</v>
    <v>Calle Maria de Molina, 39, MADRID, MADRID, 28006 ES</v>
    <v>Real Estate Operations</v>
    <v>MTB</v>
    <v>Ações</v>
    <v>Montebalito (BMEX:MTB)</v>
    <v>0</v>
    <v>0</v>
    <v>3000</v>
  </rv>
  <rv s="2">
    <v>453</v>
  </rv>
  <rv s="0">
    <v>https://www.bing.com/financeapi/forcetrigger?t=amg1cw&amp;q=BMEX%3aPANG&amp;form=skydnc</v>
    <v>Learn more on Bing</v>
  </rv>
  <rv s="21">
    <v>pt-BR</v>
    <v>amg1cw</v>
    <v>268435456</v>
    <v>1</v>
    <v>Da plataforma Refinitiv</v>
    <v>57</v>
    <v>58</v>
    <v>Pangaea Oncology (BMEX:PANG)</v>
    <v>3</v>
    <v>59</v>
    <v>Finance</v>
    <v>5</v>
    <v>BMEX</v>
    <v>34414560</v>
    <v>1.65</v>
    <v>2007</v>
    <v>1.65</v>
    <v>3.2199999999999999E-2</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1.68</v>
    <v>168</v>
    <v>46056.625150462962</v>
    <v>455</v>
    <v>320</v>
    <v>EUR</v>
    <v>Pangaea Oncology</v>
    <v>Pangaea Oncology</v>
    <v>1.65</v>
    <v>1.65</v>
    <v>Quiron Dexeus University Hospital, C/ Sabino Arana, 5-19, BARCELONA, BARCELONA, 08028 ES</v>
    <v>Biotechnology &amp; Medical Research</v>
    <v>PANG</v>
    <v>Ações</v>
    <v>Pangaea Oncology (BMEX:PANG)</v>
    <v>-0.03</v>
    <v>-1.7857000000000001E-2</v>
    <v>850</v>
  </rv>
  <rv s="2">
    <v>456</v>
  </rv>
  <rv s="30">
    <v>pt-BR</v>
    <v>cdijqh</v>
    <v>268435456</v>
    <v>1</v>
    <v>Da plataforma Refinitiv</v>
    <v>86</v>
    <v>87</v>
    <v>Inbest (BMEX:SCIG2)</v>
    <v>21</v>
    <v>88</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458</v>
  </rv>
  <rv s="0">
    <v>https://www.bing.com/financeapi/forcetrigger?t=amfqk2&amp;q=BMEX%3aADZ&amp;form=skydnc</v>
    <v>Learn more on Bing</v>
  </rv>
  <rv s="1">
    <v>pt-BR</v>
    <v>amfqk2</v>
    <v>268435456</v>
    <v>1</v>
    <v>Da plataforma Refinitiv</v>
    <v>0</v>
    <v>1</v>
    <v>Adolfo Dominguez (BMEX:ADZ)</v>
    <v>3</v>
    <v>4</v>
    <v>Finance</v>
    <v>5</v>
    <v>6</v>
    <v>4.26</v>
    <v>BMEX</v>
    <v>9276110</v>
    <v>5.9</v>
    <v>1989</v>
    <v>5.75</v>
    <v>0.46400000000000002</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5.8</v>
    <v>1014</v>
    <v>46059.691087962965</v>
    <v>460</v>
    <v>2860</v>
    <v>EUR</v>
    <v>Adolfo Dominguez</v>
    <v>Adolfo Dominguez</v>
    <v>26.944700000000001</v>
    <v>5.9</v>
    <v>5.75</v>
    <v>Poligono Industrial San Cibrao das Vinas, Calle 4, Parcela 8, SAN CIBRAO DAS VINAS, OURENSE, 32901 ES</v>
    <v>Textiles &amp; Apparel</v>
    <v>ADZ</v>
    <v>Ações</v>
    <v>Adolfo Dominguez (BMEX:ADZ)</v>
    <v>-0.05</v>
    <v>-8.6210000000000002E-3</v>
    <v>5757</v>
  </rv>
  <rv s="2">
    <v>461</v>
  </rv>
  <rv s="0">
    <v>https://www.bing.com/financeapi/forcetrigger?t=bqsspr&amp;q=BMEX%3aYINB1&amp;form=skydnc</v>
    <v>Learn more on Bing</v>
  </rv>
  <rv s="31">
    <v>pt-BR</v>
    <v>bqsspr</v>
    <v>268435456</v>
    <v>1</v>
    <v>Da plataforma Refinitiv</v>
    <v>89</v>
    <v>90</v>
    <v>Inbest Prime I (BMEX:YINB1)</v>
    <v>3</v>
    <v>91</v>
    <v>Finance</v>
    <v>5</v>
    <v>1.1599999999999999</v>
    <v>1.04</v>
    <v>BMEX</v>
    <v>50000000</v>
    <v>1.1299999999999999</v>
    <v>2016</v>
    <v>1.1299999999999999</v>
    <v>0.1017</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1.1399999999999999</v>
    <v>0</v>
    <v>46041.708969907406</v>
    <v>463</v>
    <v>EUR</v>
    <v>Inbest Prime I</v>
    <v>Inbest Prime I</v>
    <v>1.1299999999999999</v>
    <v>1.1299999999999999</v>
    <v>Calle Serrano 57, Planta 4a, MADRID, MADRID, 28006 ES</v>
    <v>Residential &amp; Commercial REIT</v>
    <v>YINB1</v>
    <v>Ações</v>
    <v>Inbest Prime I (BMEX:YINB1)</v>
    <v>-0.01</v>
    <v>-8.7720000000000003E-3</v>
    <v>4425</v>
  </rv>
  <rv s="2">
    <v>464</v>
  </rv>
  <rv s="0">
    <v>https://www.bing.com/financeapi/forcetrigger?t=amfvgh&amp;q=BMEX%3aEZE&amp;form=skydnc</v>
    <v>Learn more on Bing</v>
  </rv>
  <rv s="19">
    <v>pt-BR</v>
    <v>amfvgh</v>
    <v>268435456</v>
    <v>1</v>
    <v>Da plataforma Refinitiv</v>
    <v>51</v>
    <v>52</v>
    <v>Grupo Ezentis (BMEX:EZE)</v>
    <v>3</v>
    <v>53</v>
    <v>Finance</v>
    <v>5</v>
    <v>0.14599999999999999</v>
    <v>7.8E-2</v>
    <v>BMEX</v>
    <v>586851200</v>
    <v>8.5500000000000007E-2</v>
    <v>8.3000000000000004E-2</v>
    <v>1.1471</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8.3099999999999993E-2</v>
    <v>224</v>
    <v>46059.691087962965</v>
    <v>466</v>
    <v>856580</v>
    <v>EUR</v>
    <v>Grupo Ezentis</v>
    <v>Grupo Ezentis</v>
    <v>8.4000000000000005E-2</v>
    <v>8.3299999999999999E-2</v>
    <v>Calle Sta Leonor, 65 Edificio B, planta 4, MADRID, MADRID, 28037 ES</v>
    <v>Construction &amp; Engineering</v>
    <v>EZE</v>
    <v>Ações</v>
    <v>Grupo Ezentis (BMEX:EZE)</v>
    <v>2.0000000000000001E-4</v>
    <v>2.4069999999999999E-3</v>
    <v>690539</v>
  </rv>
  <rv s="2">
    <v>467</v>
  </rv>
  <rv s="0">
    <v>https://www.bing.com/financeapi/forcetrigger?t=c2i11h&amp;q=BMEX%3aPAR&amp;form=skydnc</v>
    <v>Learn more on Bing</v>
  </rv>
  <rv s="21">
    <v>pt-BR</v>
    <v>c2i11h</v>
    <v>268435456</v>
    <v>1</v>
    <v>Da plataforma Refinitiv</v>
    <v>57</v>
    <v>58</v>
    <v>Parlem (BMEX:PAR)</v>
    <v>3</v>
    <v>59</v>
    <v>Finance</v>
    <v>5</v>
    <v>BMEX</v>
    <v>19865750</v>
    <v>2.6</v>
    <v>2012</v>
    <v>2.54</v>
    <v>0.1671</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2.6</v>
    <v>135</v>
    <v>46059.691087962965</v>
    <v>469</v>
    <v>3720</v>
    <v>EUR</v>
    <v>Parlem</v>
    <v>Parlem</v>
    <v>2.56</v>
    <v>2.56</v>
    <v>Avinguda Diagonal 452, Edifici Cambra de Comerc de Barcelona, Planta 4, Barcelona, BARCELONA, 08006 ES</v>
    <v>Telecommunications Services</v>
    <v>PAR</v>
    <v>Ações</v>
    <v>Parlem (BMEX:PAR)</v>
    <v>-0.04</v>
    <v>-1.5384999999999999E-2</v>
    <v>1076</v>
  </rv>
  <rv s="2">
    <v>470</v>
  </rv>
  <rv s="0">
    <v>https://www.bing.com/financeapi/forcetrigger?t=bsn7ww&amp;q=BMEX%3aGIGA&amp;form=skydnc</v>
    <v>Learn more on Bing</v>
  </rv>
  <rv s="15">
    <v>pt-BR</v>
    <v>bsn7ww</v>
    <v>268435456</v>
    <v>1</v>
    <v>Da plataforma Refinitiv</v>
    <v>43</v>
    <v>44</v>
    <v>Gigas (BMEX:GIGA)</v>
    <v>3</v>
    <v>45</v>
    <v>Finance</v>
    <v>5</v>
    <v>BMEX</v>
    <v>12568520</v>
    <v>3.8</v>
    <v>2011</v>
    <v>3.68</v>
    <v>0.41839999999999999</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3.8</v>
    <v>266</v>
    <v>46059.691087962965</v>
    <v>472</v>
    <v>15630</v>
    <v>EUR</v>
    <v>Gigas</v>
    <v>Gigas</v>
    <v>292.30770000000001</v>
    <v>3.8</v>
    <v>3.8</v>
    <v>Av. de Fuencarral 44, Edificio Gigas, ALCOBENDAS, MADRID, 28108 ES</v>
    <v>Telecommunications Services</v>
    <v>GIGA</v>
    <v>Ações</v>
    <v>Gigas (BMEX:GIGA)</v>
    <v>0</v>
    <v>0</v>
    <v>5392</v>
  </rv>
  <rv s="2">
    <v>473</v>
  </rv>
  <rv s="0">
    <v>https://www.bing.com/financeapi/forcetrigger?t=amfqsm&amp;q=BMEX%3aAGIL&amp;form=skydnc</v>
    <v>Learn more on Bing</v>
  </rv>
  <rv s="15">
    <v>pt-BR</v>
    <v>amfqsm</v>
    <v>268435456</v>
    <v>1</v>
    <v>Da plataforma Refinitiv</v>
    <v>43</v>
    <v>44</v>
    <v>Agile Content (BMEX:AGIL)</v>
    <v>3</v>
    <v>45</v>
    <v>Finance</v>
    <v>5</v>
    <v>BMEX</v>
    <v>23207110</v>
    <v>2.06</v>
    <v>2007</v>
    <v>2.06</v>
    <v>0.70330000000000004</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2.06</v>
    <v>301</v>
    <v>46059.691087962965</v>
    <v>475</v>
    <v>4110</v>
    <v>EUR</v>
    <v>Agile Content</v>
    <v>Agile Content</v>
    <v>119.76739999999999</v>
    <v>2.06</v>
    <v>2.06</v>
    <v>C/ Poeta Joan Maragall 1, MADRID, MADRID, 28020 ES</v>
    <v>Software &amp; IT Services</v>
    <v>AGIL</v>
    <v>Ações</v>
    <v>Agile Content (BMEX:AGIL)</v>
    <v>0</v>
    <v>0</v>
    <v>401</v>
  </rv>
  <rv s="2">
    <v>476</v>
  </rv>
  <rv s="0">
    <v>https://www.bing.com/financeapi/forcetrigger?t=bqssyc&amp;q=BMEX%3aYINB4&amp;form=skydnc</v>
    <v>Learn more on Bing</v>
  </rv>
  <rv s="32">
    <v>pt-BR</v>
    <v>bqssyc</v>
    <v>268435456</v>
    <v>1</v>
    <v>Da plataforma Refinitiv</v>
    <v>92</v>
    <v>93</v>
    <v>Inbest Prime IV (BMEX:YINB4)</v>
    <v>3</v>
    <v>94</v>
    <v>Finance</v>
    <v>5</v>
    <v>0.95</v>
    <v>0.94499999999999995</v>
    <v>BMEX</v>
    <v>50000000</v>
    <v>0.94499999999999995</v>
    <v>2017</v>
    <v>0.94499999999999995</v>
    <v>3.7499999999999999E-2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478</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479</v>
  </rv>
  <rv s="0">
    <v>https://www.bing.com/financeapi/forcetrigger?t=amg452&amp;q=BMEX%3aTRG&amp;form=skydnc</v>
    <v>Learn more on Bing</v>
  </rv>
  <rv s="19">
    <v>pt-BR</v>
    <v>amg452</v>
    <v>268435456</v>
    <v>1</v>
    <v>Da plataforma Refinitiv</v>
    <v>51</v>
    <v>52</v>
    <v>Tubos Reunidos (BMEX:TRG)</v>
    <v>3</v>
    <v>53</v>
    <v>Finance</v>
    <v>5</v>
    <v>0.73899999999999999</v>
    <v>0.24299999999999999</v>
    <v>BMEX</v>
    <v>174680900</v>
    <v>0.25750000000000001</v>
    <v>0.2475</v>
    <v>0.92090000000000005</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0.2485</v>
    <v>1432</v>
    <v>46059.697916666664</v>
    <v>481</v>
    <v>991220</v>
    <v>EUR</v>
    <v>Tubos Reunidos</v>
    <v>Tubos Reunidos</v>
    <v>0.2475</v>
    <v>0.251</v>
    <v>Barrio Sagarribai, Sn, AMURRIO, ALAVA, 01470 ES</v>
    <v>Metals &amp; Mining</v>
    <v>TRG</v>
    <v>Ações</v>
    <v>Tubos Reunidos (BMEX:TRG)</v>
    <v>2.5000000000000001E-3</v>
    <v>1.0059999999999999E-2</v>
    <v>1250542</v>
  </rv>
  <rv s="2">
    <v>482</v>
  </rv>
  <rv s="0">
    <v>https://www.bing.com/financeapi/forcetrigger?t=c5esvh&amp;q=BMEX%3aENRS&amp;form=skydnc</v>
    <v>Learn more on Bing</v>
  </rv>
  <rv s="21">
    <v>pt-BR</v>
    <v>c5esvh</v>
    <v>268435456</v>
    <v>1</v>
    <v>Da plataforma Refinitiv</v>
    <v>57</v>
    <v>58</v>
    <v>Enerside Energy (BMEX:ENRS)</v>
    <v>3</v>
    <v>59</v>
    <v>Finance</v>
    <v>5</v>
    <v>BMEX</v>
    <v>42901280</v>
    <v>1.03</v>
    <v>2007</v>
    <v>0.99</v>
    <v>1.1559999999999999</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1</v>
    <v>51</v>
    <v>46059.691087962965</v>
    <v>484</v>
    <v>22990</v>
    <v>EUR</v>
    <v>Enerside Energy</v>
    <v>Enerside Energy</v>
    <v>1.02</v>
    <v>1.03</v>
    <v>Paseo de la Castellana 163, 1a planta, Utopicus, MADRID, MADRID, 28046 ES</v>
    <v>Renewable Energy</v>
    <v>ENRS</v>
    <v>Ações</v>
    <v>Enerside Energy (BMEX:ENRS)</v>
    <v>0.03</v>
    <v>0.03</v>
    <v>10757</v>
  </rv>
  <rv s="2">
    <v>485</v>
  </rv>
  <rv s="33">
    <v>pt-BR</v>
    <v>chlcur</v>
    <v>268435456</v>
    <v>1</v>
    <v>Da plataforma Refinitiv</v>
    <v>95</v>
    <v>96</v>
    <v>AP 67 (BMEX:SCAP7)</v>
    <v>21</v>
    <v>42</v>
    <v>Finance</v>
    <v>5</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487</v>
  </rv>
  <rv s="0">
    <v>https://www.bing.com/financeapi/forcetrigger?t=bwjlvh&amp;q=BMEX%3a480S&amp;form=skydnc</v>
    <v>Learn more on Bing</v>
  </rv>
  <rv s="34">
    <v>pt-BR</v>
    <v>bwjlvh</v>
    <v>268435456</v>
    <v>1</v>
    <v>Da plataforma Refinitiv</v>
    <v>97</v>
    <v>98</v>
    <v>Cuatroochenta (BMEX:480S)</v>
    <v>3</v>
    <v>99</v>
    <v>Finance</v>
    <v>9</v>
    <v>BMEX</v>
    <v>2732360</v>
    <v>0.13333300000000001</v>
    <v>2</v>
    <v>15</v>
    <v>2011</v>
    <v>15</v>
    <v>0.46929999999999999</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15</v>
    <v>370</v>
    <v>46059.691087962965</v>
    <v>489</v>
    <v>490</v>
    <v>EUR</v>
    <v>Cuatroochenta</v>
    <v>Cuatroochenta</v>
    <v>21.620100000000001</v>
    <v>15</v>
    <v>15</v>
    <v>17</v>
    <v>Edificio Espaitec 2, Universitat Jaume I., Avda. Sos Baynat s/n, CASTELLON DE LA PLANA, CASTELLON ES</v>
    <v>Software &amp; IT Services</v>
    <v>480S</v>
    <v>Ações</v>
    <v>Cuatroochenta (BMEX:480S)</v>
    <v>0</v>
    <v>0</v>
    <v>31</v>
  </rv>
  <rv s="2">
    <v>490</v>
  </rv>
  <rv s="0">
    <v>https://www.bing.com/financeapi/forcetrigger?t=amfyvh&amp;q=BMEX%3aMDF&amp;form=skydnc</v>
    <v>Learn more on Bing</v>
  </rv>
  <rv s="9">
    <v>pt-BR</v>
    <v>amfyvh</v>
    <v>268435456</v>
    <v>1</v>
    <v>Da plataforma Refinitiv</v>
    <v>24</v>
    <v>25</v>
    <v>Duro Felguera (BMEX:MDF)</v>
    <v>3</v>
    <v>26</v>
    <v>Finance</v>
    <v>5</v>
    <v>0.44</v>
    <v>0.16900000000000001</v>
    <v>BMEX</v>
    <v>215179400</v>
    <v>0.182</v>
    <v>1990</v>
    <v>0.17899999999999999</v>
    <v>0.99819999999999998</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0.17899999999999999</v>
    <v>1414</v>
    <v>46059.697916666664</v>
    <v>492</v>
    <v>124180</v>
    <v>EUR</v>
    <v>Duro Felguera</v>
    <v>Duro Felguera</v>
    <v>0.182</v>
    <v>0.17899999999999999</v>
    <v>Parque Cientifico Tecnologico, C/ Ada Byron, 90, GIJON, ASTURIAS, 33203 ES</v>
    <v>Construction &amp; Engineering</v>
    <v>MDF</v>
    <v>Ações</v>
    <v>Duro Felguera (BMEX:MDF)</v>
    <v>0</v>
    <v>0</v>
    <v>40713</v>
  </rv>
  <rv s="2">
    <v>493</v>
  </rv>
  <rv s="0">
    <v>https://www.bing.com/financeapi/forcetrigger?t=bu3l4c&amp;q=BMEX%3aYHCR&amp;form=skydnc</v>
    <v>Learn more on Bing</v>
  </rv>
  <rv s="25">
    <v>pt-BR</v>
    <v>bu3l4c</v>
    <v>268435456</v>
    <v>1</v>
    <v>Da plataforma Refinitiv</v>
    <v>71</v>
    <v>72</v>
    <v>Home Capital Ren (BMEX:YHCR)</v>
    <v>3</v>
    <v>73</v>
    <v>Finance</v>
    <v>5</v>
    <v>BMEX</v>
    <v>6003030</v>
    <v>6.2</v>
    <v>2017</v>
    <v>6.2</v>
    <v>5.8400000000000001E-2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495</v>
    <v>EUR</v>
    <v>Home Capital Ren</v>
    <v>Home Capital Ren</v>
    <v>6.2</v>
    <v>6.2</v>
    <v>Calle de Maria de Molina 1, 5a planta, MADRID, MADRID, 28006 ES</v>
    <v>Real Estate Operations</v>
    <v>YHCR</v>
    <v>Ações</v>
    <v>Home Capital Ren (BMEX:YHCR)</v>
    <v>0</v>
    <v>0</v>
    <v>100</v>
  </rv>
  <rv s="2">
    <v>496</v>
  </rv>
  <rv s="0">
    <v>https://www.bing.com/financeapi/forcetrigger?t=amfzgh&amp;q=BMEX%3aNBI&amp;form=skydnc</v>
    <v>Learn more on Bing</v>
  </rv>
  <rv s="21">
    <v>pt-BR</v>
    <v>amfzgh</v>
    <v>268435456</v>
    <v>1</v>
    <v>Da plataforma Refinitiv</v>
    <v>57</v>
    <v>58</v>
    <v>NBI Bearings Eur (BMEX:NBI)</v>
    <v>3</v>
    <v>59</v>
    <v>Finance</v>
    <v>5</v>
    <v>BMEX</v>
    <v>12330270</v>
    <v>3.1</v>
    <v>2002</v>
    <v>3.06</v>
    <v>0.33829999999999999</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3.14</v>
    <v>329</v>
    <v>46057.709039351852</v>
    <v>498</v>
    <v>420</v>
    <v>EUR</v>
    <v>NBI Bearings Eur</v>
    <v>NBI Bearings Eur</v>
    <v>3.06</v>
    <v>3.1</v>
    <v>Pol. Industrial Basauri, Nave 6-10., Oquendo, ALAVA, 01409 ES</v>
    <v>Machinery, Equipment &amp; Components</v>
    <v>NBI</v>
    <v>Ações</v>
    <v>NBI Bearings Eur (BMEX:NBI)</v>
    <v>-0.04</v>
    <v>-1.2739E-2</v>
    <v>684</v>
  </rv>
  <rv s="2">
    <v>499</v>
  </rv>
  <rv s="0">
    <v>https://www.bing.com/financeapi/forcetrigger?t=amg827&amp;q=BMEX%3aYQUO&amp;form=skydnc</v>
    <v>Learn more on Bing</v>
  </rv>
  <rv s="22">
    <v>pt-BR</v>
    <v>amg827</v>
    <v>268435456</v>
    <v>1</v>
    <v>Da plataforma Refinitiv</v>
    <v>60</v>
    <v>61</v>
    <v>Quonia Socimi (BMEX:YQUO)</v>
    <v>3</v>
    <v>62</v>
    <v>Finance</v>
    <v>5</v>
    <v>BMEX</v>
    <v>27301410</v>
    <v>1.28</v>
    <v>2010</v>
    <v>1.27</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1.28</v>
    <v>1</v>
    <v>46059.625092592592</v>
    <v>501</v>
    <v>1180</v>
    <v>EUR</v>
    <v>Quonia Socimi</v>
    <v>Quonia Socimi</v>
    <v>21.096299999999999</v>
    <v>1.28</v>
    <v>1.27</v>
    <v>C/ Villarroel, 216-218, 5 4, BARCELONA, BARCELONA, 08036 ES</v>
    <v>Residential &amp; Commercial REIT</v>
    <v>YQUO</v>
    <v>Ações</v>
    <v>Quonia Socimi (BMEX:YQUO)</v>
    <v>-0.01</v>
    <v>-7.8130000000000005E-3</v>
    <v>15415</v>
  </rv>
  <rv s="2">
    <v>502</v>
  </rv>
  <rv s="0">
    <v>https://www.bing.com/financeapi/forcetrigger?t=bnaajc&amp;q=BMEX%3aYBAR&amp;form=skydnc</v>
    <v>Learn more on Bing</v>
  </rv>
  <rv s="14">
    <v>pt-BR</v>
    <v>bnaajc</v>
    <v>268435456</v>
    <v>1</v>
    <v>Da plataforma Refinitiv</v>
    <v>40</v>
    <v>41</v>
    <v>Barcino Property (BMEX:YBAR)</v>
    <v>3</v>
    <v>42</v>
    <v>Finance</v>
    <v>5</v>
    <v>BMEX</v>
    <v>24524110</v>
    <v>1.45</v>
    <v>2015</v>
    <v>1.45</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504</v>
    <v>EUR</v>
    <v>Barcino Property</v>
    <v>Barcino Property</v>
    <v>9.8371999999999993</v>
    <v>1.45</v>
    <v>1.45</v>
    <v>Avinguda Diagonal 497, 5a, BARCELONA, BARCELONA, 08029 ES</v>
    <v>Residential &amp; Commercial REIT</v>
    <v>YBAR</v>
    <v>Ações</v>
    <v>Barcino Property (BMEX:YBAR)</v>
    <v>0</v>
    <v>0</v>
    <v>41150</v>
  </rv>
  <rv s="2">
    <v>505</v>
  </rv>
  <rv s="0">
    <v>https://www.bing.com/financeapi/forcetrigger?t=c66sdm&amp;q=BMEX%3aDESA&amp;form=skydnc</v>
    <v>Learn more on Bing</v>
  </rv>
  <rv s="7">
    <v>pt-BR</v>
    <v>c66sdm</v>
    <v>268435456</v>
    <v>1</v>
    <v>Da plataforma Refinitiv</v>
    <v>16</v>
    <v>17</v>
    <v>DESA (BMEX:DESA)</v>
    <v>3</v>
    <v>18</v>
    <v>Finance</v>
    <v>5</v>
    <v>21.8</v>
    <v>14.6</v>
    <v>BMEX</v>
    <v>1788180</v>
    <v>19</v>
    <v>19</v>
    <v>-0.27429999999999999</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18.8</v>
    <v>155</v>
    <v>46056.70888888889</v>
    <v>507</v>
    <v>10</v>
    <v>EUR</v>
    <v>DESA</v>
    <v>DESA</v>
    <v>11.657500000000001</v>
    <v>19</v>
    <v>19</v>
    <v>C/ Guitard, 43, BARCELONA, BARCELONA, 08014 ES</v>
    <v>Machinery, Equipment &amp; Components</v>
    <v>DESA</v>
    <v>Ações</v>
    <v>DESA (BMEX:DESA)</v>
    <v>0.2</v>
    <v>1.0638000000000002E-2</v>
    <v>105</v>
  </rv>
  <rv s="2">
    <v>508</v>
  </rv>
  <rv s="0">
    <v>https://www.bing.com/financeapi/forcetrigger?t=c2p8fr&amp;q=BMEX%3aEND&amp;form=skydnc</v>
    <v>Learn more on Bing</v>
  </rv>
  <rv s="21">
    <v>pt-BR</v>
    <v>c2p8fr</v>
    <v>268435456</v>
    <v>1</v>
    <v>Da plataforma Refinitiv</v>
    <v>57</v>
    <v>58</v>
    <v>Endurance Motive (BMEX:END)</v>
    <v>3</v>
    <v>59</v>
    <v>Finance</v>
    <v>5</v>
    <v>BMEX</v>
    <v>12488530</v>
    <v>2.9</v>
    <v>2018</v>
    <v>2.82</v>
    <v>1.0335000000000001</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2.8</v>
    <v>64</v>
    <v>46059.691087962965</v>
    <v>510</v>
    <v>17050</v>
    <v>EUR</v>
    <v>Endurance Motive</v>
    <v>Endurance Motive</v>
    <v>2.82</v>
    <v>2.89</v>
    <v>C/ de la Bernia, 1, Canet d en Berenguer, VALENCIA, VALENCIA ES</v>
    <v>Machinery, Equipment &amp; Components</v>
    <v>END</v>
    <v>Ações</v>
    <v>Endurance Motive (BMEX:END)</v>
    <v>0.09</v>
    <v>3.2143000000000005E-2</v>
    <v>5511</v>
  </rv>
  <rv s="2">
    <v>511</v>
  </rv>
  <rv s="0">
    <v>https://www.bing.com/financeapi/forcetrigger?t=amg3ec&amp;q=BMEX%3aISE&amp;form=skydnc</v>
    <v>Learn more on Bing</v>
  </rv>
  <rv s="35">
    <v>pt-BR</v>
    <v>amg3ec</v>
    <v>268435456</v>
    <v>1</v>
    <v>Da plataforma Refinitiv</v>
    <v>100</v>
    <v>101</v>
    <v>Innovative Solns (BMEX:ISE)</v>
    <v>3</v>
    <v>102</v>
    <v>Finance</v>
    <v>5</v>
    <v>0.59799999999999998</v>
    <v>0.56200000000000006</v>
    <v>BMEX</v>
    <v>57688130</v>
    <v>0.25190000000000001</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513</v>
    <v>EUR</v>
    <v>Innovative Solns</v>
    <v>Innovative Solns</v>
    <v>0.56499999999999995</v>
    <v>c/ Salcedo 6, MADRID, MADRID, 28034 ES</v>
    <v>Professional &amp; Commercial Services</v>
    <v>ISE</v>
    <v>Ações</v>
    <v>Innovative Solns (BMEX:ISE)</v>
    <v>0</v>
    <v>0</v>
  </rv>
  <rv s="2">
    <v>514</v>
  </rv>
  <rv s="0">
    <v>https://www.bing.com/financeapi/forcetrigger?t=c6jkmw&amp;q=BMEX%3aLAB&amp;form=skydnc</v>
    <v>Learn more on Bing</v>
  </rv>
  <rv s="15">
    <v>pt-BR</v>
    <v>c6jkmw</v>
    <v>268435456</v>
    <v>1</v>
    <v>Da plataforma Refinitiv</v>
    <v>43</v>
    <v>44</v>
    <v>Labiana Health (BMEX:LAB)</v>
    <v>3</v>
    <v>45</v>
    <v>Finance</v>
    <v>5</v>
    <v>BMEX</v>
    <v>7221260</v>
    <v>4.5</v>
    <v>2017</v>
    <v>4.28</v>
    <v>-0.25900000000000001</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4.5</v>
    <v>394</v>
    <v>46058.709039351852</v>
    <v>516</v>
    <v>1700</v>
    <v>EUR</v>
    <v>Labiana Health</v>
    <v>Labiana Health</v>
    <v>34.212600000000002</v>
    <v>4.5</v>
    <v>4.28</v>
    <v>AV. EUROPA, 34 D 1a PLANTA, POZUELO DE ALARCON, MADRID, 28023 ES</v>
    <v>Pharmaceuticals</v>
    <v>LAB</v>
    <v>Ações</v>
    <v>Labiana Health (BMEX:LAB)</v>
    <v>-0.22</v>
    <v>-4.8888999999999995E-2</v>
    <v>4039</v>
  </rv>
  <rv s="2">
    <v>517</v>
  </rv>
  <rv s="0">
    <v>https://www.bing.com/financeapi/forcetrigger?t=awnvtc&amp;q=BMEX%3aYNUM&amp;form=skydnc</v>
    <v>Learn more on Bing</v>
  </rv>
  <rv s="25">
    <v>pt-BR</v>
    <v>awnvtc</v>
    <v>268435456</v>
    <v>1</v>
    <v>Da plataforma Refinitiv</v>
    <v>71</v>
    <v>72</v>
    <v>Numulae Gestion (BMEX:YNUM)</v>
    <v>3</v>
    <v>73</v>
    <v>Finance</v>
    <v>5</v>
    <v>BMEX</v>
    <v>15018110</v>
    <v>1.99</v>
    <v>2009</v>
    <v>1.99</v>
    <v>1.8700000000000001E-2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519</v>
    <v>EUR</v>
    <v>Numulae Gestion</v>
    <v>Numulae Gestion</v>
    <v>1.99</v>
    <v>1.99</v>
    <v>C/Goya N 23 1 Planta, MADRID, MADRID, 28001 ES</v>
    <v>Residential &amp; Commercial REIT</v>
    <v>YNUM</v>
    <v>Ações</v>
    <v>Numulae Gestion (BMEX:YNUM)</v>
    <v>0</v>
    <v>0</v>
    <v>10060</v>
  </rv>
  <rv s="2">
    <v>520</v>
  </rv>
  <rv s="0">
    <v>https://www.bing.com/financeapi/forcetrigger?t=bsue4c&amp;q=BMEX%3aHLZ&amp;form=skydnc</v>
    <v>Learn more on Bing</v>
  </rv>
  <rv s="21">
    <v>pt-BR</v>
    <v>bsue4c</v>
    <v>268435456</v>
    <v>1</v>
    <v>Da plataforma Refinitiv</v>
    <v>57</v>
    <v>58</v>
    <v>Holaluz Clidom (BMEX:HLZ)</v>
    <v>3</v>
    <v>59</v>
    <v>Finance</v>
    <v>5</v>
    <v>BMEX</v>
    <v>32879200</v>
    <v>0.84</v>
    <v>2010</v>
    <v>0.82</v>
    <v>-0.10539999999999999</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0.84</v>
    <v>119</v>
    <v>46059.691087962965</v>
    <v>522</v>
    <v>6260</v>
    <v>EUR</v>
    <v>Holaluz Clidom</v>
    <v>Holaluz Clidom</v>
    <v>0.82</v>
    <v>0.84</v>
    <v>Passeig Joan de Borbo 99-101, BARCELONA, BARCELONA, 08039 ES</v>
    <v>Electrical Utilities &amp; IPPs</v>
    <v>HLZ</v>
    <v>Ações</v>
    <v>Holaluz Clidom (BMEX:HLZ)</v>
    <v>0</v>
    <v>0</v>
    <v>3920</v>
  </rv>
  <rv s="2">
    <v>523</v>
  </rv>
  <rv s="36">
    <v>pt-BR</v>
    <v>cere1h</v>
    <v>268435456</v>
    <v>1</v>
    <v>Da plataforma Refinitiv</v>
    <v>103</v>
    <v>104</v>
    <v>Optare Solutions (BMEX:OPTS)</v>
    <v>21</v>
    <v>105</v>
    <v>Finance</v>
    <v>5</v>
    <v>BMEX</v>
    <v>3523560</v>
    <v>7.5</v>
    <v>2002</v>
    <v>7.4</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7.55</v>
    <v>171</v>
    <v>46059.625092592592</v>
    <v>30</v>
    <v>EUR</v>
    <v>Optare Solutions</v>
    <v>Optare Solutions</v>
    <v>7.5</v>
    <v>7.4</v>
    <v>Parque Tecnologico y Logistico de Vigo, Calle C, Nave C-7, VIGO, PONTEVEDRA, 36315 ES</v>
    <v>Telecommunications Services</v>
    <v>OPTS</v>
    <v>Ações</v>
    <v>Optare Solutions (BMEX:OPTS)</v>
    <v>-0.15</v>
    <v>-1.9868E-2</v>
    <v>300</v>
  </rv>
  <rv s="2">
    <v>525</v>
  </rv>
  <rv s="0">
    <v>https://www.bing.com/financeapi/forcetrigger?t=amg29c&amp;q=BMEX%3aREN&amp;form=skydnc</v>
    <v>Learn more on Bing</v>
  </rv>
  <rv s="1">
    <v>pt-BR</v>
    <v>amg29c</v>
    <v>268435456</v>
    <v>1</v>
    <v>Da plataforma Refinitiv</v>
    <v>0</v>
    <v>1</v>
    <v>Renta Corp Rl Es (BMEX:REN)</v>
    <v>3</v>
    <v>4</v>
    <v>Finance</v>
    <v>5</v>
    <v>0.88200000000000001</v>
    <v>0.66</v>
    <v>BMEX</v>
    <v>32888510</v>
    <v>0.84</v>
    <v>2000</v>
    <v>0.79259999999999997</v>
    <v>0.85729999999999995</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0.84</v>
    <v>43</v>
    <v>46059.691087962965</v>
    <v>527</v>
    <v>50070</v>
    <v>EUR</v>
    <v>Renta Corp Rl Es</v>
    <v>Renta Corp Rl Es</v>
    <v>5.1958000000000002</v>
    <v>0.84</v>
    <v>0.81989999999999996</v>
    <v>Velazquez 24, 3 Izqda, MADRID, MADRID, 28001 ES</v>
    <v>Real Estate Operations</v>
    <v>REN</v>
    <v>Ações</v>
    <v>Renta Corp Rl Es (BMEX:REN)</v>
    <v>-2.01E-2</v>
    <v>-2.3928999999999999E-2</v>
    <v>36936</v>
  </rv>
  <rv s="2">
    <v>528</v>
  </rv>
  <rv s="0">
    <v>https://www.bing.com/financeapi/forcetrigger?t=aypc5r&amp;q=BMEX%3aNYE&amp;form=skydnc</v>
    <v>Learn more on Bing</v>
  </rv>
  <rv s="19">
    <v>pt-BR</v>
    <v>aypc5r</v>
    <v>268435456</v>
    <v>1</v>
    <v>Da plataforma Refinitiv</v>
    <v>51</v>
    <v>52</v>
    <v>Nyesa Valores (BMEX:NYE)</v>
    <v>3</v>
    <v>53</v>
    <v>Finance</v>
    <v>5</v>
    <v>2.4E-2</v>
    <v>5.0000000000000001E-3</v>
    <v>BMEX</v>
    <v>4064300000</v>
    <v>6.4000000000000003E-3</v>
    <v>6.0000000000000001E-3</v>
    <v>1.8326</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46059.697916666664</v>
    <v>530</v>
    <v>63890860</v>
    <v>EUR</v>
    <v>Nyesa Valores</v>
    <v>Nyesa Valores</v>
    <v>6.0000000000000001E-3</v>
    <v>6.1999999999999998E-3</v>
    <v>Calle Alfonso Gomez, 30, 3a planta, MADRID, MADRID, 28037 ES</v>
    <v>Real Estate Operations</v>
    <v>NYE</v>
    <v>Ações</v>
    <v>Nyesa Valores (BMEX:NYE)</v>
    <v>0</v>
    <v>0</v>
    <v>29741930</v>
  </rv>
  <rv s="2">
    <v>531</v>
  </rv>
  <rv s="0">
    <v>https://www.bing.com/financeapi/forcetrigger?t=bsh8xm&amp;q=BMEX%3aYMIB&amp;form=skydnc</v>
    <v>Learn more on Bing</v>
  </rv>
  <rv s="11">
    <v>pt-BR</v>
    <v>bsh8xm</v>
    <v>268435456</v>
    <v>1</v>
    <v>Da plataforma Refinitiv</v>
    <v>30</v>
    <v>31</v>
    <v>Mistral Ib Real (BMEX:YMIB)</v>
    <v>3</v>
    <v>32</v>
    <v>Finance</v>
    <v>5</v>
    <v>BMEX</v>
    <v>22011620</v>
    <v>1.04</v>
    <v>2018</v>
    <v>1.04</v>
    <v>3.8699999999999998E-2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46051.462256944447</v>
    <v>533</v>
    <v>EUR</v>
    <v>Mistral Ib Real</v>
    <v>Mistral Ib Real</v>
    <v>6.8537999999999997</v>
    <v>1.04</v>
    <v>1.04</v>
    <v>Calle Serrano, 84 1B, MADRID, MADRID, 28006 ES</v>
    <v>Real Estate Operations</v>
    <v>YMIB</v>
    <v>Ações</v>
    <v>Mistral Ib Real (BMEX:YMIB)</v>
    <v>-0.01</v>
    <v>-9.5239999999999995E-3</v>
    <v>25</v>
  </rv>
  <rv s="2">
    <v>534</v>
  </rv>
  <rv s="37">
    <v>pt-BR</v>
    <v>c6zgh7</v>
    <v>268435456</v>
    <v>1</v>
    <v>Da plataforma Refinitiv</v>
    <v>106</v>
    <v>107</v>
    <v>Matritense RE (BMEX:YMAT)</v>
    <v>21</v>
    <v>73</v>
    <v>Finance</v>
    <v>5</v>
    <v>BMEX</v>
    <v>20275820</v>
    <v>1.02</v>
    <v>2020</v>
    <v>1.01</v>
    <v>-3.1099999999999999E-2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536</v>
  </rv>
  <rv s="38">
    <v>pt-BR</v>
    <v>cj3827</v>
    <v>268435456</v>
    <v>1</v>
    <v>Da plataforma Refinitiv</v>
    <v>108</v>
    <v>109</v>
    <v>Grandvoyage Trav (BMEX:SCGV)</v>
    <v>21</v>
    <v>110</v>
    <v>Finance</v>
    <v>5</v>
    <v>BMEX</v>
    <v>3.86</v>
    <v>2012</v>
    <v>3.86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3.9</v>
    <v>46057.709039351852</v>
    <v>EUR</v>
    <v>Grandvoyage Trav</v>
    <v>Grandvoyage Trav</v>
    <v>3.86</v>
    <v>3.86</v>
    <v>c. de Sant Antoni Maria Claret, 24, 2, BARCELONA, BARCELONA, 08037 ES</v>
    <v>Hotels &amp; Entertainment Services</v>
    <v>SCGV</v>
    <v>Ações</v>
    <v>Grandvoyage Trav (BMEX:SCGV)</v>
    <v>-0.04</v>
    <v>-1.0256000000000001E-2</v>
    <v>192</v>
  </rv>
  <rv s="2">
    <v>538</v>
  </rv>
  <rv s="0">
    <v>https://www.bing.com/financeapi/forcetrigger?t=amfybh&amp;q=BMEX%3aLLN&amp;form=skydnc</v>
    <v>Learn more on Bing</v>
  </rv>
  <rv s="15">
    <v>pt-BR</v>
    <v>amfybh</v>
    <v>268435456</v>
    <v>1</v>
    <v>Da plataforma Refinitiv</v>
    <v>43</v>
    <v>44</v>
    <v>Lleidanetworks (BMEX:LLN)</v>
    <v>3</v>
    <v>45</v>
    <v>Finance</v>
    <v>5</v>
    <v>BMEX</v>
    <v>16049940</v>
    <v>1.22</v>
    <v>1995</v>
    <v>1.1399999999999999</v>
    <v>1.0176000000000001</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1.1850000000000001</v>
    <v>129</v>
    <v>46059.697916666664</v>
    <v>540</v>
    <v>36590</v>
    <v>EUR</v>
    <v>Lleidanetworks</v>
    <v>Lleidanetworks</v>
    <v>12.767099999999999</v>
    <v>1.17</v>
    <v>1.1950000000000001</v>
    <v>Calle Tellez 56 local C., MADRID, MADRID, 28007 ES</v>
    <v>Telecommunications Services</v>
    <v>LLN</v>
    <v>Ações</v>
    <v>Lleidanetworks (BMEX:LLN)</v>
    <v>0.01</v>
    <v>8.4390000000000003E-3</v>
    <v>34114</v>
  </rv>
  <rv s="2">
    <v>541</v>
  </rv>
  <rv s="0">
    <v>https://www.bing.com/financeapi/forcetrigger?t=amftw7&amp;q=BMEX%3aCOM&amp;form=skydnc</v>
    <v>Learn more on Bing</v>
  </rv>
  <rv s="1">
    <v>pt-BR</v>
    <v>amftw7</v>
    <v>268435456</v>
    <v>1</v>
    <v>Da plataforma Refinitiv</v>
    <v>0</v>
    <v>1</v>
    <v>Catenon (BMEX:COM)</v>
    <v>3</v>
    <v>4</v>
    <v>Finance</v>
    <v>5</v>
    <v>1.45</v>
    <v>0.49</v>
    <v>BMEX</v>
    <v>18733850</v>
    <v>1.07</v>
    <v>2000</v>
    <v>1.03</v>
    <v>0.68420000000000003</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1.08</v>
    <v>117</v>
    <v>46059.691087962965</v>
    <v>543</v>
    <v>19830</v>
    <v>EUR</v>
    <v>Catenon</v>
    <v>Catenon</v>
    <v>18.706299999999999</v>
    <v>1.06</v>
    <v>1.07</v>
    <v>Paseo De La Castellana 259C, Planta 20, Oficina Sur, MADRID, MADRID, 28046 ES</v>
    <v>Professional &amp; Commercial Services</v>
    <v>COM</v>
    <v>Ações</v>
    <v>Catenon (BMEX:COM)</v>
    <v>-0.01</v>
    <v>-9.2589999999999999E-3</v>
    <v>11569</v>
  </rv>
  <rv s="2">
    <v>544</v>
  </rv>
  <rv s="23">
    <v>pt-BR</v>
    <v>cdihrw</v>
    <v>268435456</v>
    <v>1</v>
    <v>Da plataforma Refinitiv</v>
    <v>65</v>
    <v>66</v>
    <v>Nzi Techn Protec (BMEX:NZI)</v>
    <v>21</v>
    <v>62</v>
    <v>Finance</v>
    <v>5</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60</v>
    <v>EUR</v>
    <v>Nzi Techn Protec</v>
    <v>Nzi Techn Protec</v>
    <v>26.682700000000001</v>
    <v>1.1100000000000001</v>
    <v>1.1100000000000001</v>
    <v>Avda. de la Paz, s/n. Aptdo. 276, YECLA, MURCIA, 30510 ES</v>
    <v>Leisure Products</v>
    <v>NZI</v>
    <v>Ações</v>
    <v>Nzi Techn Protec (BMEX:NZI)</v>
    <v>-0.01</v>
    <v>-8.9289999999999994E-3</v>
    <v>200</v>
  </rv>
  <rv s="2">
    <v>546</v>
  </rv>
  <rv s="23">
    <v>pt-BR</v>
    <v>cbp8z2</v>
    <v>268435456</v>
    <v>1</v>
    <v>Da plataforma Refinitiv</v>
    <v>65</v>
    <v>66</v>
    <v>Iflex Flex Pack (BMEX:IFLEX)</v>
    <v>21</v>
    <v>62</v>
    <v>Finance</v>
    <v>5</v>
    <v>BMEX</v>
    <v>10849580</v>
    <v>1.7</v>
    <v>1998</v>
    <v>1.62</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1.65</v>
    <v>102</v>
    <v>46059.625092592592</v>
    <v>1190</v>
    <v>EUR</v>
    <v>Iflex Flex Pack</v>
    <v>Iflex Flex Pack</v>
    <v>16.998999999999999</v>
    <v>1.7</v>
    <v>1.62</v>
    <v>Pol.Ind.Depal, Ulla, GIRONA, 17140 ES</v>
    <v>Containers &amp; Packaging</v>
    <v>IFLEX</v>
    <v>Ações</v>
    <v>Iflex Flex Pack (BMEX:IFLEX)</v>
    <v>-0.03</v>
    <v>-1.8182E-2</v>
    <v>4000</v>
  </rv>
  <rv s="2">
    <v>548</v>
  </rv>
  <rv s="39">
    <v>pt-BR</v>
    <v>chlcrw</v>
    <v>268435456</v>
    <v>1</v>
    <v>Da plataforma Refinitiv</v>
    <v>111</v>
    <v>112</v>
    <v>Redegal (BMEX:RDG)</v>
    <v>21</v>
    <v>113</v>
    <v>Finance</v>
    <v>5</v>
    <v>BMEX</v>
    <v>6.95</v>
    <v>2004</v>
    <v>6.95</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7.1</v>
    <v>121</v>
    <v>46059.4608912037</v>
    <v>EUR</v>
    <v>Redegal</v>
    <v>Redegal</v>
    <v>6.95</v>
    <v>6.95</v>
    <v>Avenida de Santiago 9-bajo, OURENSE, OURENSE, 32001 ES</v>
    <v>Software &amp; IT Services</v>
    <v>RDG</v>
    <v>Ações</v>
    <v>Redegal (BMEX:RDG)</v>
    <v>-0.15</v>
    <v>-2.1126999999999996E-2</v>
    <v>450</v>
  </rv>
  <rv s="2">
    <v>550</v>
  </rv>
  <rv s="0">
    <v>https://www.bing.com/financeapi/forcetrigger?t=b135m7&amp;q=BMEX%3aADL&amp;form=skydnc</v>
    <v>Learn more on Bing</v>
  </rv>
  <rv s="9">
    <v>pt-BR</v>
    <v>b135m7</v>
    <v>268435456</v>
    <v>1</v>
    <v>Da plataforma Refinitiv</v>
    <v>24</v>
    <v>25</v>
    <v>BioTech Assets (BMEX:BST)</v>
    <v>3</v>
    <v>26</v>
    <v>Finance</v>
    <v>5</v>
    <v>2.39</v>
    <v>0.19400000000000001</v>
    <v>BMEX</v>
    <v>72814830</v>
    <v>0.20699999999999999</v>
    <v>2005</v>
    <v>0.19400000000000001</v>
    <v>1.4231</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0.19600000000000001</v>
    <v>30</v>
    <v>46059.691087962965</v>
    <v>552</v>
    <v>703850</v>
    <v>EUR</v>
    <v>BioTech Assets</v>
    <v>BioTech Assets</v>
    <v>0.20399999999999999</v>
    <v>0.19900000000000001</v>
    <v>Av. del Desarrollo Tecnologico, 11, JEREZ DE LA FRONTERA, CADIZ, 11591 ES</v>
    <v>Biotechnology &amp; Medical Research</v>
    <v>BST</v>
    <v>Ações</v>
    <v>BioTech Assets (BMEX:BST)</v>
    <v>3.0000000000000001E-3</v>
    <v>1.5306E-2</v>
    <v>183274</v>
  </rv>
  <rv s="2">
    <v>553</v>
  </rv>
  <rv s="0">
    <v>https://www.bing.com/financeapi/forcetrigger?t=bn136h&amp;q=BMEX%3aDOMO&amp;form=skydnc</v>
    <v>Learn more on Bing</v>
  </rv>
  <rv s="25">
    <v>pt-BR</v>
    <v>bn136h</v>
    <v>268435456</v>
    <v>1</v>
    <v>Da plataforma Refinitiv</v>
    <v>71</v>
    <v>72</v>
    <v>Domo Activos (BMEX:DOMO)</v>
    <v>3</v>
    <v>73</v>
    <v>Finance</v>
    <v>5</v>
    <v>BMEX</v>
    <v>11455010</v>
    <v>1.21</v>
    <v>2015</v>
    <v>1.21</v>
    <v>-7.2800000000000004E-2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46037.709155092591</v>
    <v>555</v>
    <v>EUR</v>
    <v>Domo Activos</v>
    <v>Domo Activos</v>
    <v>1.21</v>
    <v>1.21</v>
    <v>CC La Ermita, P de la Ermita del Santo, 48. Area de oficinas, 2a y 3a planta, MADRID, MADRID, 28011 ES</v>
    <v>Residential &amp; Commercial REIT</v>
    <v>DOMO</v>
    <v>Ações</v>
    <v>Domo Activos (BMEX:DOMO)</v>
    <v>-0.01</v>
    <v>-8.1969999999999994E-3</v>
    <v>14</v>
  </rv>
  <rv s="2">
    <v>556</v>
  </rv>
  <rv s="40">
    <v>pt-BR</v>
    <v>c9d4ur</v>
    <v>268435456</v>
    <v>1</v>
    <v>Da plataforma Refinitiv</v>
    <v>114</v>
    <v>115</v>
    <v>Substrate AI (BMEX:SAI.B)</v>
    <v>21</v>
    <v>59</v>
    <v>Finance</v>
    <v>5</v>
    <v>BMEX</v>
    <v>332260300</v>
    <v>0.17499999999999999</v>
    <v>2011</v>
    <v>0.17499999999999999</v>
    <v>-0.36580000000000001</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46055.458680555559</v>
    <v>1076740</v>
    <v>EUR</v>
    <v>Substrate AI</v>
    <v>Substrate AI</v>
    <v>0.17499999999999999</v>
    <v>0.17499999999999999</v>
    <v>C/ Maria de Molina, 41, Oficina 503, MADRID, MADRID, 28006 ES</v>
    <v>Healthcare Equipment &amp; Supplies</v>
    <v>SAI.B</v>
    <v>Ações</v>
    <v>Substrate AI (BMEX:SAI.B)</v>
    <v>0</v>
    <v>0</v>
    <v>542</v>
  </rv>
  <rv s="2">
    <v>558</v>
  </rv>
  <rv s="0">
    <v>https://www.bing.com/financeapi/forcetrigger?t=amfv27&amp;q=BMEX%3aELZ&amp;form=skydnc</v>
    <v>Learn more on Bing</v>
  </rv>
  <rv s="21">
    <v>pt-BR</v>
    <v>amfv27</v>
    <v>268435456</v>
    <v>1</v>
    <v>Da plataforma Refinitiv</v>
    <v>57</v>
    <v>58</v>
    <v>Asturiana de Lam (BMEX:ELZ)</v>
    <v>3</v>
    <v>59</v>
    <v>Finance</v>
    <v>5</v>
    <v>BMEX</v>
    <v>128551700</v>
    <v>9.5600000000000004E-2</v>
    <v>2006</v>
    <v>8.8999999999999996E-2</v>
    <v>0.91239999999999999</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8.7999999999999995E-2</v>
    <v>149</v>
    <v>46058.709039351852</v>
    <v>560</v>
    <v>41580</v>
    <v>EUR</v>
    <v>Asturiana de Lam</v>
    <v>Asturiana de Lam</v>
    <v>9.2399999999999996E-2</v>
    <v>9.3799999999999994E-2</v>
    <v>Poligono Industrial de Villallana, Parcela 1, Pola de Lena, ASTURIAS, 33695 ES</v>
    <v>Metals &amp; Mining</v>
    <v>ELZ</v>
    <v>Ações</v>
    <v>Asturiana de Lam (BMEX:ELZ)</v>
    <v>5.7999999999999996E-3</v>
    <v>6.5909000000000009E-2</v>
    <v>99569</v>
  </rv>
  <rv s="2">
    <v>561</v>
  </rv>
  <rv s="0">
    <v>https://www.bing.com/financeapi/forcetrigger?t=amg2f2&amp;q=BMEX%3aRIO&amp;form=skydnc</v>
    <v>Learn more on Bing</v>
  </rv>
  <rv s="19">
    <v>pt-BR</v>
    <v>amg2f2</v>
    <v>268435456</v>
    <v>1</v>
    <v>Da plataforma Refinitiv</v>
    <v>51</v>
    <v>52</v>
    <v>Bodegas Riojanas (BMEX:RIO)</v>
    <v>3</v>
    <v>53</v>
    <v>Finance</v>
    <v>5</v>
    <v>3.84</v>
    <v>2.2999999999999998</v>
    <v>BMEX</v>
    <v>5057310</v>
    <v>2.37</v>
    <v>2.3319999999999999</v>
    <v>0.15740000000000001</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2.331</v>
    <v>72</v>
    <v>46059.697916666664</v>
    <v>563</v>
    <v>1720</v>
    <v>EUR</v>
    <v>Bodegas Riojanas</v>
    <v>Bodegas Riojanas</v>
    <v>2.3319999999999999</v>
    <v>2.37</v>
    <v>Avda. Dr. Ricardo Ruiz Azcarraga, 1, CENICERO, LA RIOJA, 26350 ES</v>
    <v>Beverages</v>
    <v>RIO</v>
    <v>Ações</v>
    <v>Bodegas Riojanas (BMEX:RIO)</v>
    <v>3.9E-2</v>
    <v>1.6730999999999999E-2</v>
    <v>687</v>
  </rv>
  <rv s="2">
    <v>564</v>
  </rv>
  <rv s="0">
    <v>https://www.bing.com/financeapi/forcetrigger?t=brkxr7&amp;q=BMEX%3aYGO2&amp;form=skydnc</v>
    <v>Learn more on Bing</v>
  </rv>
  <rv s="14">
    <v>pt-BR</v>
    <v>brkxr7</v>
    <v>268435456</v>
    <v>1</v>
    <v>Da plataforma Refinitiv</v>
    <v>40</v>
    <v>41</v>
    <v>Greenoak Socmi (BMEX:YGO2)</v>
    <v>3</v>
    <v>42</v>
    <v>Finance</v>
    <v>5</v>
    <v>BMEX</v>
    <v>6595010</v>
    <v>1.65</v>
    <v>2016</v>
    <v>1.65</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566</v>
    <v>EUR</v>
    <v>Greenoak Socmi</v>
    <v>Greenoak Socmi</v>
    <v>0.53879999999999995</v>
    <v>1.65</v>
    <v>1.65</v>
    <v>Calle Pinar, 7, 1 Planta, MADRID, MADRID, 28006 ES</v>
    <v>Residential &amp; Commercial REIT</v>
    <v>YGO2</v>
    <v>Ações</v>
    <v>Greenoak Socmi (BMEX:YGO2)</v>
    <v>-0.01</v>
    <v>-6.0240000000000007E-3</v>
    <v>49</v>
  </rv>
  <rv s="2">
    <v>567</v>
  </rv>
  <rv s="0">
    <v>https://www.bing.com/financeapi/forcetrigger?t=bn139c&amp;q=BMEX%3aYEIS&amp;form=skydnc</v>
    <v>Learn more on Bing</v>
  </rv>
  <rv s="11">
    <v>pt-BR</v>
    <v>bn139c</v>
    <v>268435456</v>
    <v>1</v>
    <v>Da plataforma Refinitiv</v>
    <v>30</v>
    <v>31</v>
    <v>Elaia Investment (BMEX:YEIS)</v>
    <v>3</v>
    <v>32</v>
    <v>Finance</v>
    <v>5</v>
    <v>BMEX</v>
    <v>11292420</v>
    <v>0.93</v>
    <v>2015</v>
    <v>0.93</v>
    <v>-0.43859999999999999</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0.89</v>
    <v>0</v>
    <v>46059.618113425924</v>
    <v>569</v>
    <v>EUR</v>
    <v>Elaia Investment</v>
    <v>Elaia Investment</v>
    <v>2.2906</v>
    <v>0.93</v>
    <v>0.93</v>
    <v>Calle Serrano n16 - 5 dcha, MADRID, MADRID, 28010 ES</v>
    <v>Residential &amp; Commercial REIT</v>
    <v>YEIS</v>
    <v>Ações</v>
    <v>Elaia Investment (BMEX:YEIS)</v>
    <v>0.04</v>
    <v>4.4943999999999998E-2</v>
    <v>350</v>
  </rv>
  <rv s="2">
    <v>570</v>
  </rv>
  <rv s="41">
    <v>pt-BR</v>
    <v>chahdm</v>
    <v>268435456</v>
    <v>1</v>
    <v>Da plataforma Refinitiv</v>
    <v>116</v>
    <v>117</v>
    <v>CommCenter (BMEX:SCCMM)</v>
    <v>21</v>
    <v>118</v>
    <v>Finance</v>
    <v>5</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572</v>
  </rv>
  <rv s="27">
    <v>pt-BR</v>
    <v>cg5527</v>
    <v>268435456</v>
    <v>1</v>
    <v>Da plataforma Refinitiv</v>
    <v>77</v>
    <v>78</v>
    <v>Better Consultan (BMEX:SCBTT)</v>
    <v>21</v>
    <v>79</v>
    <v>Finance</v>
    <v>5</v>
    <v>BMEX</v>
    <v>4.5999999999999996</v>
    <v>4.5999999999999996</v>
    <v>Bolsas y Mercados Espanoles</v>
    <v>BMEX</v>
    <v>4.5999999999999996</v>
    <v>45988.458622696096</v>
    <v>EUR</v>
    <v>Better Consultan</v>
    <v>Better Consultan</v>
    <v>4.5999999999999996</v>
    <v>4.5999999999999996</v>
    <v>CL ARIBAU Num.262 P.EN PTA.2, BARCELONA, BARCELONA ES</v>
    <v>SCBTT</v>
    <v>Ações</v>
    <v>Better Consultan (BMEX:SCBTT)</v>
    <v>0</v>
    <v>0</v>
    <v>110</v>
  </rv>
  <rv s="2">
    <v>574</v>
  </rv>
  <rv s="0">
    <v>https://www.bing.com/financeapi/forcetrigger?t=br79kr&amp;q=BMEX%3aKOM&amp;form=skydnc</v>
    <v>Learn more on Bing</v>
  </rv>
  <rv s="21">
    <v>pt-BR</v>
    <v>br79kr</v>
    <v>268435456</v>
    <v>1</v>
    <v>Da plataforma Refinitiv</v>
    <v>57</v>
    <v>58</v>
    <v>Plasticos Compd (BMEX:KOM)</v>
    <v>3</v>
    <v>59</v>
    <v>Finance</v>
    <v>5</v>
    <v>BMEX</v>
    <v>12155700</v>
    <v>0.78500000000000003</v>
    <v>1987</v>
    <v>0.78500000000000003</v>
    <v>0.62729999999999997</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0.76</v>
    <v>79</v>
    <v>46055.460590277777</v>
    <v>576</v>
    <v>5200</v>
    <v>EUR</v>
    <v>Plasticos Compd</v>
    <v>Plasticos Compd</v>
    <v>0.78500000000000003</v>
    <v>0.78500000000000003</v>
    <v>Carrer de l'Orfebreria 3, PALAU SOLITA I PLEGAMANS, BARCELONA, 08184 ES</v>
    <v>Chemicals</v>
    <v>KOM</v>
    <v>Ações</v>
    <v>Plasticos Compd (BMEX:KOM)</v>
    <v>2.5000000000000001E-2</v>
    <v>3.2895000000000001E-2</v>
    <v>5400</v>
  </rv>
  <rv s="2">
    <v>577</v>
  </rv>
  <rv s="0">
    <v>https://www.bing.com/financeapi/forcetrigger?t=bjsic7&amp;q=BMEX%3aRBT&amp;form=skydnc</v>
    <v>Learn more on Bing</v>
  </rv>
  <rv s="15">
    <v>pt-BR</v>
    <v>bjsic7</v>
    <v>268435456</v>
    <v>1</v>
    <v>Da plataforma Refinitiv</v>
    <v>43</v>
    <v>44</v>
    <v>Robot (BMEX:RBT)</v>
    <v>3</v>
    <v>45</v>
    <v>Finance</v>
    <v>5</v>
    <v>BMEX</v>
    <v>2779310</v>
    <v>3.1</v>
    <v>1983</v>
    <v>3.1</v>
    <v>0.31569999999999998</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3.1</v>
    <v>54</v>
    <v>46059.570972222224</v>
    <v>579</v>
    <v>90</v>
    <v>EUR</v>
    <v>Robot</v>
    <v>Robot</v>
    <v>5.7632000000000003</v>
    <v>3.1</v>
    <v>3.1</v>
    <v>C/ Gremi de Cirurgians i Barbers, 22, PALMA DE MALLORCA, ILLES BALEARS, 07009 ES</v>
    <v>Machinery, Equipment &amp; Components</v>
    <v>RBT</v>
    <v>Ações</v>
    <v>Robot (BMEX:RBT)</v>
    <v>0</v>
    <v>0</v>
    <v>2000</v>
  </rv>
  <rv s="2">
    <v>580</v>
  </rv>
  <rv s="42">
    <v>pt-BR</v>
    <v>cb2b7w</v>
    <v>268435456</v>
    <v>1</v>
    <v>Da plataforma Refinitiv</v>
    <v>119</v>
    <v>120</v>
    <v>Revenga Ingenier (BMEX:RSS)</v>
    <v>21</v>
    <v>121</v>
    <v>Finance</v>
    <v>5</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582</v>
  </rv>
  <rv s="38">
    <v>pt-BR</v>
    <v>caek27</v>
    <v>268435456</v>
    <v>1</v>
    <v>Da plataforma Refinitiv</v>
    <v>108</v>
    <v>109</v>
    <v>Vanadi Coffee (BMEX:VANA)</v>
    <v>21</v>
    <v>110</v>
    <v>Finance</v>
    <v>5</v>
    <v>BMEX</v>
    <v>0.1275</v>
    <v>2021</v>
    <v>0.104</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0.1</v>
    <v>46059.697916666664</v>
    <v>EUR</v>
    <v>Vanadi Coffee</v>
    <v>Vanadi Coffee</v>
    <v>0.105</v>
    <v>0.122</v>
    <v>Calle Mexico 20, 5, ALICANTE, ALICANTE, 03008 ES</v>
    <v>Hotels &amp; Entertainment Services</v>
    <v>VANA</v>
    <v>Ações</v>
    <v>Vanadi Coffee (BMEX:VANA)</v>
    <v>2.1999999999999999E-2</v>
    <v>0.22</v>
    <v>7828145</v>
  </rv>
  <rv s="2">
    <v>584</v>
  </rv>
  <rv s="0">
    <v>https://www.bing.com/financeapi/forcetrigger?t=amg1u2&amp;q=BMEX%3aPVA&amp;form=skydnc</v>
    <v>Learn more on Bing</v>
  </rv>
  <rv s="9">
    <v>pt-BR</v>
    <v>amg1u2</v>
    <v>268435456</v>
    <v>1</v>
    <v>Da plataforma Refinitiv</v>
    <v>24</v>
    <v>25</v>
    <v>Pescanova (BMEX:PVA)</v>
    <v>3</v>
    <v>26</v>
    <v>Finance</v>
    <v>5</v>
    <v>0.39</v>
    <v>0.25</v>
    <v>BMEX</v>
    <v>28737720</v>
    <v>0.28000000000000003</v>
    <v>1960</v>
    <v>0.26500000000000001</v>
    <v>0.55320000000000003</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0.27900000000000003</v>
    <v>0</v>
    <v>46059.691087962965</v>
    <v>586</v>
    <v>82410</v>
    <v>EUR</v>
    <v>Pescanova</v>
    <v>Pescanova</v>
    <v>0.26600000000000001</v>
    <v>0.28000000000000003</v>
    <v>Rua Jose Fernandez Lopez. s/n, Chapela, REDONDELA, PONTEVEDRA, 36320 ES</v>
    <v>Food &amp; Tobacco</v>
    <v>PVA</v>
    <v>Ações</v>
    <v>Pescanova (BMEX:PVA)</v>
    <v>1E-3</v>
    <v>3.5839999999999999E-3</v>
    <v>52684</v>
  </rv>
  <rv s="2">
    <v>587</v>
  </rv>
  <rv s="0">
    <v>https://www.bing.com/financeapi/forcetrigger?t=c6l96h&amp;q=BMEX%3aHAN&amp;form=skydnc</v>
    <v>Learn more on Bing</v>
  </rv>
  <rv s="21">
    <v>pt-BR</v>
    <v>c6l96h</v>
    <v>268435456</v>
    <v>1</v>
    <v>Da plataforma Refinitiv</v>
    <v>57</v>
    <v>58</v>
    <v>Hannun (BMEX:HAN)</v>
    <v>3</v>
    <v>59</v>
    <v>Finance</v>
    <v>5</v>
    <v>BMEX</v>
    <v>50443680</v>
    <v>0.17599999999999999</v>
    <v>2017</v>
    <v>0.17399999999999999</v>
    <v>0.51619999999999999</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0.17599999999999999</v>
    <v>24</v>
    <v>46059.625092592592</v>
    <v>589</v>
    <v>13570</v>
    <v>EUR</v>
    <v>Hannun</v>
    <v>Hannun</v>
    <v>0.17399999999999999</v>
    <v>0.17599999999999999</v>
    <v>Passeig del Pla, 30 A, Matadepera, BARCELONA, 08230 ES</v>
    <v>Diversified Retail</v>
    <v>HAN</v>
    <v>Ações</v>
    <v>Hannun (BMEX:HAN)</v>
    <v>0</v>
    <v>0</v>
    <v>25040</v>
  </rv>
  <rv s="2">
    <v>590</v>
  </rv>
  <rv s="43">
    <v>pt-BR</v>
    <v>cfc2oc</v>
    <v>268435456</v>
    <v>1</v>
    <v>Da plataforma Refinitiv</v>
    <v>122</v>
    <v>123</v>
    <v>ASAM (BMEX:SCASM)</v>
    <v>21</v>
    <v>124</v>
    <v>Finance</v>
    <v>BMEX</v>
    <v>Bolsas y Mercados Espanoles</v>
    <v>BMEX</v>
    <v>13.8</v>
    <v>EUR</v>
    <v>ASAM</v>
    <v>ASAM</v>
    <v>Avenida De America 18, MADRID, MADRID, 28028 ES</v>
    <v>SCASM</v>
    <v>Ações</v>
    <v>ASAM (BMEX:SCASM)</v>
  </rv>
  <rv s="2">
    <v>592</v>
  </rv>
  <rv s="44">
    <v>pt-BR</v>
    <v>cigqm7</v>
    <v>268435456</v>
    <v>1</v>
    <v>Da plataforma Refinitiv</v>
    <v>125</v>
    <v>126</v>
    <v>Trajano Iberia (BMEX:YTRA)</v>
    <v>21</v>
    <v>45</v>
    <v>Finance</v>
    <v>5</v>
    <v>BMEX</v>
    <v>14223840</v>
    <v>0.33600000000000002</v>
    <v>2015</v>
    <v>0.33600000000000002</v>
    <v>3.1699999999999999E-2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0.34799999999999998</v>
    <v>2</v>
    <v>46058.709039351852</v>
    <v>1000</v>
    <v>EUR</v>
    <v>Trajano Iberia</v>
    <v>Trajano Iberia</v>
    <v>1.159</v>
    <v>0.33600000000000002</v>
    <v>0.33600000000000002</v>
    <v>Zurbano 49, oficina 10, MADRID, MADRID, 28010 ES</v>
    <v>Residential &amp; Commercial REIT</v>
    <v>YTRA</v>
    <v>Ações</v>
    <v>Trajano Iberia (BMEX:YTRA)</v>
    <v>-1.2E-2</v>
    <v>-3.4483E-2</v>
    <v>8700</v>
  </rv>
  <rv s="2">
    <v>594</v>
  </rv>
  <rv s="0">
    <v>https://www.bing.com/financeapi/forcetrigger?t=c4iqxm&amp;q=BMEX%3aSPH&amp;form=skydnc</v>
    <v>Learn more on Bing</v>
  </rv>
  <rv s="21">
    <v>pt-BR</v>
    <v>c4iqxm</v>
    <v>268435456</v>
    <v>1</v>
    <v>Da plataforma Refinitiv</v>
    <v>57</v>
    <v>58</v>
    <v>Profithol (BMEX:SPH)</v>
    <v>3</v>
    <v>59</v>
    <v>Finance</v>
    <v>5</v>
    <v>BMEX</v>
    <v>19629000</v>
    <v>0.24</v>
    <v>2021</v>
    <v>0.24</v>
    <v>0.78920000000000001</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0.24</v>
    <v>36</v>
    <v>46059.691087962965</v>
    <v>596</v>
    <v>4750</v>
    <v>EUR</v>
    <v>Profithol</v>
    <v>Profithol</v>
    <v>0.24</v>
    <v>0.24</v>
    <v>Cl De La Tecnologia Num. 82, Pasaje C Num. 3, LLINARS DEL VALLES, BARCELONA ES</v>
    <v>Investment Banking &amp; Investment Services</v>
    <v>SPH</v>
    <v>Ações</v>
    <v>Profithol (BMEX:SPH)</v>
    <v>0</v>
    <v>0</v>
    <v>59</v>
  </rv>
  <rv s="2">
    <v>597</v>
  </rv>
  <rv s="0">
    <v>https://www.bing.com/financeapi/forcetrigger?t=c3wm77&amp;q=BMEX%3aCITY&amp;form=skydnc</v>
    <v>Learn more on Bing</v>
  </rv>
  <rv s="45">
    <v>pt-BR</v>
    <v>c3wm77</v>
    <v>268435456</v>
    <v>1</v>
    <v>Da plataforma Refinitiv</v>
    <v>127</v>
    <v>128</v>
    <v>Intercity sad (BMEX:CITY)</v>
    <v>3</v>
    <v>79</v>
    <v>Finance</v>
    <v>5</v>
    <v>BMEX</v>
    <v>5.28E-2</v>
    <v>5.0200000000000002E-2</v>
    <v>Bolsas y Mercados Espanoles</v>
    <v>BMEX</v>
    <v>5.3999999999999999E-2</v>
    <v>46059.697916666664</v>
    <v>599</v>
    <v>EUR</v>
    <v>Intercity sad</v>
    <v>Intercity sad</v>
    <v>5.2200000000000003E-2</v>
    <v>5.0999999999999997E-2</v>
    <v>Calle Mexico, num 20 planta 3, puerta C, ALICANTE, ALICANTE, 03008 ES</v>
    <v>CITY</v>
    <v>Ações</v>
    <v>Intercity sad (BMEX:CITY)</v>
    <v>-3.0000000000000001E-3</v>
    <v>-5.5556000000000001E-2</v>
    <v>3343395</v>
  </rv>
  <rv s="2">
    <v>600</v>
  </rv>
  <rv s="0">
    <v>https://www.bing.com/financeapi/forcetrigger?t=amfusm&amp;q=BMEX%3aEEP&amp;form=skydnc</v>
    <v>Learn more on Bing</v>
  </rv>
  <rv s="46">
    <v>pt-BR</v>
    <v>amfusm</v>
    <v>268435456</v>
    <v>1</v>
    <v>Da plataforma Refinitiv</v>
    <v>129</v>
    <v>130</v>
    <v>EuroEspes (BMEX:EEP)</v>
    <v>3</v>
    <v>131</v>
    <v>Finance</v>
    <v>5</v>
    <v>1.34</v>
    <v>0.34</v>
    <v>BMEX</v>
    <v>11832910</v>
    <v>0.34</v>
    <v>0.34</v>
    <v>-0.111</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602</v>
    <v>EUR</v>
    <v>EuroEspes</v>
    <v>EuroEspes</v>
    <v>0.34</v>
    <v>0.34</v>
    <v>Santa Marta de Babio S/N, BERGONDO, LA CORUNA ES</v>
    <v>Healthcare Providers &amp; Services</v>
    <v>EEP</v>
    <v>Ações</v>
    <v>EuroEspes (BMEX:EEP)</v>
    <v>0</v>
    <v>0</v>
    <v>188</v>
  </rv>
  <rv s="2">
    <v>603</v>
  </rv>
  <rv s="27">
    <v>pt-BR</v>
    <v>cgarcw</v>
    <v>268435456</v>
    <v>1</v>
    <v>Da plataforma Refinitiv</v>
    <v>77</v>
    <v>78</v>
    <v>Innovative Simpl (BMEX:SCSS)</v>
    <v>21</v>
    <v>79</v>
    <v>Finance</v>
    <v>5</v>
    <v>BMEX</v>
    <v>4.9000000000000004</v>
    <v>4.9000000000000004</v>
    <v>Bolsas y Mercados Espanoles</v>
    <v>BMEX</v>
    <v>4.9000000000000004</v>
    <v>46051.458668992971</v>
    <v>EUR</v>
    <v>Innovative Simpl</v>
    <v>Innovative Simpl</v>
    <v>4.9000000000000004</v>
    <v>4.9000000000000004</v>
    <v>C/ Serrano 19 - 4 D, MADRID, MADRID, 28001 ES</v>
    <v>SCSS</v>
    <v>Ações</v>
    <v>Innovative Simpl (BMEX:SCSS)</v>
    <v>0</v>
    <v>0</v>
    <v>986</v>
  </rv>
  <rv s="2">
    <v>605</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1">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44">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1</v>
      <v>Name</v>
      <v>LearnMoreOnLink</v>
    </spb>
    <spb s="7">
      <v>1</v>
      <v>2</v>
      <v>1</v>
      <v>3</v>
      <v>2</v>
      <v>2</v>
      <v>4</v>
      <v>2</v>
      <v>2</v>
      <v>4</v>
      <v>5</v>
      <v>4</v>
      <v>6</v>
      <v>2</v>
      <v>2</v>
      <v>7</v>
      <v>4</v>
      <v>2</v>
      <v>8</v>
      <v>9</v>
      <v>2</v>
      <v>2</v>
      <v>5</v>
    </spb>
    <spb s="8">
      <v xml:space="preserve">no fechamento </v>
      <v xml:space="preserve">do fechamento anterior </v>
      <v xml:space="preserve">do fechamento anterior </v>
      <v>GMT</v>
      <v>Atraso de 15 minutos</v>
      <v xml:space="preserve">do fechamento </v>
      <v xml:space="preserve">do fechamento </v>
    </spb>
    <spb s="9">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0">
      <v>0</v>
      <v>0</v>
    </spb>
    <spb s="11">
      <v>12</v>
      <v>2</v>
      <v>2</v>
      <v>2</v>
      <v>2</v>
    </spb>
    <spb s="12">
      <v>1</v>
      <v>2</v>
      <v>1</v>
      <v>3</v>
      <v>2</v>
      <v>2</v>
      <v>10</v>
      <v>4</v>
      <v>2</v>
      <v>2</v>
      <v>4</v>
      <v>5</v>
      <v>4</v>
      <v>6</v>
      <v>2</v>
      <v>2</v>
      <v>7</v>
      <v>4</v>
      <v>2</v>
      <v>8</v>
      <v>9</v>
    </spb>
    <spb s="13">
      <v>Da plataforma Refinitiv</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3</v>
      <v>Name</v>
      <v>LearnMoreOnLink</v>
    </spb>
    <spb s="15">
      <v>1</v>
      <v>2</v>
      <v>1</v>
      <v>3</v>
      <v>2</v>
      <v>2</v>
      <v>4</v>
      <v>2</v>
      <v>2</v>
      <v>4</v>
      <v>5</v>
      <v>4</v>
      <v>6</v>
      <v>2</v>
      <v>2</v>
      <v>4</v>
      <v>2</v>
      <v>8</v>
      <v>9</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4">
      <v>1</v>
      <v>2</v>
      <v>1</v>
      <v>3</v>
      <v>2</v>
      <v>2</v>
      <v>4</v>
      <v>2</v>
      <v>2</v>
      <v>4</v>
      <v>5</v>
      <v>4</v>
      <v>6</v>
      <v>2</v>
      <v>2</v>
      <v>7</v>
      <v>4</v>
      <v>2</v>
      <v>11</v>
      <v>9</v>
    </spb>
    <spb s="4">
      <v>1</v>
      <v>2</v>
      <v>1</v>
      <v>3</v>
      <v>2</v>
      <v>2</v>
      <v>4</v>
      <v>2</v>
      <v>2</v>
      <v>4</v>
      <v>5</v>
      <v>4</v>
      <v>6</v>
      <v>2</v>
      <v>2</v>
      <v>7</v>
      <v>4</v>
      <v>2</v>
      <v>12</v>
      <v>9</v>
    </spb>
    <spb s="19">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5</v>
      <v>Name</v>
      <v>LearnMoreOnLink</v>
    </spb>
    <spb s="20">
      <v>2</v>
      <v>1</v>
      <v>3</v>
      <v>2</v>
      <v>2</v>
      <v>4</v>
      <v>2</v>
      <v>2</v>
      <v>4</v>
      <v>5</v>
      <v>4</v>
      <v>6</v>
      <v>2</v>
      <v>2</v>
      <v>7</v>
      <v>4</v>
      <v>2</v>
      <v>8</v>
      <v>9</v>
    </spb>
    <spb s="21">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6</v>
      <v>Name</v>
    </spb>
    <spb s="22">
      <v>1</v>
      <v>2</v>
      <v>3</v>
      <v>2</v>
      <v>2</v>
      <v>4</v>
      <v>2</v>
      <v>2</v>
      <v>4</v>
      <v>5</v>
      <v>4</v>
      <v>6</v>
      <v>2</v>
      <v>2</v>
      <v>7</v>
      <v>4</v>
      <v>2</v>
      <v>8</v>
      <v>9</v>
    </spb>
    <spb s="23">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7</v>
      <v>Name</v>
      <v>LearnMoreOnLink</v>
    </spb>
    <spb s="24">
      <v>1</v>
      <v>2</v>
      <v>1</v>
      <v>3</v>
      <v>2</v>
      <v>2</v>
      <v>4</v>
      <v>2</v>
      <v>2</v>
      <v>4</v>
      <v>5</v>
      <v>6</v>
      <v>7</v>
      <v>4</v>
      <v>2</v>
      <v>8</v>
      <v>9</v>
    </spb>
    <spb s="25">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8</v>
      <v>Name</v>
      <v>LearnMoreOnLink</v>
    </spb>
    <spb s="26">
      <v>1</v>
      <v>2</v>
      <v>1</v>
      <v>3</v>
      <v>2</v>
      <v>2</v>
      <v>4</v>
      <v>2</v>
      <v>2</v>
      <v>4</v>
      <v>5</v>
      <v>4</v>
      <v>6</v>
      <v>2</v>
      <v>2</v>
      <v>4</v>
      <v>2</v>
      <v>8</v>
      <v>9</v>
      <v>2</v>
      <v>2</v>
      <v>5</v>
    </spb>
    <spb s="27">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9</v>
      <v>Name</v>
      <v>LearnMoreOnLink</v>
    </spb>
    <spb s="28">
      <v>13</v>
      <v>1</v>
      <v>3</v>
      <v>13</v>
      <v>13</v>
      <v>4</v>
      <v>13</v>
      <v>13</v>
      <v>5</v>
      <v>4</v>
      <v>6</v>
      <v>13</v>
      <v>13</v>
      <v>7</v>
      <v>4</v>
      <v>13</v>
      <v>14</v>
      <v>9</v>
    </spb>
    <spb s="5">
      <v>Atraso de 30 minutos</v>
      <v xml:space="preserve">do fechamento anterior </v>
      <v xml:space="preserve">do fechamento anterior </v>
      <v>GMT</v>
    </spb>
    <spb s="29">
      <v>P/E</v>
      <v>High</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10</v>
      <v>Name</v>
      <v>LearnMoreOnLink</v>
    </spb>
    <spb s="30">
      <v>1</v>
      <v>2</v>
      <v>3</v>
      <v>2</v>
      <v>2</v>
      <v>4</v>
      <v>2</v>
      <v>2</v>
      <v>4</v>
      <v>5</v>
      <v>6</v>
      <v>7</v>
      <v>4</v>
      <v>2</v>
      <v>8</v>
      <v>9</v>
    </spb>
    <spb s="31">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11</v>
      <v>Name</v>
      <v>LearnMoreOnLink</v>
    </spb>
    <spb s="32">
      <v>1</v>
      <v>2</v>
      <v>1</v>
      <v>3</v>
      <v>2</v>
      <v>2</v>
      <v>4</v>
      <v>2</v>
      <v>2</v>
      <v>4</v>
      <v>5</v>
      <v>4</v>
      <v>6</v>
      <v>7</v>
      <v>4</v>
      <v>2</v>
      <v>8</v>
      <v>9</v>
    </spb>
    <spb s="33">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12</v>
      <v>Name</v>
    </spb>
    <spb s="34">
      <v>1</v>
      <v>1</v>
      <v>3</v>
      <v>4</v>
      <v>6</v>
      <v>2</v>
      <v>2</v>
      <v>7</v>
      <v>4</v>
      <v>2</v>
      <v>15</v>
    </spb>
    <spb s="35">
      <v>GMT</v>
    </spb>
    <spb s="15">
      <v>1</v>
      <v>2</v>
      <v>1</v>
      <v>3</v>
      <v>2</v>
      <v>2</v>
      <v>4</v>
      <v>2</v>
      <v>2</v>
      <v>4</v>
      <v>5</v>
      <v>4</v>
      <v>6</v>
      <v>2</v>
      <v>2</v>
      <v>4</v>
      <v>2</v>
      <v>16</v>
      <v>9</v>
    </spb>
    <spb s="36">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13</v>
      <v>Name</v>
      <v>LearnMoreOnLink</v>
    </spb>
    <spb s="37">
      <v>2</v>
      <v>1</v>
      <v>3</v>
      <v>2</v>
      <v>2</v>
      <v>4</v>
      <v>2</v>
      <v>2</v>
      <v>4</v>
      <v>5</v>
      <v>4</v>
      <v>6</v>
      <v>2</v>
      <v>2</v>
      <v>4</v>
      <v>2</v>
      <v>8</v>
      <v>9</v>
    </spb>
    <spb s="38">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14</v>
      <v>Name</v>
      <v>LearnMoreOnLink</v>
    </spb>
    <spb s="39">
      <v>1</v>
      <v>2</v>
      <v>1</v>
      <v>3</v>
      <v>2</v>
      <v>2</v>
      <v>4</v>
      <v>2</v>
      <v>2</v>
      <v>5</v>
      <v>4</v>
      <v>6</v>
      <v>7</v>
      <v>4</v>
      <v>2</v>
      <v>8</v>
      <v>9</v>
    </spb>
    <spb s="40">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15</v>
      <v>Name</v>
      <v>LearnMoreOnLink</v>
    </spb>
    <spb s="41">
      <v>2</v>
      <v>1</v>
      <v>3</v>
      <v>2</v>
      <v>2</v>
      <v>4</v>
      <v>2</v>
      <v>2</v>
      <v>4</v>
      <v>5</v>
      <v>4</v>
      <v>6</v>
      <v>7</v>
      <v>4</v>
      <v>2</v>
      <v>8</v>
      <v>9</v>
    </spb>
    <spb s="42">
      <v>P/E</v>
      <v>High</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16</v>
      <v>Name</v>
      <v>LearnMoreOnLink</v>
    </spb>
    <spb s="43">
      <v>1</v>
      <v>2</v>
      <v>3</v>
      <v>2</v>
      <v>2</v>
      <v>4</v>
      <v>2</v>
      <v>2</v>
      <v>4</v>
      <v>5</v>
      <v>4</v>
      <v>6</v>
      <v>7</v>
      <v>4</v>
      <v>2</v>
      <v>8</v>
      <v>9</v>
    </spb>
    <spb s="20">
      <v>17</v>
      <v>1</v>
      <v>3</v>
      <v>17</v>
      <v>17</v>
      <v>4</v>
      <v>17</v>
      <v>17</v>
      <v>4</v>
      <v>5</v>
      <v>4</v>
      <v>6</v>
      <v>17</v>
      <v>17</v>
      <v>7</v>
      <v>4</v>
      <v>17</v>
      <v>18</v>
      <v>9</v>
    </spb>
    <spb s="5">
      <v>Atraso de 20 minutos</v>
      <v xml:space="preserve">do fechamento anterior </v>
      <v xml:space="preserve">do fechamento anterior </v>
      <v>GMT</v>
    </spb>
    <spb s="44">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17</v>
      <v>Name</v>
    </spb>
    <spb s="45">
      <v>P/E</v>
      <v>High</v>
      <v>Name</v>
      <v>Headquarters</v>
      <v>Low</v>
      <v>Exchange</v>
      <v>Currency</v>
      <v>Price</v>
      <v>Industry</v>
      <v>Volume</v>
      <v>Change</v>
      <v>Description</v>
      <v>Open</v>
      <v>ExchangeID</v>
      <v>UniqueName</v>
      <v>Employees</v>
      <v>Official name</v>
      <v>Change (%)</v>
      <v>%ProviderInfo</v>
      <v>LearnMoreOnLink</v>
      <v>Ticker symbol</v>
      <v>Shares outstanding</v>
      <v>Previous close</v>
      <v>Instrument type</v>
      <v>Exchange abbreviation</v>
      <v>Market cap</v>
      <v>Last trade time</v>
    </spb>
    <spb s="1">
      <v>18</v>
      <v>Name</v>
      <v>LearnMoreOnLink</v>
    </spb>
    <spb s="46">
      <v>1</v>
      <v>2</v>
      <v>3</v>
      <v>2</v>
      <v>2</v>
      <v>4</v>
      <v>2</v>
      <v>2</v>
      <v>4</v>
      <v>5</v>
      <v>6</v>
      <v>4</v>
      <v>2</v>
      <v>8</v>
      <v>9</v>
    </spb>
    <spb s="20">
      <v>2</v>
      <v>1</v>
      <v>3</v>
      <v>2</v>
      <v>2</v>
      <v>4</v>
      <v>2</v>
      <v>2</v>
      <v>4</v>
      <v>5</v>
      <v>4</v>
      <v>6</v>
      <v>2</v>
      <v>2</v>
      <v>7</v>
      <v>4</v>
      <v>2</v>
      <v>19</v>
      <v>9</v>
    </spb>
    <spb s="47">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19</v>
      <v>Name</v>
      <v>LearnMoreOnLink</v>
    </spb>
    <spb s="48">
      <v>2</v>
      <v>1</v>
      <v>3</v>
      <v>2</v>
      <v>2</v>
      <v>4</v>
      <v>2</v>
      <v>2</v>
      <v>4</v>
      <v>5</v>
      <v>6</v>
      <v>7</v>
      <v>4</v>
      <v>2</v>
      <v>8</v>
      <v>9</v>
    </spb>
    <spb s="49">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20</v>
      <v>Name</v>
    </spb>
    <spb s="50">
      <v>2</v>
      <v>3</v>
      <v>2</v>
      <v>2</v>
      <v>4</v>
      <v>2</v>
      <v>2</v>
      <v>4</v>
      <v>5</v>
      <v>4</v>
      <v>6</v>
      <v>2</v>
      <v>2</v>
      <v>7</v>
      <v>4</v>
      <v>2</v>
      <v>8</v>
      <v>9</v>
    </spb>
    <spb s="51">
      <v>High</v>
      <v>Name</v>
      <v>Headquarters</v>
      <v>Low</v>
      <v>Exchange</v>
      <v>Currency</v>
      <v>Price</v>
      <v>Volume</v>
      <v>Change</v>
      <v>Open</v>
      <v>ExchangeID</v>
      <v>UniqueName</v>
      <v>Official name</v>
      <v>Change (%)</v>
      <v>%ProviderInfo</v>
      <v>Ticker symbol</v>
      <v>Previous close</v>
      <v>Instrument type</v>
      <v>Exchange abbreviation</v>
      <v>Last trade time</v>
    </spb>
    <spb s="17">
      <v>21</v>
      <v>Name</v>
    </spb>
    <spb s="52">
      <v>2</v>
      <v>3</v>
      <v>2</v>
      <v>2</v>
      <v>4</v>
      <v>2</v>
      <v>2</v>
      <v>5</v>
      <v>6</v>
      <v>2</v>
      <v>9</v>
    </spb>
    <spb s="53">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22</v>
      <v>Name</v>
      <v>LearnMoreOnLink</v>
    </spb>
    <spb s="54">
      <v>1</v>
      <v>2</v>
      <v>1</v>
      <v>3</v>
      <v>2</v>
      <v>2</v>
      <v>4</v>
      <v>2</v>
      <v>2</v>
      <v>4</v>
      <v>5</v>
      <v>4</v>
      <v>6</v>
      <v>4</v>
      <v>2</v>
      <v>8</v>
      <v>9</v>
    </spb>
    <spb s="55">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23</v>
      <v>Name</v>
      <v>LearnMoreOnLink</v>
    </spb>
    <spb s="56">
      <v>1</v>
      <v>20</v>
      <v>3</v>
      <v>20</v>
      <v>20</v>
      <v>4</v>
      <v>20</v>
      <v>20</v>
      <v>5</v>
      <v>6</v>
      <v>20</v>
      <v>20</v>
      <v>20</v>
      <v>9</v>
    </spb>
    <spb s="57">
      <v>Name</v>
      <v>Headquarters</v>
      <v>Exchange</v>
      <v>Currency</v>
      <v>Industry</v>
      <v>Description</v>
      <v>ExchangeID</v>
      <v>UniqueName</v>
      <v>Official name</v>
      <v>%ProviderInfo</v>
      <v>Ticker symbol</v>
      <v>Year incorporated</v>
      <v>Previous close</v>
      <v>Instrument type</v>
      <v>Exchange abbreviation</v>
    </spb>
    <spb s="17">
      <v>24</v>
      <v>Name</v>
    </spb>
    <spb s="58">
      <v>3</v>
      <v>6</v>
      <v>7</v>
      <v>2</v>
    </spb>
    <spb s="59">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25</v>
      <v>Name</v>
      <v>LearnMoreOnLink</v>
    </spb>
    <spb s="60">
      <v>2</v>
      <v>1</v>
      <v>3</v>
      <v>2</v>
      <v>2</v>
      <v>4</v>
      <v>2</v>
      <v>2</v>
      <v>4</v>
      <v>5</v>
      <v>6</v>
      <v>2</v>
      <v>2</v>
      <v>7</v>
      <v>4</v>
      <v>2</v>
      <v>8</v>
      <v>9</v>
    </spb>
    <spb s="61">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26</v>
      <v>Name</v>
      <v>LearnMoreOnLink</v>
    </spb>
    <spb s="62">
      <v>2</v>
      <v>1</v>
      <v>3</v>
      <v>2</v>
      <v>2</v>
      <v>4</v>
      <v>2</v>
      <v>2</v>
      <v>5</v>
      <v>6</v>
      <v>2</v>
      <v>2</v>
      <v>7</v>
      <v>4</v>
      <v>2</v>
      <v>8</v>
      <v>9</v>
    </spb>
    <spb s="63">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27</v>
      <v>Name</v>
    </spb>
    <spb s="64">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v>Price (Extended hours)</v>
      <v>Change (Extended hours)</v>
      <v>Change % (Extended hours)</v>
    </spb>
    <spb s="1">
      <v>28</v>
      <v>Name</v>
      <v>LearnMoreOnLink</v>
    </spb>
    <spb s="65">
      <v>1</v>
      <v>2</v>
      <v>1</v>
      <v>3</v>
      <v>2</v>
      <v>2</v>
      <v>4</v>
      <v>2</v>
      <v>2</v>
      <v>4</v>
      <v>5</v>
      <v>4</v>
      <v>6</v>
      <v>7</v>
      <v>4</v>
      <v>2</v>
      <v>8</v>
      <v>9</v>
      <v>2</v>
      <v>2</v>
      <v>5</v>
    </spb>
    <spb s="66">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29</v>
      <v>Name</v>
      <v>LearnMoreOnLink</v>
    </spb>
    <spb s="67">
      <v>1</v>
      <v>3</v>
      <v>2</v>
      <v>2</v>
      <v>4</v>
      <v>5</v>
      <v>6</v>
      <v>2</v>
      <v>2</v>
      <v>4</v>
      <v>2</v>
      <v>15</v>
    </spb>
    <spb s="68">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30</v>
      <v>Name</v>
    </spb>
    <spb s="69">
      <v>2</v>
      <v>3</v>
      <v>2</v>
      <v>2</v>
      <v>4</v>
      <v>2</v>
      <v>2</v>
      <v>4</v>
      <v>5</v>
      <v>4</v>
      <v>6</v>
      <v>7</v>
      <v>4</v>
      <v>2</v>
      <v>8</v>
      <v>9</v>
    </spb>
    <spb s="70">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31</v>
      <v>Name</v>
    </spb>
    <spb s="71">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32</v>
      <v>Name</v>
    </spb>
    <spb s="72">
      <v>2</v>
      <v>3</v>
      <v>2</v>
      <v>2</v>
      <v>4</v>
      <v>2</v>
      <v>2</v>
      <v>5</v>
      <v>6</v>
      <v>7</v>
      <v>2</v>
      <v>9</v>
    </spb>
    <spb s="73">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33</v>
      <v>Name</v>
    </spb>
    <spb s="74">
      <v>2</v>
      <v>3</v>
      <v>2</v>
      <v>2</v>
      <v>4</v>
      <v>2</v>
      <v>2</v>
      <v>4</v>
      <v>5</v>
      <v>6</v>
      <v>7</v>
      <v>2</v>
      <v>9</v>
    </spb>
    <spb s="75">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34</v>
      <v>Name</v>
    </spb>
    <spb s="76">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35</v>
      <v>Name</v>
    </spb>
    <spb s="77">
      <v>1</v>
      <v>2</v>
      <v>3</v>
      <v>2</v>
      <v>2</v>
      <v>4</v>
      <v>2</v>
      <v>2</v>
      <v>4</v>
      <v>5</v>
      <v>6</v>
      <v>2</v>
      <v>2</v>
      <v>7</v>
      <v>4</v>
      <v>2</v>
      <v>8</v>
      <v>9</v>
    </spb>
    <spb s="78">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36</v>
      <v>Name</v>
    </spb>
    <spb s="79">
      <v>2</v>
      <v>3</v>
      <v>2</v>
      <v>2</v>
      <v>4</v>
      <v>2</v>
      <v>2</v>
      <v>4</v>
      <v>5</v>
      <v>6</v>
      <v>7</v>
      <v>4</v>
      <v>2</v>
      <v>8</v>
      <v>9</v>
    </spb>
    <spb s="80">
      <v>Name</v>
      <v>Headquarters</v>
      <v>Exchange</v>
      <v>Currency</v>
      <v>ExchangeID</v>
      <v>UniqueName</v>
      <v>Official name</v>
      <v>%ProviderInfo</v>
      <v>Ticker symbol</v>
      <v>Previous close</v>
      <v>Instrument type</v>
      <v>Exchange abbreviation</v>
    </spb>
    <spb s="17">
      <v>37</v>
      <v>Name</v>
    </spb>
    <spb s="81">
      <v>3</v>
      <v>6</v>
      <v>2</v>
    </spb>
    <spb s="82">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38</v>
      <v>Name</v>
    </spb>
    <spb s="83">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39</v>
      <v>Name</v>
      <v>LearnMoreOnLink</v>
    </spb>
    <spb s="84">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40</v>
      <v>Name</v>
      <v>LearnMoreOnLink</v>
    </spb>
    <spb s="85">
      <v>2</v>
      <v>1</v>
      <v>3</v>
      <v>2</v>
      <v>2</v>
      <v>4</v>
      <v>2</v>
      <v>2</v>
      <v>5</v>
      <v>6</v>
      <v>2</v>
      <v>2</v>
      <v>4</v>
      <v>2</v>
      <v>8</v>
      <v>9</v>
    </spb>
  </spbData>
</supportingPropertyBags>
</file>

<file path=xl/richData/rdsupportingpropertybagstructure.xml><?xml version="1.0" encoding="utf-8"?>
<spbStructures xmlns="http://schemas.microsoft.com/office/spreadsheetml/2017/richdata2" count="8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k n="Preço (Horário prolongado)" t="i"/>
    <k n="Alteração (Horário prolongado)" t="i"/>
    <k n="Alteração % (Horário prolongado)" t="i"/>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tabSelected="1" workbookViewId="0">
      <pane xSplit="3" ySplit="2" topLeftCell="F186" activePane="bottomRight" state="frozen"/>
      <selection pane="topRight" activeCell="D1" sqref="D1"/>
      <selection pane="bottomLeft" activeCell="A3" sqref="A3"/>
      <selection pane="bottomRight" activeCell="F209" sqref="F209"/>
    </sheetView>
  </sheetViews>
  <sheetFormatPr defaultRowHeight="14.25" x14ac:dyDescent="0.2"/>
  <cols>
    <col min="2" max="2" width="17.75" customWidth="1"/>
    <col min="3" max="3" width="27" customWidth="1"/>
    <col min="4" max="5" width="33.125" customWidth="1"/>
    <col min="6" max="6" width="38.5" customWidth="1"/>
    <col min="7" max="7" width="21.625" customWidth="1"/>
    <col min="8" max="8" width="15.875" customWidth="1"/>
    <col min="9" max="9" width="14.25" customWidth="1"/>
    <col min="10" max="10" width="19.5" customWidth="1"/>
    <col min="11" max="11" width="19.625" customWidth="1"/>
    <col min="12" max="12" width="14.125" customWidth="1"/>
    <col min="13" max="13" width="15.875" customWidth="1"/>
    <col min="14" max="14" width="11.25" customWidth="1"/>
    <col min="15" max="15" width="10.625" customWidth="1"/>
  </cols>
  <sheetData>
    <row r="2" spans="1:15" s="1" customFormat="1" ht="15" x14ac:dyDescent="0.25">
      <c r="A2" s="1" t="s">
        <v>1072</v>
      </c>
      <c r="B2" s="1" t="s">
        <v>1073</v>
      </c>
      <c r="C2" s="1" t="s">
        <v>315</v>
      </c>
      <c r="D2" s="1" t="s">
        <v>112</v>
      </c>
      <c r="E2" s="3" t="s">
        <v>3</v>
      </c>
      <c r="F2" s="3" t="s">
        <v>1070</v>
      </c>
      <c r="G2" s="12" t="s">
        <v>1071</v>
      </c>
      <c r="H2" s="3" t="s">
        <v>0</v>
      </c>
      <c r="I2" s="3" t="s">
        <v>16</v>
      </c>
      <c r="J2" s="3" t="s">
        <v>309</v>
      </c>
      <c r="K2" s="3" t="s">
        <v>17</v>
      </c>
      <c r="L2" s="3" t="s">
        <v>18</v>
      </c>
      <c r="M2" s="3" t="s">
        <v>19</v>
      </c>
      <c r="N2" s="3" t="s">
        <v>316</v>
      </c>
      <c r="O2" s="3" t="s">
        <v>317</v>
      </c>
    </row>
    <row r="3" spans="1:15" s="1" customFormat="1" ht="15" x14ac:dyDescent="0.25">
      <c r="A3" s="1">
        <v>7</v>
      </c>
      <c r="B3" s="1" t="s">
        <v>314</v>
      </c>
      <c r="C3" s="1" t="s">
        <v>318</v>
      </c>
      <c r="D3" s="1" t="e" vm="1">
        <v>#VALUE!</v>
      </c>
      <c r="E3" s="3" t="str" cm="1">
        <f t="array" aca="1" ref="E3" ca="1">+_FV(D3,"Símbolo do ticker",TRUE)</f>
        <v>ITX</v>
      </c>
      <c r="F3" s="3" t="str" cm="1">
        <f t="array" aca="1" ref="F3" ca="1">+_FV(D3,"Setor")</f>
        <v>Specialty Retailers</v>
      </c>
      <c r="G3" s="10">
        <v>46057</v>
      </c>
      <c r="H3" s="3">
        <v>56.6</v>
      </c>
      <c r="I3" s="5" cm="1">
        <f t="array" aca="1" ref="I3" ca="1">+_FV(D3,"Preço")</f>
        <v>57.14</v>
      </c>
      <c r="J3" s="6">
        <f t="shared" ref="J3:J66" ca="1" si="0">+I3/H3-1</f>
        <v>9.5406360424028502E-3</v>
      </c>
      <c r="K3" s="3" t="s">
        <v>20</v>
      </c>
      <c r="L3" s="3" t="s">
        <v>319</v>
      </c>
      <c r="M3" s="3" t="s">
        <v>21</v>
      </c>
      <c r="N3" s="3" t="s">
        <v>320</v>
      </c>
      <c r="O3" s="3" t="s">
        <v>321</v>
      </c>
    </row>
    <row r="4" spans="1:15" x14ac:dyDescent="0.2">
      <c r="C4" t="s">
        <v>322</v>
      </c>
      <c r="D4" t="e" vm="2">
        <v>#VALUE!</v>
      </c>
      <c r="E4" s="4" t="str" cm="1">
        <f t="array" aca="1" ref="E4" ca="1">+_FV(D4,"Símbolo do ticker",TRUE)</f>
        <v>SAN</v>
      </c>
      <c r="F4" s="4" t="str" cm="1">
        <f t="array" aca="1" ref="F4" ca="1">+_FV(D4,"Setor")</f>
        <v>Banking Services</v>
      </c>
      <c r="G4" s="11">
        <v>46057</v>
      </c>
      <c r="H4" s="4">
        <v>10.7</v>
      </c>
      <c r="I4" s="7" cm="1">
        <f t="array" aca="1" ref="I4" ca="1">+_FV(D4,"Preço")</f>
        <v>10.66</v>
      </c>
      <c r="J4" s="8">
        <f t="shared" ca="1" si="0"/>
        <v>-3.7383177570092796E-3</v>
      </c>
      <c r="K4" s="4" t="s">
        <v>323</v>
      </c>
      <c r="L4" s="4" t="s">
        <v>324</v>
      </c>
      <c r="M4" s="4" t="s">
        <v>22</v>
      </c>
      <c r="N4" s="4" t="s">
        <v>325</v>
      </c>
      <c r="O4" s="4" t="s">
        <v>326</v>
      </c>
    </row>
    <row r="5" spans="1:15" x14ac:dyDescent="0.2">
      <c r="C5" t="s">
        <v>327</v>
      </c>
      <c r="D5" t="e" vm="3">
        <v>#VALUE!</v>
      </c>
      <c r="E5" s="4" t="str" cm="1">
        <f t="array" aca="1" ref="E5" ca="1">+_FV(D5,"Símbolo do ticker",TRUE)</f>
        <v>AIR</v>
      </c>
      <c r="F5" s="4" t="str" cm="1">
        <f t="array" aca="1" ref="F5" ca="1">+_FV(D5,"Setor")</f>
        <v>Aerospace &amp; Defense</v>
      </c>
      <c r="G5" s="11">
        <v>46057</v>
      </c>
      <c r="H5" s="4">
        <v>188.62</v>
      </c>
      <c r="I5" s="7" cm="1">
        <f t="array" aca="1" ref="I5" ca="1">+_FV(D5,"Preço")</f>
        <v>191</v>
      </c>
      <c r="J5" s="8">
        <f t="shared" ca="1" si="0"/>
        <v>1.2617962040080588E-2</v>
      </c>
      <c r="K5" s="4" t="s">
        <v>328</v>
      </c>
      <c r="L5" s="4" t="s">
        <v>329</v>
      </c>
      <c r="M5" s="4" t="s">
        <v>23</v>
      </c>
      <c r="N5" s="4" t="s">
        <v>330</v>
      </c>
      <c r="O5" s="4" t="s">
        <v>331</v>
      </c>
    </row>
    <row r="6" spans="1:15" x14ac:dyDescent="0.2">
      <c r="C6" t="s">
        <v>332</v>
      </c>
      <c r="D6" t="e" vm="4">
        <v>#VALUE!</v>
      </c>
      <c r="E6" s="4" t="str" cm="1">
        <f t="array" aca="1" ref="E6" ca="1">+_FV(D6,"Símbolo do ticker",TRUE)</f>
        <v>IBE</v>
      </c>
      <c r="F6" s="4" t="str" cm="1">
        <f t="array" aca="1" ref="F6" ca="1">+_FV(D6,"Setor")</f>
        <v>Electrical Utilities &amp; IPPs</v>
      </c>
      <c r="G6" s="11">
        <v>46057</v>
      </c>
      <c r="H6" s="4">
        <v>19.135000000000002</v>
      </c>
      <c r="I6" s="7" cm="1">
        <f t="array" aca="1" ref="I6" ca="1">+_FV(D6,"Preço")</f>
        <v>19.364999999999998</v>
      </c>
      <c r="J6" s="8">
        <f t="shared" ca="1" si="0"/>
        <v>1.2019858897308389E-2</v>
      </c>
      <c r="K6" s="4" t="s">
        <v>333</v>
      </c>
      <c r="L6" s="4" t="s">
        <v>334</v>
      </c>
      <c r="M6" s="4" t="s">
        <v>24</v>
      </c>
      <c r="N6" s="4" t="s">
        <v>335</v>
      </c>
      <c r="O6" s="4" t="s">
        <v>336</v>
      </c>
    </row>
    <row r="7" spans="1:15" x14ac:dyDescent="0.2">
      <c r="C7" t="s">
        <v>338</v>
      </c>
      <c r="D7" t="e" vm="5">
        <v>#VALUE!</v>
      </c>
      <c r="E7" s="4" t="str" cm="1">
        <f t="array" aca="1" ref="E7" ca="1">+_FV(D7,"Símbolo do ticker",TRUE)</f>
        <v>CABK</v>
      </c>
      <c r="F7" s="4" t="str" cm="1">
        <f t="array" aca="1" ref="F7" ca="1">+_FV(D7,"Setor")</f>
        <v>Banking Services</v>
      </c>
      <c r="G7" s="11">
        <v>46057</v>
      </c>
      <c r="H7" s="4">
        <v>11.41</v>
      </c>
      <c r="I7" s="7" cm="1">
        <f t="array" aca="1" ref="I7" ca="1">+_FV(D7,"Preço")</f>
        <v>10.87</v>
      </c>
      <c r="J7" s="8">
        <f t="shared" ca="1" si="0"/>
        <v>-4.732690622261182E-2</v>
      </c>
      <c r="K7" s="4" t="s">
        <v>339</v>
      </c>
      <c r="L7" s="4" t="s">
        <v>340</v>
      </c>
      <c r="M7" s="4" t="s">
        <v>25</v>
      </c>
      <c r="N7" s="4" t="s">
        <v>341</v>
      </c>
      <c r="O7" s="4" t="s">
        <v>342</v>
      </c>
    </row>
    <row r="8" spans="1:15" x14ac:dyDescent="0.2">
      <c r="C8" t="s">
        <v>343</v>
      </c>
      <c r="D8" t="e" vm="6">
        <v>#VALUE!</v>
      </c>
      <c r="E8" s="4" t="str" cm="1">
        <f t="array" aca="1" ref="E8" ca="1">+_FV(D8,"Símbolo do ticker",TRUE)</f>
        <v>FER</v>
      </c>
      <c r="F8" s="4" t="str" cm="1">
        <f t="array" aca="1" ref="F8" ca="1">+_FV(D8,"Setor")</f>
        <v>Construction &amp; Engineering</v>
      </c>
      <c r="G8" s="11">
        <v>46057</v>
      </c>
      <c r="H8" s="4">
        <v>57.62</v>
      </c>
      <c r="I8" s="7" cm="1">
        <f t="array" aca="1" ref="I8" ca="1">+_FV(D8,"Preço")</f>
        <v>59.98</v>
      </c>
      <c r="J8" s="8">
        <f t="shared" ca="1" si="0"/>
        <v>4.0958000694203411E-2</v>
      </c>
      <c r="K8" s="4" t="s">
        <v>344</v>
      </c>
      <c r="L8" s="4" t="s">
        <v>345</v>
      </c>
      <c r="M8" s="4" t="s">
        <v>26</v>
      </c>
      <c r="N8" s="4" t="s">
        <v>346</v>
      </c>
      <c r="O8" s="4" t="s">
        <v>347</v>
      </c>
    </row>
    <row r="9" spans="1:15" x14ac:dyDescent="0.2">
      <c r="C9" t="s">
        <v>348</v>
      </c>
      <c r="D9" t="e" vm="7">
        <v>#VALUE!</v>
      </c>
      <c r="E9" s="4" t="str" cm="1">
        <f t="array" aca="1" ref="E9" ca="1">+_FV(D9,"Símbolo do ticker",TRUE)</f>
        <v>AENA</v>
      </c>
      <c r="F9" s="4" t="str" cm="1">
        <f t="array" aca="1" ref="F9" ca="1">+_FV(D9,"Setor")</f>
        <v>Transport Infrastructure</v>
      </c>
      <c r="G9" s="11">
        <v>46057</v>
      </c>
      <c r="H9" s="4">
        <v>26.99</v>
      </c>
      <c r="I9" s="7" cm="1">
        <f t="array" aca="1" ref="I9" ca="1">+_FV(D9,"Preço")</f>
        <v>27.66</v>
      </c>
      <c r="J9" s="8">
        <f t="shared" ca="1" si="0"/>
        <v>2.4824008892182281E-2</v>
      </c>
      <c r="K9" s="4" t="s">
        <v>349</v>
      </c>
      <c r="L9" s="4" t="s">
        <v>350</v>
      </c>
      <c r="M9" s="4" t="s">
        <v>113</v>
      </c>
      <c r="N9" s="4" t="s">
        <v>351</v>
      </c>
      <c r="O9" s="4" t="s">
        <v>352</v>
      </c>
    </row>
    <row r="10" spans="1:15" x14ac:dyDescent="0.2">
      <c r="C10" t="s">
        <v>353</v>
      </c>
      <c r="D10" t="e" vm="8">
        <v>#VALUE!</v>
      </c>
      <c r="E10" s="4" t="str" cm="1">
        <f t="array" aca="1" ref="E10" ca="1">+_FV(D10,"Símbolo do ticker",TRUE)</f>
        <v>CCEP</v>
      </c>
      <c r="F10" s="4" t="str" cm="1">
        <f t="array" aca="1" ref="F10" ca="1">+_FV(D10,"Setor")</f>
        <v>Beverages</v>
      </c>
      <c r="G10" s="11">
        <v>46057</v>
      </c>
      <c r="H10" s="4">
        <v>80.3</v>
      </c>
      <c r="I10" s="7" cm="1">
        <f t="array" aca="1" ref="I10" ca="1">+_FV(D10,"Preço")</f>
        <v>81.5</v>
      </c>
      <c r="J10" s="8">
        <f t="shared" ca="1" si="0"/>
        <v>1.4943960149439661E-2</v>
      </c>
      <c r="K10" s="4" t="s">
        <v>354</v>
      </c>
      <c r="L10" s="4" t="s">
        <v>355</v>
      </c>
      <c r="M10" s="4" t="s">
        <v>114</v>
      </c>
      <c r="N10" s="4" t="s">
        <v>356</v>
      </c>
      <c r="O10" s="4" t="s">
        <v>357</v>
      </c>
    </row>
    <row r="11" spans="1:15" x14ac:dyDescent="0.2">
      <c r="C11" t="s">
        <v>358</v>
      </c>
      <c r="D11" t="e" vm="9">
        <v>#VALUE!</v>
      </c>
      <c r="E11" s="4" t="str" cm="1">
        <f t="array" aca="1" ref="E11" ca="1">+_FV(D11,"Símbolo do ticker",TRUE)</f>
        <v>MTS</v>
      </c>
      <c r="F11" s="4" t="str" cm="1">
        <f t="array" aca="1" ref="F11" ca="1">+_FV(D11,"Setor")</f>
        <v>Metals &amp; Mining</v>
      </c>
      <c r="G11" s="11">
        <v>46057</v>
      </c>
      <c r="H11" s="4">
        <v>47.56</v>
      </c>
      <c r="I11" s="7" cm="1">
        <f t="array" aca="1" ref="I11" ca="1">+_FV(D11,"Preço")</f>
        <v>51.2</v>
      </c>
      <c r="J11" s="8">
        <f t="shared" ca="1" si="0"/>
        <v>7.653490328006729E-2</v>
      </c>
      <c r="K11" s="4" t="s">
        <v>359</v>
      </c>
      <c r="L11" s="4" t="s">
        <v>360</v>
      </c>
      <c r="M11" s="4" t="s">
        <v>361</v>
      </c>
      <c r="N11" s="4" t="s">
        <v>362</v>
      </c>
      <c r="O11" s="4" t="s">
        <v>363</v>
      </c>
    </row>
    <row r="12" spans="1:15" x14ac:dyDescent="0.2">
      <c r="C12" t="s">
        <v>364</v>
      </c>
      <c r="D12" t="e" vm="10">
        <v>#VALUE!</v>
      </c>
      <c r="E12" s="4" t="str" cm="1">
        <f t="array" aca="1" ref="E12" ca="1">+_FV(D12,"Símbolo do ticker",TRUE)</f>
        <v>ELE</v>
      </c>
      <c r="F12" s="4" t="str" cm="1">
        <f t="array" aca="1" ref="F12" ca="1">+_FV(D12,"Setor")</f>
        <v>Electrical Utilities &amp; IPPs</v>
      </c>
      <c r="G12" s="11">
        <v>46057</v>
      </c>
      <c r="H12" s="4">
        <v>31.35</v>
      </c>
      <c r="I12" s="7" cm="1">
        <f t="array" aca="1" ref="I12" ca="1">+_FV(D12,"Preço")</f>
        <v>31.74</v>
      </c>
      <c r="J12" s="8">
        <f t="shared" ca="1" si="0"/>
        <v>1.2440191387559807E-2</v>
      </c>
      <c r="K12" s="4" t="s">
        <v>365</v>
      </c>
      <c r="L12" s="4" t="s">
        <v>366</v>
      </c>
      <c r="M12" s="4" t="s">
        <v>27</v>
      </c>
      <c r="N12" s="4" t="s">
        <v>367</v>
      </c>
      <c r="O12" s="4" t="s">
        <v>336</v>
      </c>
    </row>
    <row r="13" spans="1:15" x14ac:dyDescent="0.2">
      <c r="C13" t="s">
        <v>368</v>
      </c>
      <c r="D13" t="e" vm="11">
        <v>#VALUE!</v>
      </c>
      <c r="E13" s="4" t="str" cm="1">
        <f t="array" aca="1" ref="E13" ca="1">+_FV(D13,"Símbolo do ticker",TRUE)</f>
        <v>NTGY</v>
      </c>
      <c r="F13" s="4" t="str" cm="1">
        <f t="array" aca="1" ref="F13" ca="1">+_FV(D13,"Setor")</f>
        <v>Natural Gas Utilities</v>
      </c>
      <c r="G13" s="11">
        <v>46057</v>
      </c>
      <c r="H13" s="4">
        <v>26.64</v>
      </c>
      <c r="I13" s="7" cm="1">
        <f t="array" aca="1" ref="I13" ca="1">+_FV(D13,"Preço")</f>
        <v>26.48</v>
      </c>
      <c r="J13" s="8">
        <f t="shared" ca="1" si="0"/>
        <v>-6.0060060060059817E-3</v>
      </c>
      <c r="K13" s="4" t="s">
        <v>28</v>
      </c>
      <c r="L13" s="4" t="s">
        <v>369</v>
      </c>
      <c r="M13" s="4" t="s">
        <v>29</v>
      </c>
      <c r="N13" s="4" t="s">
        <v>370</v>
      </c>
      <c r="O13" s="4" t="s">
        <v>371</v>
      </c>
    </row>
    <row r="14" spans="1:15" x14ac:dyDescent="0.2">
      <c r="C14" t="s">
        <v>1074</v>
      </c>
      <c r="D14" t="e" vm="12">
        <v>#VALUE!</v>
      </c>
      <c r="E14" s="4" t="str" cm="1">
        <f t="array" aca="1" ref="E14" ca="1">+_FV(D14,"Símbolo do ticker",TRUE)</f>
        <v>ACS</v>
      </c>
      <c r="F14" s="4" t="str" cm="1">
        <f t="array" aca="1" ref="F14" ca="1">+_FV(D14,"Setor")</f>
        <v>Construction &amp; Engineering</v>
      </c>
      <c r="G14" s="11">
        <v>46057</v>
      </c>
      <c r="H14" s="4">
        <v>93.45</v>
      </c>
      <c r="I14" s="7" cm="1">
        <f t="array" aca="1" ref="I14" ca="1">+_FV(D14,"Preço")</f>
        <v>96.9</v>
      </c>
      <c r="J14" s="8">
        <f t="shared" ca="1" si="0"/>
        <v>3.6918138041733606E-2</v>
      </c>
      <c r="K14" s="4" t="s">
        <v>372</v>
      </c>
      <c r="L14" s="4" t="s">
        <v>373</v>
      </c>
      <c r="M14" s="4" t="s">
        <v>31</v>
      </c>
      <c r="N14" s="4" t="s">
        <v>374</v>
      </c>
      <c r="O14" s="4" t="s">
        <v>375</v>
      </c>
    </row>
    <row r="15" spans="1:15" s="1" customFormat="1" ht="15" x14ac:dyDescent="0.25">
      <c r="A15" s="1">
        <v>9</v>
      </c>
      <c r="B15" s="1" t="s">
        <v>312</v>
      </c>
      <c r="C15" s="1" t="s">
        <v>376</v>
      </c>
      <c r="D15" s="1" t="e" vm="13">
        <v>#VALUE!</v>
      </c>
      <c r="E15" s="3" t="str" cm="1">
        <f t="array" aca="1" ref="E15" ca="1">+_FV(D15,"Símbolo do ticker",TRUE)</f>
        <v>AMS</v>
      </c>
      <c r="F15" s="3" t="str" cm="1">
        <f t="array" aca="1" ref="F15" ca="1">+_FV(D15,"Setor")</f>
        <v>Software &amp; IT Services</v>
      </c>
      <c r="G15" s="10">
        <v>46057</v>
      </c>
      <c r="H15" s="3">
        <v>53.5</v>
      </c>
      <c r="I15" s="5" cm="1">
        <f t="array" aca="1" ref="I15" ca="1">+_FV(D15,"Preço")</f>
        <v>52.14</v>
      </c>
      <c r="J15" s="6">
        <f t="shared" ca="1" si="0"/>
        <v>-2.5420560747663523E-2</v>
      </c>
      <c r="K15" s="3" t="s">
        <v>377</v>
      </c>
      <c r="L15" s="3" t="s">
        <v>378</v>
      </c>
      <c r="M15" s="3" t="s">
        <v>30</v>
      </c>
      <c r="N15" s="3" t="s">
        <v>379</v>
      </c>
      <c r="O15" s="3" t="s">
        <v>380</v>
      </c>
    </row>
    <row r="16" spans="1:15" s="1" customFormat="1" ht="15" x14ac:dyDescent="0.25">
      <c r="A16" s="1">
        <v>9</v>
      </c>
      <c r="B16" s="1" t="s">
        <v>1061</v>
      </c>
      <c r="C16" s="1" t="s">
        <v>381</v>
      </c>
      <c r="D16" s="1" t="e" vm="14">
        <v>#VALUE!</v>
      </c>
      <c r="E16" s="3" t="str" cm="1">
        <f t="array" aca="1" ref="E16" ca="1">+_FV(D16,"Símbolo do ticker",TRUE)</f>
        <v>IAG</v>
      </c>
      <c r="F16" s="3" t="str" cm="1">
        <f t="array" aca="1" ref="F16" ca="1">+_FV(D16,"Setor")</f>
        <v>Passenger Transportation Services</v>
      </c>
      <c r="G16" s="10">
        <v>46057</v>
      </c>
      <c r="H16" s="3">
        <v>4.9980000000000002</v>
      </c>
      <c r="I16" s="5" cm="1">
        <f t="array" aca="1" ref="I16" ca="1">+_FV(D16,"Preço")</f>
        <v>5.0419999999999998</v>
      </c>
      <c r="J16" s="6">
        <f t="shared" ca="1" si="0"/>
        <v>8.8035214085633307E-3</v>
      </c>
      <c r="K16" s="3" t="s">
        <v>382</v>
      </c>
      <c r="L16" s="3" t="s">
        <v>383</v>
      </c>
      <c r="M16" s="3" t="s">
        <v>384</v>
      </c>
      <c r="N16" s="3" t="s">
        <v>385</v>
      </c>
      <c r="O16" s="3" t="s">
        <v>386</v>
      </c>
    </row>
    <row r="17" spans="1:15" x14ac:dyDescent="0.2">
      <c r="C17" t="s">
        <v>387</v>
      </c>
      <c r="D17" t="e" vm="15">
        <v>#VALUE!</v>
      </c>
      <c r="E17" s="4" t="str" cm="1">
        <f t="array" aca="1" ref="E17" ca="1">+_FV(D17,"Símbolo do ticker",TRUE)</f>
        <v>TEF</v>
      </c>
      <c r="F17" s="4" t="str" cm="1">
        <f t="array" aca="1" ref="F17" ca="1">+_FV(D17,"Setor")</f>
        <v>Telecommunications Services</v>
      </c>
      <c r="G17" s="11">
        <v>46057</v>
      </c>
      <c r="H17" s="4">
        <v>3.6589999999999998</v>
      </c>
      <c r="I17" s="7" cm="1">
        <f t="array" aca="1" ref="I17" ca="1">+_FV(D17,"Preço")</f>
        <v>3.6190000000000002</v>
      </c>
      <c r="J17" s="8">
        <f t="shared" ca="1" si="0"/>
        <v>-1.093194861984137E-2</v>
      </c>
      <c r="K17" s="4" t="s">
        <v>388</v>
      </c>
      <c r="L17" s="4" t="s">
        <v>389</v>
      </c>
      <c r="M17" s="4" t="s">
        <v>32</v>
      </c>
      <c r="N17" s="4" t="s">
        <v>390</v>
      </c>
      <c r="O17" s="4" t="s">
        <v>391</v>
      </c>
    </row>
    <row r="18" spans="1:15" x14ac:dyDescent="0.2">
      <c r="C18" t="s">
        <v>392</v>
      </c>
      <c r="D18" t="e" vm="16">
        <v>#VALUE!</v>
      </c>
      <c r="E18" s="4" t="str" cm="1">
        <f t="array" aca="1" ref="E18" ca="1">+_FV(D18,"Símbolo do ticker",TRUE)</f>
        <v>REP</v>
      </c>
      <c r="F18" s="4" t="str" cm="1">
        <f t="array" aca="1" ref="F18" ca="1">+_FV(D18,"Setor")</f>
        <v>Oil &amp; Gas</v>
      </c>
      <c r="G18" s="11">
        <v>46057</v>
      </c>
      <c r="H18" s="4">
        <v>16.504999999999999</v>
      </c>
      <c r="I18" s="7" cm="1">
        <f t="array" aca="1" ref="I18" ca="1">+_FV(D18,"Preço")</f>
        <v>16.795000000000002</v>
      </c>
      <c r="J18" s="8">
        <f t="shared" ca="1" si="0"/>
        <v>1.7570433202060087E-2</v>
      </c>
      <c r="K18" s="4" t="s">
        <v>393</v>
      </c>
      <c r="L18" s="4" t="s">
        <v>394</v>
      </c>
      <c r="M18" s="4" t="s">
        <v>33</v>
      </c>
      <c r="N18" s="4" t="s">
        <v>395</v>
      </c>
      <c r="O18" s="4" t="s">
        <v>396</v>
      </c>
    </row>
    <row r="19" spans="1:15" s="1" customFormat="1" ht="15" x14ac:dyDescent="0.25">
      <c r="A19" s="1">
        <v>6</v>
      </c>
      <c r="B19" s="1" t="s">
        <v>311</v>
      </c>
      <c r="C19" s="1" t="s">
        <v>397</v>
      </c>
      <c r="D19" s="1" t="e" vm="17">
        <v>#VALUE!</v>
      </c>
      <c r="E19" s="3" t="str" cm="1">
        <f t="array" aca="1" ref="E19" ca="1">+_FV(D19,"Símbolo do ticker",TRUE)</f>
        <v>CLNX</v>
      </c>
      <c r="F19" s="3" t="str" cm="1">
        <f t="array" aca="1" ref="F19" ca="1">+_FV(D19,"Setor")</f>
        <v>Telecommunications Services</v>
      </c>
      <c r="G19" s="10">
        <v>46057</v>
      </c>
      <c r="H19" s="3">
        <v>27.73</v>
      </c>
      <c r="I19" s="5" cm="1">
        <f t="array" aca="1" ref="I19" ca="1">+_FV(D19,"Preço")</f>
        <v>27.44</v>
      </c>
      <c r="J19" s="6">
        <f t="shared" ca="1" si="0"/>
        <v>-1.0457987738910934E-2</v>
      </c>
      <c r="K19" s="3" t="s">
        <v>398</v>
      </c>
      <c r="L19" s="3" t="s">
        <v>399</v>
      </c>
      <c r="M19" s="3" t="s">
        <v>57</v>
      </c>
      <c r="N19" s="3" t="s">
        <v>400</v>
      </c>
      <c r="O19" s="3" t="s">
        <v>401</v>
      </c>
    </row>
    <row r="20" spans="1:15" x14ac:dyDescent="0.2">
      <c r="C20" t="s">
        <v>402</v>
      </c>
      <c r="D20" t="e" vm="18">
        <v>#VALUE!</v>
      </c>
      <c r="E20" s="4" t="str" cm="1">
        <f t="array" aca="1" ref="E20" ca="1">+_FV(D20,"Símbolo do ticker",TRUE)</f>
        <v>SAB</v>
      </c>
      <c r="F20" s="4" t="str" cm="1">
        <f t="array" aca="1" ref="F20" ca="1">+_FV(D20,"Setor")</f>
        <v>Banking Services</v>
      </c>
      <c r="G20" s="11">
        <v>46057</v>
      </c>
      <c r="H20" s="4">
        <v>3.3919999999999999</v>
      </c>
      <c r="I20" s="7" cm="1">
        <f t="array" aca="1" ref="I20" ca="1">+_FV(D20,"Preço")</f>
        <v>3.11</v>
      </c>
      <c r="J20" s="8">
        <f t="shared" ca="1" si="0"/>
        <v>-8.3136792452830233E-2</v>
      </c>
      <c r="K20" s="4" t="s">
        <v>403</v>
      </c>
      <c r="L20" s="4" t="s">
        <v>34</v>
      </c>
      <c r="M20" s="4" t="s">
        <v>25</v>
      </c>
      <c r="N20" s="4" t="s">
        <v>404</v>
      </c>
      <c r="O20" s="4" t="s">
        <v>336</v>
      </c>
    </row>
    <row r="21" spans="1:15" x14ac:dyDescent="0.2">
      <c r="C21" t="s">
        <v>405</v>
      </c>
      <c r="D21" t="e" vm="19">
        <v>#VALUE!</v>
      </c>
      <c r="E21" s="4" t="str" cm="1">
        <f t="array" aca="1" ref="E21" ca="1">+_FV(D21,"Símbolo do ticker",TRUE)</f>
        <v>BKT</v>
      </c>
      <c r="F21" s="4" t="str" cm="1">
        <f t="array" aca="1" ref="F21" ca="1">+_FV(D21,"Setor")</f>
        <v>Banking Services</v>
      </c>
      <c r="G21" s="11">
        <v>46057</v>
      </c>
      <c r="H21" s="4">
        <v>14.79</v>
      </c>
      <c r="I21" s="7" cm="1">
        <f t="array" aca="1" ref="I21" ca="1">+_FV(D21,"Preço")</f>
        <v>14.414999999999999</v>
      </c>
      <c r="J21" s="8">
        <f t="shared" ca="1" si="0"/>
        <v>-2.535496957403649E-2</v>
      </c>
      <c r="K21" s="4" t="s">
        <v>406</v>
      </c>
      <c r="L21" s="4" t="s">
        <v>407</v>
      </c>
      <c r="M21" s="4" t="s">
        <v>35</v>
      </c>
      <c r="N21" s="4"/>
      <c r="O21" s="4" t="s">
        <v>408</v>
      </c>
    </row>
    <row r="22" spans="1:15" x14ac:dyDescent="0.2">
      <c r="C22" t="s">
        <v>409</v>
      </c>
      <c r="D22" t="e" vm="20">
        <v>#VALUE!</v>
      </c>
      <c r="E22" s="4" t="str" cm="1">
        <f t="array" aca="1" ref="E22" ca="1">+_FV(D22,"Símbolo do ticker",TRUE)</f>
        <v>MAP</v>
      </c>
      <c r="F22" s="4" t="str" cm="1">
        <f t="array" aca="1" ref="F22" ca="1">+_FV(D22,"Setor")</f>
        <v>Insurance</v>
      </c>
      <c r="G22" s="11">
        <v>46057</v>
      </c>
      <c r="H22" s="4">
        <v>3.93</v>
      </c>
      <c r="I22" s="7" cm="1">
        <f t="array" aca="1" ref="I22" ca="1">+_FV(D22,"Preço")</f>
        <v>3.9620000000000002</v>
      </c>
      <c r="J22" s="8">
        <f t="shared" ca="1" si="0"/>
        <v>8.1424936386769176E-3</v>
      </c>
      <c r="K22" s="4" t="s">
        <v>410</v>
      </c>
      <c r="L22" s="4" t="s">
        <v>411</v>
      </c>
      <c r="M22" s="4" t="s">
        <v>36</v>
      </c>
      <c r="N22" s="4" t="s">
        <v>412</v>
      </c>
      <c r="O22" s="4" t="s">
        <v>413</v>
      </c>
    </row>
    <row r="23" spans="1:15" s="1" customFormat="1" ht="15" x14ac:dyDescent="0.25">
      <c r="A23" s="1">
        <v>5</v>
      </c>
      <c r="B23" s="1" t="s">
        <v>1062</v>
      </c>
      <c r="C23" s="1" t="s">
        <v>414</v>
      </c>
      <c r="D23" s="1" t="e" vm="21">
        <v>#VALUE!</v>
      </c>
      <c r="E23" s="3" t="str" cm="1">
        <f t="array" aca="1" ref="E23" ca="1">+_FV(D23,"Símbolo do ticker",TRUE)</f>
        <v>ANA</v>
      </c>
      <c r="F23" s="3" t="str" cm="1">
        <f t="array" aca="1" ref="F23" ca="1">+_FV(D23,"Setor")</f>
        <v>Construction &amp; Engineering</v>
      </c>
      <c r="G23" s="10">
        <v>46057</v>
      </c>
      <c r="H23" s="3">
        <v>182.3</v>
      </c>
      <c r="I23" s="5" cm="1">
        <f t="array" aca="1" ref="I23" ca="1">+_FV(D23,"Preço")</f>
        <v>184.6</v>
      </c>
      <c r="J23" s="6">
        <f t="shared" ca="1" si="0"/>
        <v>1.2616566099835413E-2</v>
      </c>
      <c r="K23" s="3" t="s">
        <v>415</v>
      </c>
      <c r="L23" s="3" t="s">
        <v>416</v>
      </c>
      <c r="M23" s="3" t="s">
        <v>37</v>
      </c>
      <c r="N23" s="3" t="s">
        <v>417</v>
      </c>
      <c r="O23" s="3" t="s">
        <v>418</v>
      </c>
    </row>
    <row r="24" spans="1:15" ht="15" x14ac:dyDescent="0.25">
      <c r="A24" s="1">
        <v>9</v>
      </c>
      <c r="B24" s="1" t="s">
        <v>1063</v>
      </c>
      <c r="C24" t="s">
        <v>419</v>
      </c>
      <c r="D24" t="e" vm="22">
        <v>#VALUE!</v>
      </c>
      <c r="E24" s="4" t="str" cm="1">
        <f t="array" aca="1" ref="E24" ca="1">+_FV(D24,"Símbolo do ticker",TRUE)</f>
        <v>PUIG</v>
      </c>
      <c r="F24" s="4" t="str" cm="1">
        <f t="array" aca="1" ref="F24" ca="1">+_FV(D24,"Setor")</f>
        <v>Specialty Retailers</v>
      </c>
      <c r="G24" s="11">
        <v>46057</v>
      </c>
      <c r="H24" s="4">
        <v>17.309999999999999</v>
      </c>
      <c r="I24" s="7" cm="1">
        <f t="array" aca="1" ref="I24" ca="1">+_FV(D24,"Preço")</f>
        <v>16.55</v>
      </c>
      <c r="J24" s="8">
        <f t="shared" ca="1" si="0"/>
        <v>-4.3905257076834125E-2</v>
      </c>
      <c r="K24" s="4" t="s">
        <v>420</v>
      </c>
      <c r="L24" s="4" t="s">
        <v>421</v>
      </c>
      <c r="M24" s="4" t="s">
        <v>116</v>
      </c>
      <c r="N24" s="4" t="s">
        <v>422</v>
      </c>
      <c r="O24" s="4" t="s">
        <v>423</v>
      </c>
    </row>
    <row r="25" spans="1:15" x14ac:dyDescent="0.2">
      <c r="C25" t="s">
        <v>424</v>
      </c>
      <c r="D25" t="e" vm="23">
        <v>#VALUE!</v>
      </c>
      <c r="E25" s="4" t="str" cm="1">
        <f t="array" aca="1" ref="E25" ca="1">+_FV(D25,"Símbolo do ticker",TRUE)</f>
        <v>IDR</v>
      </c>
      <c r="F25" s="4" t="str" cm="1">
        <f t="array" aca="1" ref="F25" ca="1">+_FV(D25,"Setor")</f>
        <v>Software &amp; IT Services</v>
      </c>
      <c r="G25" s="11">
        <v>46057</v>
      </c>
      <c r="H25" s="4">
        <v>46.8</v>
      </c>
      <c r="I25" s="7" cm="1">
        <f t="array" aca="1" ref="I25" ca="1">+_FV(D25,"Preço")</f>
        <v>49.12</v>
      </c>
      <c r="J25" s="8">
        <f t="shared" ca="1" si="0"/>
        <v>4.9572649572649619E-2</v>
      </c>
      <c r="K25" s="4" t="s">
        <v>425</v>
      </c>
      <c r="L25" s="4" t="s">
        <v>426</v>
      </c>
      <c r="M25" s="4" t="s">
        <v>38</v>
      </c>
      <c r="N25" s="4" t="s">
        <v>427</v>
      </c>
      <c r="O25" s="4" t="s">
        <v>336</v>
      </c>
    </row>
    <row r="26" spans="1:15" x14ac:dyDescent="0.2">
      <c r="C26" t="s">
        <v>428</v>
      </c>
      <c r="D26" t="e" vm="24">
        <v>#VALUE!</v>
      </c>
      <c r="E26" s="4" t="str" cm="1">
        <f t="array" aca="1" ref="E26" ca="1">+_FV(D26,"Símbolo do ticker",TRUE)</f>
        <v>RED</v>
      </c>
      <c r="F26" s="4" t="str" cm="1">
        <f t="array" aca="1" ref="F26" ca="1">+_FV(D26,"Setor")</f>
        <v>Electrical Utilities &amp; IPPs</v>
      </c>
      <c r="G26" s="11">
        <v>46057</v>
      </c>
      <c r="H26" s="4">
        <v>14.99</v>
      </c>
      <c r="I26" s="7" cm="1">
        <f t="array" aca="1" ref="I26" ca="1">+_FV(D26,"Preço")</f>
        <v>15.2</v>
      </c>
      <c r="J26" s="8">
        <f t="shared" ca="1" si="0"/>
        <v>1.4009339559706513E-2</v>
      </c>
      <c r="K26" s="4" t="s">
        <v>39</v>
      </c>
      <c r="L26" s="4" t="s">
        <v>429</v>
      </c>
      <c r="M26" s="4" t="s">
        <v>40</v>
      </c>
      <c r="N26" s="4" t="s">
        <v>430</v>
      </c>
      <c r="O26" s="4" t="s">
        <v>371</v>
      </c>
    </row>
    <row r="27" spans="1:15" x14ac:dyDescent="0.2">
      <c r="C27" t="s">
        <v>431</v>
      </c>
      <c r="D27" t="e" vm="25">
        <v>#VALUE!</v>
      </c>
      <c r="E27" s="4" t="str" cm="1">
        <f t="array" aca="1" ref="E27" ca="1">+_FV(D27,"Símbolo do ticker",TRUE)</f>
        <v>UNI</v>
      </c>
      <c r="F27" s="4" t="str" cm="1">
        <f t="array" aca="1" ref="F27" ca="1">+_FV(D27,"Setor")</f>
        <v>Banking Services</v>
      </c>
      <c r="G27" s="11">
        <v>46057</v>
      </c>
      <c r="H27" s="4">
        <v>2.8159999999999998</v>
      </c>
      <c r="I27" s="7" cm="1">
        <f t="array" aca="1" ref="I27" ca="1">+_FV(D27,"Preço")</f>
        <v>2.7519999999999998</v>
      </c>
      <c r="J27" s="8">
        <f t="shared" ca="1" si="0"/>
        <v>-2.2727272727272707E-2</v>
      </c>
      <c r="K27" s="4" t="s">
        <v>432</v>
      </c>
      <c r="L27" s="4" t="s">
        <v>433</v>
      </c>
      <c r="M27" s="4" t="s">
        <v>117</v>
      </c>
      <c r="N27" s="4" t="s">
        <v>434</v>
      </c>
      <c r="O27" s="4" t="s">
        <v>435</v>
      </c>
    </row>
    <row r="28" spans="1:15" x14ac:dyDescent="0.2">
      <c r="C28" t="s">
        <v>436</v>
      </c>
      <c r="D28" t="e" vm="26">
        <v>#VALUE!</v>
      </c>
      <c r="E28" s="4" t="str" cm="1">
        <f t="array" aca="1" ref="E28" ca="1">+_FV(D28,"Símbolo do ticker",TRUE)</f>
        <v>MRL</v>
      </c>
      <c r="F28" s="4" t="str" cm="1">
        <f t="array" aca="1" ref="F28" ca="1">+_FV(D28,"Setor")</f>
        <v>Residential &amp; Commercial REIT</v>
      </c>
      <c r="G28" s="11">
        <v>46057</v>
      </c>
      <c r="H28" s="4">
        <v>12.84</v>
      </c>
      <c r="I28" s="7" cm="1">
        <f t="array" aca="1" ref="I28" ca="1">+_FV(D28,"Preço")</f>
        <v>12.98</v>
      </c>
      <c r="J28" s="8">
        <f t="shared" ca="1" si="0"/>
        <v>1.0903426791277315E-2</v>
      </c>
      <c r="K28" s="4" t="s">
        <v>437</v>
      </c>
      <c r="L28" s="4" t="s">
        <v>438</v>
      </c>
      <c r="M28" s="4" t="s">
        <v>118</v>
      </c>
      <c r="N28" s="4" t="s">
        <v>439</v>
      </c>
      <c r="O28" s="4" t="s">
        <v>321</v>
      </c>
    </row>
    <row r="29" spans="1:15" x14ac:dyDescent="0.2">
      <c r="C29" t="s">
        <v>440</v>
      </c>
      <c r="D29" t="e" vm="27">
        <v>#VALUE!</v>
      </c>
      <c r="E29" s="4" t="str" cm="1">
        <f t="array" aca="1" ref="E29" ca="1">+_FV(D29,"Símbolo do ticker",TRUE)</f>
        <v>ANE</v>
      </c>
      <c r="F29" s="4" t="str" cm="1">
        <f t="array" aca="1" ref="F29" ca="1">+_FV(D29,"Setor")</f>
        <v>Electrical Utilities &amp; IPPs</v>
      </c>
      <c r="G29" s="11">
        <v>46057</v>
      </c>
      <c r="H29" s="4">
        <v>21.36</v>
      </c>
      <c r="I29" s="7" cm="1">
        <f t="array" aca="1" ref="I29" ca="1">+_FV(D29,"Preço")</f>
        <v>21.28</v>
      </c>
      <c r="J29" s="8">
        <f t="shared" ca="1" si="0"/>
        <v>-3.7453183520598232E-3</v>
      </c>
      <c r="K29" s="4" t="s">
        <v>441</v>
      </c>
      <c r="L29" s="4" t="s">
        <v>442</v>
      </c>
      <c r="M29" s="4" t="s">
        <v>119</v>
      </c>
      <c r="N29" s="4" t="s">
        <v>443</v>
      </c>
      <c r="O29" s="4" t="s">
        <v>444</v>
      </c>
    </row>
    <row r="30" spans="1:15" x14ac:dyDescent="0.2">
      <c r="C30" t="s">
        <v>13</v>
      </c>
      <c r="D30" t="e" vm="28">
        <v>#VALUE!</v>
      </c>
      <c r="E30" s="4" t="str" cm="1">
        <f t="array" aca="1" ref="E30" ca="1">+_FV(D30,"Símbolo do ticker",TRUE)</f>
        <v>GRF.P</v>
      </c>
      <c r="F30" s="4" t="str" cm="1">
        <f t="array" aca="1" ref="F30" ca="1">+_FV(D30,"Setor")</f>
        <v>Pharmaceuticals</v>
      </c>
      <c r="G30" s="11">
        <v>46057</v>
      </c>
      <c r="H30" s="4">
        <v>8.07</v>
      </c>
      <c r="I30" s="7" cm="1">
        <f t="array" aca="1" ref="I30" ca="1">+_FV(D30,"Preço")</f>
        <v>7.8550000000000004</v>
      </c>
      <c r="J30" s="8">
        <f t="shared" ca="1" si="0"/>
        <v>-2.6641883519206933E-2</v>
      </c>
      <c r="K30" s="4" t="s">
        <v>445</v>
      </c>
      <c r="L30" s="4" t="s">
        <v>446</v>
      </c>
      <c r="M30" s="4" t="s">
        <v>41</v>
      </c>
      <c r="N30" s="4" t="s">
        <v>447</v>
      </c>
      <c r="O30" s="4" t="s">
        <v>448</v>
      </c>
    </row>
    <row r="31" spans="1:15" x14ac:dyDescent="0.2">
      <c r="C31" t="s">
        <v>449</v>
      </c>
      <c r="D31" t="e" vm="29">
        <v>#VALUE!</v>
      </c>
      <c r="E31" s="4" t="str" cm="1">
        <f t="array" aca="1" ref="E31" ca="1">+_FV(D31,"Símbolo do ticker",TRUE)</f>
        <v>GRF</v>
      </c>
      <c r="F31" s="4" t="str" cm="1">
        <f t="array" aca="1" ref="F31" ca="1">+_FV(D31,"Setor")</f>
        <v>Pharmaceuticals</v>
      </c>
      <c r="G31" s="11">
        <v>46057</v>
      </c>
      <c r="H31" s="4">
        <v>11.045</v>
      </c>
      <c r="I31" s="7" cm="1">
        <f t="array" aca="1" ref="I31" ca="1">+_FV(D31,"Preço")</f>
        <v>10.87</v>
      </c>
      <c r="J31" s="8">
        <f t="shared" ca="1" si="0"/>
        <v>-1.5844273426890099E-2</v>
      </c>
      <c r="K31" s="4" t="s">
        <v>115</v>
      </c>
      <c r="L31" s="4" t="s">
        <v>446</v>
      </c>
      <c r="M31" s="4" t="s">
        <v>41</v>
      </c>
      <c r="N31" s="4" t="s">
        <v>447</v>
      </c>
      <c r="O31" s="4" t="s">
        <v>448</v>
      </c>
    </row>
    <row r="32" spans="1:15" x14ac:dyDescent="0.2">
      <c r="C32" t="s">
        <v>450</v>
      </c>
      <c r="D32" t="e" vm="30">
        <v>#VALUE!</v>
      </c>
      <c r="E32" s="4" t="str" cm="1">
        <f t="array" aca="1" ref="E32" ca="1">+_FV(D32,"Símbolo do ticker",TRUE)</f>
        <v>FCC</v>
      </c>
      <c r="F32" s="4" t="str" cm="1">
        <f t="array" aca="1" ref="F32" ca="1">+_FV(D32,"Setor")</f>
        <v>Professional &amp; Commercial Services</v>
      </c>
      <c r="G32" s="11">
        <v>46057</v>
      </c>
      <c r="H32" s="4">
        <v>11.3</v>
      </c>
      <c r="I32" s="7" cm="1">
        <f t="array" aca="1" ref="I32" ca="1">+_FV(D32,"Preço")</f>
        <v>11.38</v>
      </c>
      <c r="J32" s="8">
        <f t="shared" ca="1" si="0"/>
        <v>7.0796460176991705E-3</v>
      </c>
      <c r="K32" s="4" t="s">
        <v>451</v>
      </c>
      <c r="L32" s="4" t="s">
        <v>452</v>
      </c>
      <c r="M32" s="4" t="s">
        <v>42</v>
      </c>
      <c r="N32" s="4" t="s">
        <v>453</v>
      </c>
      <c r="O32" s="4" t="s">
        <v>454</v>
      </c>
    </row>
    <row r="33" spans="1:15" x14ac:dyDescent="0.2">
      <c r="C33" t="s">
        <v>455</v>
      </c>
      <c r="D33" t="e" vm="31">
        <v>#VALUE!</v>
      </c>
      <c r="E33" s="4" t="str" cm="1">
        <f t="array" aca="1" ref="E33" ca="1">+_FV(D33,"Símbolo do ticker",TRUE)</f>
        <v>FDR</v>
      </c>
      <c r="F33" s="4" t="str" cm="1">
        <f t="array" aca="1" ref="F33" ca="1">+_FV(D33,"Setor")</f>
        <v>Leisure Products</v>
      </c>
      <c r="G33" s="11">
        <v>46057</v>
      </c>
      <c r="H33" s="4">
        <v>25.12</v>
      </c>
      <c r="I33" s="7" cm="1">
        <f t="array" aca="1" ref="I33" ca="1">+_FV(D33,"Preço")</f>
        <v>25.16</v>
      </c>
      <c r="J33" s="8">
        <f t="shared" ca="1" si="0"/>
        <v>1.5923566878981443E-3</v>
      </c>
      <c r="K33" s="4" t="s">
        <v>456</v>
      </c>
      <c r="L33" s="4" t="s">
        <v>457</v>
      </c>
      <c r="M33" s="4" t="s">
        <v>43</v>
      </c>
      <c r="N33" s="4" t="s">
        <v>458</v>
      </c>
      <c r="O33" s="4" t="s">
        <v>337</v>
      </c>
    </row>
    <row r="34" spans="1:15" s="1" customFormat="1" ht="15" x14ac:dyDescent="0.25">
      <c r="A34" s="1">
        <v>8</v>
      </c>
      <c r="B34" s="1" t="s">
        <v>1064</v>
      </c>
      <c r="C34" s="1" t="s">
        <v>459</v>
      </c>
      <c r="D34" s="1" t="e" vm="32">
        <v>#VALUE!</v>
      </c>
      <c r="E34" s="3" t="str" cm="1">
        <f t="array" aca="1" ref="E34" ca="1">+_FV(D34,"Símbolo do ticker",TRUE)</f>
        <v>LOG</v>
      </c>
      <c r="F34" s="3" t="str" cm="1">
        <f t="array" aca="1" ref="F34" ca="1">+_FV(D34,"Setor")</f>
        <v>Freight &amp; Logistics Services</v>
      </c>
      <c r="G34" s="10">
        <v>46057</v>
      </c>
      <c r="H34" s="3">
        <v>31.76</v>
      </c>
      <c r="I34" s="5" cm="1">
        <f t="array" aca="1" ref="I34" ca="1">+_FV(D34,"Preço")</f>
        <v>33.520000000000003</v>
      </c>
      <c r="J34" s="6">
        <f t="shared" ca="1" si="0"/>
        <v>5.5415617128463435E-2</v>
      </c>
      <c r="K34" s="3" t="s">
        <v>460</v>
      </c>
      <c r="L34" s="3" t="s">
        <v>461</v>
      </c>
      <c r="M34" s="3" t="s">
        <v>122</v>
      </c>
      <c r="N34" s="3" t="s">
        <v>462</v>
      </c>
      <c r="O34" s="3" t="s">
        <v>463</v>
      </c>
    </row>
    <row r="35" spans="1:15" x14ac:dyDescent="0.2">
      <c r="C35" t="s">
        <v>464</v>
      </c>
      <c r="D35" t="e" vm="33">
        <v>#VALUE!</v>
      </c>
      <c r="E35" s="4" t="str" cm="1">
        <f t="array" aca="1" ref="E35" ca="1">+_FV(D35,"Símbolo do ticker",TRUE)</f>
        <v>GGC</v>
      </c>
      <c r="F35" s="4" t="str" cm="1">
        <f t="array" aca="1" ref="F35" ca="1">+_FV(D35,"Setor")</f>
        <v>Residential &amp; Commercial REIT</v>
      </c>
      <c r="G35" s="11">
        <v>46057</v>
      </c>
      <c r="H35" s="4">
        <v>162</v>
      </c>
      <c r="I35" s="7" cm="1">
        <f t="array" aca="1" ref="I35" ca="1">+_FV(D35,"Preço")</f>
        <v>162</v>
      </c>
      <c r="J35" s="8">
        <f t="shared" ca="1" si="0"/>
        <v>0</v>
      </c>
      <c r="K35" s="4">
        <v>115</v>
      </c>
      <c r="L35" s="4" t="s">
        <v>120</v>
      </c>
      <c r="M35" s="4" t="s">
        <v>121</v>
      </c>
      <c r="N35" s="4" t="s">
        <v>465</v>
      </c>
      <c r="O35" s="4" t="s">
        <v>466</v>
      </c>
    </row>
    <row r="36" spans="1:15" x14ac:dyDescent="0.2">
      <c r="C36" t="s">
        <v>5</v>
      </c>
      <c r="D36" t="e" vm="34">
        <v>#VALUE!</v>
      </c>
      <c r="E36" s="4" t="str" cm="1">
        <f t="array" aca="1" ref="E36" ca="1">+_FV(D36,"Símbolo do ticker",TRUE)</f>
        <v>ROVI</v>
      </c>
      <c r="F36" s="4" t="str" cm="1">
        <f t="array" aca="1" ref="F36" ca="1">+_FV(D36,"Setor")</f>
        <v>Pharmaceuticals</v>
      </c>
      <c r="G36" s="11">
        <v>46057</v>
      </c>
      <c r="H36" s="4">
        <v>73.55</v>
      </c>
      <c r="I36" s="7" cm="1">
        <f t="array" aca="1" ref="I36" ca="1">+_FV(D36,"Preço")</f>
        <v>72.849999999999994</v>
      </c>
      <c r="J36" s="8">
        <f t="shared" ca="1" si="0"/>
        <v>-9.517335146159156E-3</v>
      </c>
      <c r="K36" s="4" t="s">
        <v>467</v>
      </c>
      <c r="L36" s="4" t="s">
        <v>468</v>
      </c>
      <c r="M36" s="4" t="s">
        <v>44</v>
      </c>
      <c r="N36" s="4" t="s">
        <v>469</v>
      </c>
      <c r="O36" s="4" t="s">
        <v>470</v>
      </c>
    </row>
    <row r="37" spans="1:15" x14ac:dyDescent="0.2">
      <c r="C37" t="s">
        <v>471</v>
      </c>
      <c r="D37" t="e" vm="35">
        <v>#VALUE!</v>
      </c>
      <c r="E37" s="4" t="str" cm="1">
        <f t="array" aca="1" ref="E37" ca="1">+_FV(D37,"Símbolo do ticker",TRUE)</f>
        <v>ENG</v>
      </c>
      <c r="F37" s="4" t="str" cm="1">
        <f t="array" aca="1" ref="F37" ca="1">+_FV(D37,"Setor")</f>
        <v>Oil &amp; Gas Related Equipment and Services</v>
      </c>
      <c r="G37" s="11">
        <v>46057</v>
      </c>
      <c r="H37" s="4">
        <v>14.28</v>
      </c>
      <c r="I37" s="7" cm="1">
        <f t="array" aca="1" ref="I37" ca="1">+_FV(D37,"Preço")</f>
        <v>14.41</v>
      </c>
      <c r="J37" s="8">
        <f t="shared" ca="1" si="0"/>
        <v>9.1036414565826007E-3</v>
      </c>
      <c r="K37" s="4" t="s">
        <v>472</v>
      </c>
      <c r="L37" s="4" t="s">
        <v>473</v>
      </c>
      <c r="M37" s="4" t="s">
        <v>45</v>
      </c>
      <c r="N37" s="4" t="s">
        <v>474</v>
      </c>
      <c r="O37" s="4" t="s">
        <v>475</v>
      </c>
    </row>
    <row r="38" spans="1:15" x14ac:dyDescent="0.2">
      <c r="C38" t="s">
        <v>476</v>
      </c>
      <c r="D38" t="e" vm="36">
        <v>#VALUE!</v>
      </c>
      <c r="E38" s="4" t="str" cm="1">
        <f t="array" aca="1" ref="E38" ca="1">+_FV(D38,"Símbolo do ticker",TRUE)</f>
        <v>CIE</v>
      </c>
      <c r="F38" s="4" t="str" cm="1">
        <f t="array" aca="1" ref="F38" ca="1">+_FV(D38,"Setor")</f>
        <v>Automobiles &amp; Auto Parts</v>
      </c>
      <c r="G38" s="11">
        <v>46057</v>
      </c>
      <c r="H38" s="4">
        <v>29.1</v>
      </c>
      <c r="I38" s="7" cm="1">
        <f t="array" aca="1" ref="I38" ca="1">+_FV(D38,"Preço")</f>
        <v>29.6</v>
      </c>
      <c r="J38" s="8">
        <f t="shared" ca="1" si="0"/>
        <v>1.7182130584192379E-2</v>
      </c>
      <c r="K38" s="4" t="s">
        <v>477</v>
      </c>
      <c r="L38" s="4" t="s">
        <v>478</v>
      </c>
      <c r="M38" s="4" t="s">
        <v>46</v>
      </c>
      <c r="N38" s="4" t="s">
        <v>479</v>
      </c>
      <c r="O38" s="4" t="s">
        <v>480</v>
      </c>
    </row>
    <row r="39" spans="1:15" x14ac:dyDescent="0.2">
      <c r="C39" t="s">
        <v>4</v>
      </c>
      <c r="D39" t="e" vm="37">
        <v>#VALUE!</v>
      </c>
      <c r="E39" s="4" t="str" cm="1">
        <f t="array" aca="1" ref="E39" ca="1">+_FV(D39,"Símbolo do ticker",TRUE)</f>
        <v>COL</v>
      </c>
      <c r="F39" s="4" t="str" cm="1">
        <f t="array" aca="1" ref="F39" ca="1">+_FV(D39,"Setor")</f>
        <v>Residential &amp; Commercial REIT</v>
      </c>
      <c r="G39" s="11">
        <v>46057</v>
      </c>
      <c r="H39" s="4">
        <v>5.335</v>
      </c>
      <c r="I39" s="7" cm="1">
        <f t="array" aca="1" ref="I39" ca="1">+_FV(D39,"Preço")</f>
        <v>5.3150000000000004</v>
      </c>
      <c r="J39" s="8">
        <f t="shared" ca="1" si="0"/>
        <v>-3.7488284910964786E-3</v>
      </c>
      <c r="K39" s="4" t="s">
        <v>398</v>
      </c>
      <c r="L39" s="4" t="s">
        <v>481</v>
      </c>
      <c r="M39" s="4" t="s">
        <v>47</v>
      </c>
      <c r="N39" s="4" t="s">
        <v>482</v>
      </c>
      <c r="O39" s="4" t="s">
        <v>483</v>
      </c>
    </row>
    <row r="40" spans="1:15" x14ac:dyDescent="0.2">
      <c r="C40" t="s">
        <v>484</v>
      </c>
      <c r="D40" t="e" vm="38">
        <v>#VALUE!</v>
      </c>
      <c r="E40" s="4" t="str" cm="1">
        <f t="array" aca="1" ref="E40" ca="1">+_FV(D40,"Símbolo do ticker",TRUE)</f>
        <v>SCYR</v>
      </c>
      <c r="F40" s="4" t="str" cm="1">
        <f t="array" aca="1" ref="F40" ca="1">+_FV(D40,"Setor")</f>
        <v>Construction &amp; Engineering</v>
      </c>
      <c r="G40" s="11">
        <v>46057</v>
      </c>
      <c r="H40" s="4">
        <v>4.0039999999999996</v>
      </c>
      <c r="I40" s="7" cm="1">
        <f t="array" aca="1" ref="I40" ca="1">+_FV(D40,"Preço")</f>
        <v>4.258</v>
      </c>
      <c r="J40" s="8">
        <f t="shared" ca="1" si="0"/>
        <v>6.3436563436563453E-2</v>
      </c>
      <c r="K40" s="4" t="s">
        <v>485</v>
      </c>
      <c r="L40" s="4" t="s">
        <v>486</v>
      </c>
      <c r="M40" s="4" t="s">
        <v>48</v>
      </c>
      <c r="N40" s="4" t="s">
        <v>356</v>
      </c>
      <c r="O40" s="4" t="s">
        <v>347</v>
      </c>
    </row>
    <row r="41" spans="1:15" x14ac:dyDescent="0.2">
      <c r="C41" t="s">
        <v>487</v>
      </c>
      <c r="D41" t="e" vm="39">
        <v>#VALUE!</v>
      </c>
      <c r="E41" s="4" t="str" cm="1">
        <f t="array" aca="1" ref="E41" ca="1">+_FV(D41,"Símbolo do ticker",TRUE)</f>
        <v>ACX</v>
      </c>
      <c r="F41" s="4" t="str" cm="1">
        <f t="array" aca="1" ref="F41" ca="1">+_FV(D41,"Setor")</f>
        <v>Metals &amp; Mining</v>
      </c>
      <c r="G41" s="11">
        <v>46057</v>
      </c>
      <c r="H41" s="4">
        <v>12.51</v>
      </c>
      <c r="I41" s="7" cm="1">
        <f t="array" aca="1" ref="I41" ca="1">+_FV(D41,"Preço")</f>
        <v>13.31</v>
      </c>
      <c r="J41" s="8">
        <f t="shared" ca="1" si="0"/>
        <v>6.3948840927258166E-2</v>
      </c>
      <c r="K41" s="4" t="s">
        <v>488</v>
      </c>
      <c r="L41" s="4" t="s">
        <v>489</v>
      </c>
      <c r="M41" s="4" t="s">
        <v>49</v>
      </c>
      <c r="N41" s="4" t="s">
        <v>490</v>
      </c>
      <c r="O41" s="4" t="s">
        <v>491</v>
      </c>
    </row>
    <row r="42" spans="1:15" s="1" customFormat="1" ht="15" x14ac:dyDescent="0.25">
      <c r="A42" s="1">
        <v>8</v>
      </c>
      <c r="B42" s="1" t="s">
        <v>310</v>
      </c>
      <c r="C42" s="1" t="s">
        <v>492</v>
      </c>
      <c r="D42" s="1" t="e" vm="40">
        <v>#VALUE!</v>
      </c>
      <c r="E42" s="3" t="str" cm="1">
        <f t="array" aca="1" ref="E42" ca="1">+_FV(D42,"Símbolo do ticker",TRUE)</f>
        <v>VID</v>
      </c>
      <c r="F42" s="3" t="str" cm="1">
        <f t="array" aca="1" ref="F42" ca="1">+_FV(D42,"Setor")</f>
        <v>Containers &amp; Packaging</v>
      </c>
      <c r="G42" s="10">
        <v>46057</v>
      </c>
      <c r="H42" s="3">
        <v>88.3</v>
      </c>
      <c r="I42" s="5" cm="1">
        <f t="array" aca="1" ref="I42" ca="1">+_FV(D42,"Preço")</f>
        <v>86.8</v>
      </c>
      <c r="J42" s="6">
        <f t="shared" ca="1" si="0"/>
        <v>-1.6987542468856143E-2</v>
      </c>
      <c r="K42" s="3" t="s">
        <v>493</v>
      </c>
      <c r="L42" s="3" t="s">
        <v>494</v>
      </c>
      <c r="M42" s="3" t="s">
        <v>50</v>
      </c>
      <c r="N42" s="3" t="s">
        <v>495</v>
      </c>
      <c r="O42" s="3" t="s">
        <v>496</v>
      </c>
    </row>
    <row r="43" spans="1:15" x14ac:dyDescent="0.2">
      <c r="C43" t="s">
        <v>497</v>
      </c>
      <c r="D43" t="e" vm="41">
        <v>#VALUE!</v>
      </c>
      <c r="E43" s="4" t="str" cm="1">
        <f t="array" aca="1" ref="E43" ca="1">+_FV(D43,"Símbolo do ticker",TRUE)</f>
        <v>EBRO</v>
      </c>
      <c r="F43" s="4" t="str" cm="1">
        <f t="array" aca="1" ref="F43" ca="1">+_FV(D43,"Setor")</f>
        <v>Food &amp; Tobacco</v>
      </c>
      <c r="G43" s="11">
        <v>46057</v>
      </c>
      <c r="H43" s="4">
        <v>18.62</v>
      </c>
      <c r="I43" s="7" cm="1">
        <f t="array" aca="1" ref="I43" ca="1">+_FV(D43,"Preço")</f>
        <v>18.66</v>
      </c>
      <c r="J43" s="8">
        <f t="shared" ca="1" si="0"/>
        <v>2.1482277121374072E-3</v>
      </c>
      <c r="K43" s="4" t="s">
        <v>498</v>
      </c>
      <c r="L43" s="4" t="s">
        <v>123</v>
      </c>
      <c r="M43" s="4" t="s">
        <v>51</v>
      </c>
      <c r="N43" s="4"/>
      <c r="O43" s="4" t="s">
        <v>499</v>
      </c>
    </row>
    <row r="44" spans="1:15" x14ac:dyDescent="0.2">
      <c r="C44" t="s">
        <v>500</v>
      </c>
      <c r="D44" t="e" vm="42">
        <v>#VALUE!</v>
      </c>
      <c r="E44" s="4" t="str" cm="1">
        <f t="array" aca="1" ref="E44" ca="1">+_FV(D44,"Símbolo do ticker",TRUE)</f>
        <v>ALM</v>
      </c>
      <c r="F44" s="4" t="str" cm="1">
        <f t="array" aca="1" ref="F44" ca="1">+_FV(D44,"Setor")</f>
        <v>Pharmaceuticals</v>
      </c>
      <c r="G44" s="11">
        <v>46057</v>
      </c>
      <c r="H44" s="4">
        <v>12.94</v>
      </c>
      <c r="I44" s="7" cm="1">
        <f t="array" aca="1" ref="I44" ca="1">+_FV(D44,"Preço")</f>
        <v>12.88</v>
      </c>
      <c r="J44" s="8">
        <f t="shared" ca="1" si="0"/>
        <v>-4.6367851622873824E-3</v>
      </c>
      <c r="K44" s="4" t="s">
        <v>501</v>
      </c>
      <c r="L44" s="4" t="s">
        <v>502</v>
      </c>
      <c r="M44" s="4" t="s">
        <v>52</v>
      </c>
      <c r="N44" s="4" t="s">
        <v>503</v>
      </c>
      <c r="O44" s="4" t="s">
        <v>504</v>
      </c>
    </row>
    <row r="45" spans="1:15" x14ac:dyDescent="0.2">
      <c r="C45" t="s">
        <v>505</v>
      </c>
      <c r="D45" t="e" vm="43">
        <v>#VALUE!</v>
      </c>
      <c r="E45" s="4" t="str" cm="1">
        <f t="array" aca="1" ref="E45" ca="1">+_FV(D45,"Símbolo do ticker",TRUE)</f>
        <v>APAM</v>
      </c>
      <c r="F45" s="4" t="str" cm="1">
        <f t="array" aca="1" ref="F45" ca="1">+_FV(D45,"Setor")</f>
        <v>Metals &amp; Mining</v>
      </c>
      <c r="G45" s="11">
        <v>46057</v>
      </c>
      <c r="H45" s="4">
        <v>35.9</v>
      </c>
      <c r="I45" s="7" cm="1">
        <f t="array" aca="1" ref="I45" ca="1">+_FV(D45,"Preço")</f>
        <v>38</v>
      </c>
      <c r="J45" s="8">
        <f t="shared" ca="1" si="0"/>
        <v>5.8495821727019504E-2</v>
      </c>
      <c r="K45" s="4" t="s">
        <v>53</v>
      </c>
      <c r="L45" s="4" t="s">
        <v>506</v>
      </c>
      <c r="M45" s="4" t="s">
        <v>54</v>
      </c>
      <c r="N45" s="4" t="s">
        <v>507</v>
      </c>
      <c r="O45" s="4" t="s">
        <v>508</v>
      </c>
    </row>
    <row r="46" spans="1:15" x14ac:dyDescent="0.2">
      <c r="C46" t="s">
        <v>509</v>
      </c>
      <c r="D46" t="e" vm="44">
        <v>#VALUE!</v>
      </c>
      <c r="E46" s="4" t="str" cm="1">
        <f t="array" aca="1" ref="E46" ca="1">+_FV(D46,"Símbolo do ticker",TRUE)</f>
        <v>GRE</v>
      </c>
      <c r="F46" s="4" t="str" cm="1">
        <f t="array" aca="1" ref="F46" ca="1">+_FV(D46,"Setor")</f>
        <v>Electrical Utilities &amp; IPPs</v>
      </c>
      <c r="G46" s="11">
        <v>46057</v>
      </c>
      <c r="H46" s="4">
        <v>92.6</v>
      </c>
      <c r="I46" s="7" cm="1">
        <f t="array" aca="1" ref="I46" ca="1">+_FV(D46,"Preço")</f>
        <v>94.3</v>
      </c>
      <c r="J46" s="8">
        <f t="shared" ca="1" si="0"/>
        <v>1.8358531317494542E-2</v>
      </c>
      <c r="K46" s="4" t="s">
        <v>510</v>
      </c>
      <c r="L46" s="4" t="s">
        <v>147</v>
      </c>
      <c r="M46" s="4" t="s">
        <v>124</v>
      </c>
      <c r="N46" s="4" t="s">
        <v>511</v>
      </c>
      <c r="O46" s="4" t="s">
        <v>512</v>
      </c>
    </row>
    <row r="47" spans="1:15" s="1" customFormat="1" ht="15" x14ac:dyDescent="0.25">
      <c r="A47" s="1">
        <v>7</v>
      </c>
      <c r="B47" s="1" t="s">
        <v>313</v>
      </c>
      <c r="C47" s="1" t="s">
        <v>513</v>
      </c>
      <c r="D47" s="1" t="e" vm="45">
        <v>#VALUE!</v>
      </c>
      <c r="E47" s="3" t="str" cm="1">
        <f t="array" aca="1" ref="E47" ca="1">+_FV(D47,"Símbolo do ticker",TRUE)</f>
        <v>VIS</v>
      </c>
      <c r="F47" s="3" t="str" cm="1">
        <f t="array" aca="1" ref="F47" ca="1">+_FV(D47,"Setor")</f>
        <v>Containers &amp; Packaging</v>
      </c>
      <c r="G47" s="10">
        <v>46057</v>
      </c>
      <c r="H47" s="3">
        <v>56.3</v>
      </c>
      <c r="I47" s="5" cm="1">
        <f t="array" aca="1" ref="I47" ca="1">+_FV(D47,"Preço")</f>
        <v>55.7</v>
      </c>
      <c r="J47" s="6">
        <f t="shared" ca="1" si="0"/>
        <v>-1.0657193605683735E-2</v>
      </c>
      <c r="K47" s="3" t="s">
        <v>514</v>
      </c>
      <c r="L47" s="3" t="s">
        <v>515</v>
      </c>
      <c r="M47" s="3" t="s">
        <v>55</v>
      </c>
      <c r="N47" s="3" t="s">
        <v>516</v>
      </c>
      <c r="O47" s="3" t="s">
        <v>517</v>
      </c>
    </row>
    <row r="48" spans="1:15" x14ac:dyDescent="0.2">
      <c r="C48" t="s">
        <v>518</v>
      </c>
      <c r="D48" t="e" vm="46">
        <v>#VALUE!</v>
      </c>
      <c r="E48" s="4" t="str" cm="1">
        <f t="array" aca="1" ref="E48" ca="1">+_FV(D48,"Símbolo do ticker",TRUE)</f>
        <v>CIRSA</v>
      </c>
      <c r="F48" s="4" t="str" cm="1">
        <f t="array" aca="1" ref="F48" ca="1">+_FV(D48,"Setor")</f>
        <v>Hotels &amp; Entertainment Services</v>
      </c>
      <c r="G48" s="11">
        <v>46057</v>
      </c>
      <c r="H48" s="4">
        <v>14.7</v>
      </c>
      <c r="I48" s="7" cm="1">
        <f t="array" aca="1" ref="I48" ca="1">+_FV(D48,"Preço")</f>
        <v>14.7</v>
      </c>
      <c r="J48" s="8">
        <f t="shared" ca="1" si="0"/>
        <v>0</v>
      </c>
      <c r="K48" s="4" t="s">
        <v>519</v>
      </c>
      <c r="L48" s="4" t="s">
        <v>520</v>
      </c>
      <c r="M48" s="4" t="s">
        <v>125</v>
      </c>
      <c r="N48" s="4" t="s">
        <v>521</v>
      </c>
      <c r="O48" s="4"/>
    </row>
    <row r="49" spans="3:15" x14ac:dyDescent="0.2">
      <c r="C49" t="s">
        <v>522</v>
      </c>
      <c r="D49" t="e" vm="47">
        <v>#VALUE!</v>
      </c>
      <c r="E49" s="4" t="str" cm="1">
        <f t="array" aca="1" ref="E49" ca="1">+_FV(D49,"Símbolo do ticker",TRUE)</f>
        <v>TRE</v>
      </c>
      <c r="F49" s="4" t="str" cm="1">
        <f t="array" aca="1" ref="F49" ca="1">+_FV(D49,"Setor")</f>
        <v>Construction &amp; Engineering</v>
      </c>
      <c r="G49" s="11">
        <v>46057</v>
      </c>
      <c r="H49" s="4">
        <v>30.18</v>
      </c>
      <c r="I49" s="7" cm="1">
        <f t="array" aca="1" ref="I49" ca="1">+_FV(D49,"Preço")</f>
        <v>31.1</v>
      </c>
      <c r="J49" s="8">
        <f t="shared" ca="1" si="0"/>
        <v>3.0483764082173792E-2</v>
      </c>
      <c r="K49" s="4" t="s">
        <v>523</v>
      </c>
      <c r="L49" s="4" t="s">
        <v>524</v>
      </c>
      <c r="M49" s="4" t="s">
        <v>56</v>
      </c>
      <c r="N49" s="4" t="s">
        <v>525</v>
      </c>
      <c r="O49" s="4" t="s">
        <v>526</v>
      </c>
    </row>
    <row r="50" spans="3:15" x14ac:dyDescent="0.2">
      <c r="C50" t="s">
        <v>527</v>
      </c>
      <c r="D50" t="e" vm="48">
        <v>#VALUE!</v>
      </c>
      <c r="E50" s="4" t="str" cm="1">
        <f t="array" aca="1" ref="E50" ca="1">+_FV(D50,"Símbolo do ticker",TRUE)</f>
        <v>DIA</v>
      </c>
      <c r="F50" s="4" t="str" cm="1">
        <f t="array" aca="1" ref="F50" ca="1">+_FV(D50,"Setor")</f>
        <v>Food &amp; Drug Retailing</v>
      </c>
      <c r="G50" s="11">
        <v>46057</v>
      </c>
      <c r="H50" s="4">
        <v>38.6</v>
      </c>
      <c r="I50" s="7" cm="1">
        <f t="array" aca="1" ref="I50" ca="1">+_FV(D50,"Preço")</f>
        <v>39.5</v>
      </c>
      <c r="J50" s="8">
        <f t="shared" ca="1" si="0"/>
        <v>2.3316062176165664E-2</v>
      </c>
      <c r="K50" s="4" t="s">
        <v>528</v>
      </c>
      <c r="L50" s="4" t="s">
        <v>43</v>
      </c>
      <c r="M50" s="4" t="s">
        <v>58</v>
      </c>
      <c r="N50" s="4" t="s">
        <v>529</v>
      </c>
      <c r="O50" s="4" t="s">
        <v>530</v>
      </c>
    </row>
    <row r="51" spans="3:15" x14ac:dyDescent="0.2">
      <c r="C51" t="s">
        <v>531</v>
      </c>
      <c r="D51" t="e" vm="49">
        <v>#VALUE!</v>
      </c>
      <c r="E51" s="4" t="str" cm="1">
        <f t="array" aca="1" ref="E51" ca="1">+_FV(D51,"Símbolo do ticker",TRUE)</f>
        <v>ENO</v>
      </c>
      <c r="F51" s="4" t="str" cm="1">
        <f t="array" aca="1" ref="F51" ca="1">+_FV(D51,"Setor")</f>
        <v>Construction &amp; Engineering</v>
      </c>
      <c r="G51" s="11">
        <v>46057</v>
      </c>
      <c r="H51" s="4">
        <v>26.45</v>
      </c>
      <c r="I51" s="7" cm="1">
        <f t="array" aca="1" ref="I51" ca="1">+_FV(D51,"Preço")</f>
        <v>27.1</v>
      </c>
      <c r="J51" s="8">
        <f t="shared" ca="1" si="0"/>
        <v>2.457466918714557E-2</v>
      </c>
      <c r="K51" s="4" t="s">
        <v>532</v>
      </c>
      <c r="L51" s="4" t="s">
        <v>533</v>
      </c>
      <c r="M51" s="4" t="s">
        <v>57</v>
      </c>
      <c r="N51" s="4" t="s">
        <v>534</v>
      </c>
      <c r="O51" s="4" t="s">
        <v>535</v>
      </c>
    </row>
    <row r="52" spans="3:15" x14ac:dyDescent="0.2">
      <c r="C52" t="s">
        <v>6</v>
      </c>
      <c r="D52" t="e" vm="50">
        <v>#VALUE!</v>
      </c>
      <c r="E52" s="4" t="str" cm="1">
        <f t="array" aca="1" ref="E52" ca="1">+_FV(D52,"Símbolo do ticker",TRUE)</f>
        <v>SLR</v>
      </c>
      <c r="F52" s="4" t="str" cm="1">
        <f t="array" aca="1" ref="F52" ca="1">+_FV(D52,"Setor")</f>
        <v>Electrical Utilities &amp; IPPs</v>
      </c>
      <c r="G52" s="11">
        <v>46057</v>
      </c>
      <c r="H52" s="4">
        <v>17.57</v>
      </c>
      <c r="I52" s="7" cm="1">
        <f t="array" aca="1" ref="I52" ca="1">+_FV(D52,"Preço")</f>
        <v>17.68</v>
      </c>
      <c r="J52" s="8">
        <f t="shared" ca="1" si="0"/>
        <v>6.2606715993169804E-3</v>
      </c>
      <c r="K52" s="4" t="s">
        <v>536</v>
      </c>
      <c r="L52" s="4" t="s">
        <v>537</v>
      </c>
      <c r="M52" s="4" t="s">
        <v>59</v>
      </c>
      <c r="N52" s="4" t="s">
        <v>538</v>
      </c>
      <c r="O52" s="4" t="s">
        <v>539</v>
      </c>
    </row>
    <row r="53" spans="3:15" x14ac:dyDescent="0.2">
      <c r="C53" t="s">
        <v>540</v>
      </c>
      <c r="D53" t="e" vm="51">
        <v>#VALUE!</v>
      </c>
      <c r="E53" s="4" t="str" cm="1">
        <f t="array" aca="1" ref="E53" ca="1">+_FV(D53,"Símbolo do ticker",TRUE)</f>
        <v>HOME</v>
      </c>
      <c r="F53" s="4" t="str" cm="1">
        <f t="array" aca="1" ref="F53" ca="1">+_FV(D53,"Setor")</f>
        <v>Real Estate Operations</v>
      </c>
      <c r="G53" s="11">
        <v>46057</v>
      </c>
      <c r="H53" s="4">
        <v>20.2</v>
      </c>
      <c r="I53" s="7" cm="1">
        <f t="array" aca="1" ref="I53" ca="1">+_FV(D53,"Preço")</f>
        <v>19.600000000000001</v>
      </c>
      <c r="J53" s="8">
        <f t="shared" ca="1" si="0"/>
        <v>-2.9702970297029618E-2</v>
      </c>
      <c r="K53" s="4" t="s">
        <v>541</v>
      </c>
      <c r="L53" s="4" t="s">
        <v>542</v>
      </c>
      <c r="M53" s="4" t="s">
        <v>126</v>
      </c>
      <c r="N53" s="4" t="s">
        <v>543</v>
      </c>
      <c r="O53" s="4" t="s">
        <v>391</v>
      </c>
    </row>
    <row r="54" spans="3:15" x14ac:dyDescent="0.2">
      <c r="C54" t="s">
        <v>11</v>
      </c>
      <c r="D54" t="e" vm="52">
        <v>#VALUE!</v>
      </c>
      <c r="E54" s="4" t="str" cm="1">
        <f t="array" aca="1" ref="E54" ca="1">+_FV(D54,"Símbolo do ticker",TRUE)</f>
        <v>CAF</v>
      </c>
      <c r="F54" s="4" t="str" cm="1">
        <f t="array" aca="1" ref="F54" ca="1">+_FV(D54,"Setor")</f>
        <v>Machinery, Equipment &amp; Components</v>
      </c>
      <c r="G54" s="11">
        <v>46057</v>
      </c>
      <c r="H54" s="4">
        <v>55.8</v>
      </c>
      <c r="I54" s="7" cm="1">
        <f t="array" aca="1" ref="I54" ca="1">+_FV(D54,"Preço")</f>
        <v>57.6</v>
      </c>
      <c r="J54" s="8">
        <f t="shared" ca="1" si="0"/>
        <v>3.2258064516129004E-2</v>
      </c>
      <c r="K54" s="4" t="s">
        <v>544</v>
      </c>
      <c r="L54" s="4" t="s">
        <v>545</v>
      </c>
      <c r="M54" s="4" t="s">
        <v>60</v>
      </c>
      <c r="N54" s="4" t="s">
        <v>546</v>
      </c>
      <c r="O54" s="4" t="s">
        <v>352</v>
      </c>
    </row>
    <row r="55" spans="3:15" x14ac:dyDescent="0.2">
      <c r="C55" t="s">
        <v>547</v>
      </c>
      <c r="D55" t="e" vm="53">
        <v>#VALUE!</v>
      </c>
      <c r="E55" s="4" t="str" cm="1">
        <f t="array" aca="1" ref="E55" ca="1">+_FV(D55,"Símbolo do ticker",TRUE)</f>
        <v>GEST</v>
      </c>
      <c r="F55" s="4" t="str" cm="1">
        <f t="array" aca="1" ref="F55" ca="1">+_FV(D55,"Setor")</f>
        <v>Automobiles &amp; Auto Parts</v>
      </c>
      <c r="G55" s="11">
        <v>46057</v>
      </c>
      <c r="H55" s="4">
        <v>3.13</v>
      </c>
      <c r="I55" s="7" cm="1">
        <f t="array" aca="1" ref="I55" ca="1">+_FV(D55,"Preço")</f>
        <v>3.1320000000000001</v>
      </c>
      <c r="J55" s="8">
        <f t="shared" ca="1" si="0"/>
        <v>6.3897763578291134E-4</v>
      </c>
      <c r="K55" s="4" t="s">
        <v>548</v>
      </c>
      <c r="L55" s="4" t="s">
        <v>549</v>
      </c>
      <c r="M55" s="4" t="s">
        <v>127</v>
      </c>
      <c r="N55" s="4" t="s">
        <v>550</v>
      </c>
      <c r="O55" s="4" t="s">
        <v>551</v>
      </c>
    </row>
    <row r="56" spans="3:15" x14ac:dyDescent="0.2">
      <c r="C56" t="s">
        <v>552</v>
      </c>
      <c r="D56" t="e" vm="54">
        <v>#VALUE!</v>
      </c>
      <c r="E56" s="4" t="str" cm="1">
        <f t="array" aca="1" ref="E56" ca="1">+_FV(D56,"Símbolo do ticker",TRUE)</f>
        <v>IMC</v>
      </c>
      <c r="F56" s="4" t="str" cm="1">
        <f t="array" aca="1" ref="F56" ca="1">+_FV(D56,"Setor")</f>
        <v>Real Estate Operations</v>
      </c>
      <c r="G56" s="11">
        <v>46057</v>
      </c>
      <c r="H56" s="4">
        <v>4.0250000000000004</v>
      </c>
      <c r="I56" s="7" cm="1">
        <f t="array" aca="1" ref="I56" ca="1">+_FV(D56,"Preço")</f>
        <v>4.1150000000000002</v>
      </c>
      <c r="J56" s="8">
        <f t="shared" ca="1" si="0"/>
        <v>2.2360248447204967E-2</v>
      </c>
      <c r="K56" s="4" t="s">
        <v>553</v>
      </c>
      <c r="L56" s="4" t="s">
        <v>554</v>
      </c>
      <c r="M56" s="4" t="s">
        <v>129</v>
      </c>
      <c r="N56" s="4" t="s">
        <v>555</v>
      </c>
      <c r="O56" s="4"/>
    </row>
    <row r="57" spans="3:15" x14ac:dyDescent="0.2">
      <c r="C57" t="s">
        <v>556</v>
      </c>
      <c r="D57" t="e" vm="55">
        <v>#VALUE!</v>
      </c>
      <c r="E57" s="4" t="str" cm="1">
        <f t="array" aca="1" ref="E57" ca="1">+_FV(D57,"Símbolo do ticker",TRUE)</f>
        <v>MEL</v>
      </c>
      <c r="F57" s="4" t="str" cm="1">
        <f t="array" aca="1" ref="F57" ca="1">+_FV(D57,"Setor")</f>
        <v>Hotels &amp; Entertainment Services</v>
      </c>
      <c r="G57" s="11">
        <v>46057</v>
      </c>
      <c r="H57" s="4">
        <v>7.7450000000000001</v>
      </c>
      <c r="I57" s="7" cm="1">
        <f t="array" aca="1" ref="I57" ca="1">+_FV(D57,"Preço")</f>
        <v>7.75</v>
      </c>
      <c r="J57" s="8">
        <f t="shared" ca="1" si="0"/>
        <v>6.4557779212393029E-4</v>
      </c>
      <c r="K57" s="4" t="s">
        <v>557</v>
      </c>
      <c r="L57" s="4" t="s">
        <v>128</v>
      </c>
      <c r="M57" s="4" t="s">
        <v>61</v>
      </c>
      <c r="N57" s="4" t="s">
        <v>558</v>
      </c>
      <c r="O57" s="4" t="s">
        <v>321</v>
      </c>
    </row>
    <row r="58" spans="3:15" x14ac:dyDescent="0.2">
      <c r="C58" t="s">
        <v>559</v>
      </c>
      <c r="D58" t="e" vm="56">
        <v>#VALUE!</v>
      </c>
      <c r="E58" s="4" t="str" cm="1">
        <f t="array" aca="1" ref="E58" ca="1">+_FV(D58,"Símbolo do ticker",TRUE)</f>
        <v>FAE</v>
      </c>
      <c r="F58" s="4" t="str" cm="1">
        <f t="array" aca="1" ref="F58" ca="1">+_FV(D58,"Setor")</f>
        <v>Pharmaceuticals</v>
      </c>
      <c r="G58" s="11">
        <v>46057</v>
      </c>
      <c r="H58" s="4">
        <v>5.24</v>
      </c>
      <c r="I58" s="7" cm="1">
        <f t="array" aca="1" ref="I58" ca="1">+_FV(D58,"Preço")</f>
        <v>5.19</v>
      </c>
      <c r="J58" s="8">
        <f t="shared" ca="1" si="0"/>
        <v>-9.5419847328244156E-3</v>
      </c>
      <c r="K58" s="4" t="s">
        <v>560</v>
      </c>
      <c r="L58" s="4" t="s">
        <v>561</v>
      </c>
      <c r="M58" s="4" t="s">
        <v>62</v>
      </c>
      <c r="N58" s="4" t="s">
        <v>562</v>
      </c>
      <c r="O58" s="4" t="s">
        <v>396</v>
      </c>
    </row>
    <row r="59" spans="3:15" x14ac:dyDescent="0.2">
      <c r="C59" t="s">
        <v>563</v>
      </c>
      <c r="D59" t="e" vm="57">
        <v>#VALUE!</v>
      </c>
      <c r="E59" s="4" t="str" cm="1">
        <f t="array" aca="1" ref="E59" ca="1">+_FV(D59,"Símbolo do ticker",TRUE)</f>
        <v>RLIA</v>
      </c>
      <c r="F59" s="4" t="str" cm="1">
        <f t="array" aca="1" ref="F59" ca="1">+_FV(D59,"Setor")</f>
        <v>Real Estate Operations</v>
      </c>
      <c r="G59" s="11">
        <v>46057</v>
      </c>
      <c r="H59" s="4">
        <v>1.075</v>
      </c>
      <c r="I59" s="7" cm="1">
        <f t="array" aca="1" ref="I59" ca="1">+_FV(D59,"Preço")</f>
        <v>1.05</v>
      </c>
      <c r="J59" s="8">
        <f t="shared" ca="1" si="0"/>
        <v>-2.3255813953488302E-2</v>
      </c>
      <c r="K59" s="4" t="s">
        <v>564</v>
      </c>
      <c r="L59" s="4" t="s">
        <v>565</v>
      </c>
      <c r="M59" s="4" t="s">
        <v>64</v>
      </c>
      <c r="N59" s="4" t="s">
        <v>566</v>
      </c>
      <c r="O59" s="4" t="s">
        <v>567</v>
      </c>
    </row>
    <row r="60" spans="3:15" x14ac:dyDescent="0.2">
      <c r="C60" t="s">
        <v>568</v>
      </c>
      <c r="D60" t="e" vm="58">
        <v>#VALUE!</v>
      </c>
      <c r="E60" s="4" t="str" cm="1">
        <f t="array" aca="1" ref="E60" ca="1">+_FV(D60,"Símbolo do ticker",TRUE)</f>
        <v>MVC</v>
      </c>
      <c r="F60" s="4" t="str" cm="1">
        <f t="array" aca="1" ref="F60" ca="1">+_FV(D60,"Setor")</f>
        <v>Real Estate Operations</v>
      </c>
      <c r="G60" s="11">
        <v>46057</v>
      </c>
      <c r="H60" s="4">
        <v>10.3</v>
      </c>
      <c r="I60" s="7" cm="1">
        <f t="array" aca="1" ref="I60" ca="1">+_FV(D60,"Preço")</f>
        <v>10.25</v>
      </c>
      <c r="J60" s="8">
        <f t="shared" ca="1" si="0"/>
        <v>-4.8543689320389438E-3</v>
      </c>
      <c r="K60" s="4" t="s">
        <v>569</v>
      </c>
      <c r="L60" s="4" t="s">
        <v>63</v>
      </c>
      <c r="M60" s="4" t="s">
        <v>65</v>
      </c>
      <c r="N60" s="4" t="s">
        <v>570</v>
      </c>
      <c r="O60" s="4" t="s">
        <v>530</v>
      </c>
    </row>
    <row r="61" spans="3:15" x14ac:dyDescent="0.2">
      <c r="C61" t="s">
        <v>572</v>
      </c>
      <c r="D61" t="e" vm="59">
        <v>#VALUE!</v>
      </c>
      <c r="E61" s="4" t="str" cm="1">
        <f t="array" aca="1" ref="E61" ca="1">+_FV(D61,"Símbolo do ticker",TRUE)</f>
        <v>BRAP3</v>
      </c>
      <c r="F61" s="4" t="str" cm="1">
        <f t="array" aca="1" ref="F61" ca="1">+_FV(D61,"Setor")</f>
        <v>Metals &amp; Mining</v>
      </c>
      <c r="G61" s="11">
        <v>46057</v>
      </c>
      <c r="H61" s="4">
        <v>21.53</v>
      </c>
      <c r="I61" s="7" cm="1">
        <f t="array" aca="1" ref="I61" ca="1">+_FV(D61,"Preço")</f>
        <v>20.64</v>
      </c>
      <c r="J61" s="8">
        <f t="shared" ca="1" si="0"/>
        <v>-4.1337668369716751E-2</v>
      </c>
      <c r="K61" s="4" t="s">
        <v>67</v>
      </c>
      <c r="L61" s="4" t="s">
        <v>571</v>
      </c>
      <c r="M61" s="4" t="s">
        <v>25</v>
      </c>
      <c r="N61" s="4"/>
      <c r="O61" s="4"/>
    </row>
    <row r="62" spans="3:15" x14ac:dyDescent="0.2">
      <c r="C62" t="s">
        <v>14</v>
      </c>
      <c r="D62" t="e" vm="60">
        <v>#VALUE!</v>
      </c>
      <c r="E62" s="4" t="str" cm="1">
        <f t="array" aca="1" ref="E62" ca="1">+_FV(D62,"Símbolo do ticker",TRUE)</f>
        <v>PSG</v>
      </c>
      <c r="F62" s="4" t="str" cm="1">
        <f t="array" aca="1" ref="F62" ca="1">+_FV(D62,"Setor")</f>
        <v>Professional &amp; Commercial Services</v>
      </c>
      <c r="G62" s="11">
        <v>46057</v>
      </c>
      <c r="H62" s="4">
        <v>2.83</v>
      </c>
      <c r="I62" s="7" cm="1">
        <f t="array" aca="1" ref="I62" ca="1">+_FV(D62,"Preço")</f>
        <v>2.7650000000000001</v>
      </c>
      <c r="J62" s="8">
        <f t="shared" ca="1" si="0"/>
        <v>-2.2968197879858598E-2</v>
      </c>
      <c r="K62" s="4" t="s">
        <v>573</v>
      </c>
      <c r="L62" s="4" t="s">
        <v>574</v>
      </c>
      <c r="M62" s="4" t="s">
        <v>66</v>
      </c>
      <c r="N62" s="4" t="s">
        <v>575</v>
      </c>
      <c r="O62" s="4" t="s">
        <v>576</v>
      </c>
    </row>
    <row r="63" spans="3:15" x14ac:dyDescent="0.2">
      <c r="C63" t="s">
        <v>577</v>
      </c>
      <c r="D63" t="e" vm="61">
        <v>#VALUE!</v>
      </c>
      <c r="E63" s="4" t="str" cm="1">
        <f t="array" aca="1" ref="E63" ca="1">+_FV(D63,"Símbolo do ticker",TRUE)</f>
        <v>ART</v>
      </c>
      <c r="F63" s="4" t="str" cm="1">
        <f t="array" aca="1" ref="F63" ca="1">+_FV(D63,"Setor")</f>
        <v>Machinery, Equipment &amp; Components</v>
      </c>
      <c r="G63" s="11">
        <v>46057</v>
      </c>
      <c r="H63" s="4">
        <v>24.8</v>
      </c>
      <c r="I63" s="7" cm="1">
        <f t="array" aca="1" ref="I63" ca="1">+_FV(D63,"Preço")</f>
        <v>24</v>
      </c>
      <c r="J63" s="8">
        <f t="shared" ca="1" si="0"/>
        <v>-3.2258064516129115E-2</v>
      </c>
      <c r="K63" s="4" t="s">
        <v>578</v>
      </c>
      <c r="L63" s="4" t="s">
        <v>579</v>
      </c>
      <c r="M63" s="4" t="s">
        <v>130</v>
      </c>
      <c r="N63" s="4" t="s">
        <v>580</v>
      </c>
      <c r="O63" s="4" t="s">
        <v>581</v>
      </c>
    </row>
    <row r="64" spans="3:15" x14ac:dyDescent="0.2">
      <c r="C64" t="s">
        <v>582</v>
      </c>
      <c r="D64" t="e" vm="62">
        <v>#VALUE!</v>
      </c>
      <c r="E64" s="4" t="str" cm="1">
        <f t="array" aca="1" ref="E64" ca="1">+_FV(D64,"Símbolo do ticker",TRUE)</f>
        <v>PHM</v>
      </c>
      <c r="F64" s="4" t="str" cm="1">
        <f t="array" aca="1" ref="F64" ca="1">+_FV(D64,"Setor")</f>
        <v>Pharmaceuticals</v>
      </c>
      <c r="G64" s="11">
        <v>46057</v>
      </c>
      <c r="H64" s="4">
        <v>77.150000000000006</v>
      </c>
      <c r="I64" s="7" cm="1">
        <f t="array" aca="1" ref="I64" ca="1">+_FV(D64,"Preço")</f>
        <v>76.25</v>
      </c>
      <c r="J64" s="8">
        <f t="shared" ca="1" si="0"/>
        <v>-1.1665586519766791E-2</v>
      </c>
      <c r="K64" s="4" t="s">
        <v>583</v>
      </c>
      <c r="L64" s="4" t="s">
        <v>584</v>
      </c>
      <c r="M64" s="4" t="s">
        <v>131</v>
      </c>
      <c r="N64" s="4" t="s">
        <v>585</v>
      </c>
      <c r="O64" s="4" t="s">
        <v>586</v>
      </c>
    </row>
    <row r="65" spans="3:15" x14ac:dyDescent="0.2">
      <c r="C65" t="s">
        <v>132</v>
      </c>
      <c r="D65" t="e" vm="63">
        <v>#VALUE!</v>
      </c>
      <c r="E65" s="4" t="str" cm="1">
        <f t="array" aca="1" ref="E65" ca="1">+_FV(D65,"Símbolo do ticker",TRUE)</f>
        <v>LDA</v>
      </c>
      <c r="F65" s="4" t="str" cm="1">
        <f t="array" aca="1" ref="F65" ca="1">+_FV(D65,"Setor")</f>
        <v>Insurance</v>
      </c>
      <c r="G65" s="11">
        <v>46057</v>
      </c>
      <c r="H65" s="4">
        <v>1.1679999999999999</v>
      </c>
      <c r="I65" s="7" cm="1">
        <f t="array" aca="1" ref="I65" ca="1">+_FV(D65,"Preço")</f>
        <v>1.1519999999999999</v>
      </c>
      <c r="J65" s="8">
        <f t="shared" ca="1" si="0"/>
        <v>-1.3698630136986356E-2</v>
      </c>
      <c r="K65" s="4" t="s">
        <v>587</v>
      </c>
      <c r="L65" s="4" t="s">
        <v>588</v>
      </c>
      <c r="M65" s="4" t="s">
        <v>71</v>
      </c>
      <c r="N65" s="4" t="s">
        <v>589</v>
      </c>
      <c r="O65" s="4" t="s">
        <v>590</v>
      </c>
    </row>
    <row r="66" spans="3:15" x14ac:dyDescent="0.2">
      <c r="C66" t="s">
        <v>591</v>
      </c>
      <c r="D66" t="e" vm="64">
        <v>#VALUE!</v>
      </c>
      <c r="E66" s="4" t="str" cm="1">
        <f t="array" aca="1" ref="E66" ca="1">+_FV(D66,"Símbolo do ticker",TRUE)</f>
        <v>YGMP</v>
      </c>
      <c r="F66" s="4" t="str" cm="1">
        <f t="array" aca="1" ref="F66" ca="1">+_FV(D66,"Setor")</f>
        <v>Residential &amp; Commercial REIT</v>
      </c>
      <c r="G66" s="11">
        <v>46057</v>
      </c>
      <c r="H66" s="4">
        <v>65</v>
      </c>
      <c r="I66" s="7" cm="1">
        <f t="array" aca="1" ref="I66" ca="1">+_FV(D66,"Preço")</f>
        <v>65</v>
      </c>
      <c r="J66" s="8">
        <f t="shared" ca="1" si="0"/>
        <v>0</v>
      </c>
      <c r="K66" s="4">
        <v>5</v>
      </c>
      <c r="L66" s="4" t="s">
        <v>133</v>
      </c>
      <c r="M66" s="4" t="s">
        <v>134</v>
      </c>
      <c r="N66" s="4" t="s">
        <v>592</v>
      </c>
      <c r="O66" s="4" t="s">
        <v>593</v>
      </c>
    </row>
    <row r="67" spans="3:15" x14ac:dyDescent="0.2">
      <c r="C67" t="s">
        <v>594</v>
      </c>
      <c r="D67" t="e" vm="65">
        <v>#VALUE!</v>
      </c>
      <c r="E67" s="4" t="str" cm="1">
        <f t="array" aca="1" ref="E67" ca="1">+_FV(D67,"Símbolo do ticker",TRUE)</f>
        <v>A3M</v>
      </c>
      <c r="F67" s="4" t="str" cm="1">
        <f t="array" aca="1" ref="F67" ca="1">+_FV(D67,"Setor")</f>
        <v>Media &amp; Publishing</v>
      </c>
      <c r="G67" s="11">
        <v>46057</v>
      </c>
      <c r="H67" s="4">
        <v>5.2</v>
      </c>
      <c r="I67" s="7" cm="1">
        <f t="array" aca="1" ref="I67" ca="1">+_FV(D67,"Preço")</f>
        <v>5.09</v>
      </c>
      <c r="J67" s="8">
        <f t="shared" ref="J67:J130" ca="1" si="1">+I67/H67-1</f>
        <v>-2.115384615384619E-2</v>
      </c>
      <c r="K67" s="4" t="s">
        <v>595</v>
      </c>
      <c r="L67" s="4" t="s">
        <v>69</v>
      </c>
      <c r="M67" s="4" t="s">
        <v>70</v>
      </c>
      <c r="N67" s="4" t="s">
        <v>596</v>
      </c>
      <c r="O67" s="4" t="s">
        <v>347</v>
      </c>
    </row>
    <row r="68" spans="3:15" x14ac:dyDescent="0.2">
      <c r="C68" t="s">
        <v>597</v>
      </c>
      <c r="D68" t="e" vm="66">
        <v>#VALUE!</v>
      </c>
      <c r="E68" s="4" t="str" cm="1">
        <f t="array" aca="1" ref="E68" ca="1">+_FV(D68,"Símbolo do ticker",TRUE)</f>
        <v>AEDAS</v>
      </c>
      <c r="F68" s="4" t="str" cm="1">
        <f t="array" aca="1" ref="F68" ca="1">+_FV(D68,"Setor")</f>
        <v>Real Estate Operations</v>
      </c>
      <c r="G68" s="11">
        <v>46057</v>
      </c>
      <c r="H68" s="4">
        <v>23.95</v>
      </c>
      <c r="I68" s="7" cm="1">
        <f t="array" aca="1" ref="I68" ca="1">+_FV(D68,"Preço")</f>
        <v>23.95</v>
      </c>
      <c r="J68" s="8">
        <f t="shared" ca="1" si="1"/>
        <v>0</v>
      </c>
      <c r="K68" s="4" t="s">
        <v>598</v>
      </c>
      <c r="L68" s="4" t="s">
        <v>135</v>
      </c>
      <c r="M68" s="4" t="s">
        <v>136</v>
      </c>
      <c r="N68" s="4" t="s">
        <v>599</v>
      </c>
      <c r="O68" s="4" t="s">
        <v>600</v>
      </c>
    </row>
    <row r="69" spans="3:15" x14ac:dyDescent="0.2">
      <c r="C69" t="s">
        <v>141</v>
      </c>
      <c r="D69" t="e" vm="67">
        <v>#VALUE!</v>
      </c>
      <c r="E69" s="4" t="str" cm="1">
        <f t="array" aca="1" ref="E69" ca="1">+_FV(D69,"Símbolo do ticker",TRUE)</f>
        <v>YCPS</v>
      </c>
      <c r="F69" s="4" t="str" cm="1">
        <f t="array" aca="1" ref="F69" ca="1">+_FV(D69,"Setor")</f>
        <v>Residential &amp; Commercial REIT</v>
      </c>
      <c r="G69" s="11">
        <v>46057</v>
      </c>
      <c r="H69" s="4">
        <v>8.0500000000000007</v>
      </c>
      <c r="I69" s="7" cm="1">
        <f t="array" aca="1" ref="I69" ca="1">+_FV(D69,"Preço")</f>
        <v>8.4</v>
      </c>
      <c r="J69" s="8">
        <f t="shared" ca="1" si="1"/>
        <v>4.3478260869565188E-2</v>
      </c>
      <c r="K69" s="4">
        <v>541</v>
      </c>
      <c r="L69" s="4" t="s">
        <v>601</v>
      </c>
      <c r="M69" s="4" t="s">
        <v>142</v>
      </c>
      <c r="N69" s="4" t="s">
        <v>602</v>
      </c>
      <c r="O69" s="4" t="s">
        <v>603</v>
      </c>
    </row>
    <row r="70" spans="3:15" x14ac:dyDescent="0.2">
      <c r="C70" t="s">
        <v>137</v>
      </c>
      <c r="D70" t="e" vm="68">
        <v>#VALUE!</v>
      </c>
      <c r="E70" s="4" t="str" cm="1">
        <f t="array" aca="1" ref="E70" ca="1">+_FV(D70,"Símbolo do ticker",TRUE)</f>
        <v>YVIV</v>
      </c>
      <c r="F70" s="4" t="str" cm="1">
        <f t="array" aca="1" ref="F70" ca="1">+_FV(D70,"Setor")</f>
        <v>Residential &amp; Commercial REIT</v>
      </c>
      <c r="G70" s="11">
        <v>46057</v>
      </c>
      <c r="H70" s="4">
        <v>1.36</v>
      </c>
      <c r="I70" s="7" cm="1">
        <f t="array" aca="1" ref="I70" ca="1">+_FV(D70,"Preço")</f>
        <v>1.36</v>
      </c>
      <c r="J70" s="8">
        <f t="shared" ca="1" si="1"/>
        <v>0</v>
      </c>
      <c r="K70" s="4" t="s">
        <v>138</v>
      </c>
      <c r="L70" s="4" t="s">
        <v>139</v>
      </c>
      <c r="M70" s="4" t="s">
        <v>140</v>
      </c>
      <c r="N70" s="4" t="s">
        <v>604</v>
      </c>
      <c r="O70" s="4"/>
    </row>
    <row r="71" spans="3:15" x14ac:dyDescent="0.2">
      <c r="C71" t="s">
        <v>605</v>
      </c>
      <c r="D71" t="e" vm="69">
        <v>#VALUE!</v>
      </c>
      <c r="E71" s="4" t="str" cm="1">
        <f t="array" aca="1" ref="E71" ca="1">+_FV(D71,"Símbolo do ticker",TRUE)</f>
        <v>CASH</v>
      </c>
      <c r="F71" s="4" t="str" cm="1">
        <f t="array" aca="1" ref="F71" ca="1">+_FV(D71,"Setor")</f>
        <v>Professional &amp; Commercial Services</v>
      </c>
      <c r="G71" s="11">
        <v>46057</v>
      </c>
      <c r="H71" s="4">
        <v>0.64400000000000002</v>
      </c>
      <c r="I71" s="7" cm="1">
        <f t="array" aca="1" ref="I71" ca="1">+_FV(D71,"Preço")</f>
        <v>0.63900000000000001</v>
      </c>
      <c r="J71" s="8">
        <f t="shared" ca="1" si="1"/>
        <v>-7.76397515527949E-3</v>
      </c>
      <c r="K71" s="4" t="s">
        <v>606</v>
      </c>
      <c r="L71" s="4" t="s">
        <v>607</v>
      </c>
      <c r="M71" s="4" t="s">
        <v>143</v>
      </c>
      <c r="N71" s="4" t="s">
        <v>608</v>
      </c>
      <c r="O71" s="4" t="s">
        <v>609</v>
      </c>
    </row>
    <row r="72" spans="3:15" x14ac:dyDescent="0.2">
      <c r="C72" t="s">
        <v>610</v>
      </c>
      <c r="D72" t="e" vm="70">
        <v>#VALUE!</v>
      </c>
      <c r="E72" s="4" t="str" cm="1">
        <f t="array" aca="1" ref="E72" ca="1">+_FV(D72,"Símbolo do ticker",TRUE)</f>
        <v>CBAV</v>
      </c>
      <c r="F72" s="4" t="str" cm="1">
        <f t="array" aca="1" ref="F72" ca="1">+_FV(D72,"Setor")</f>
        <v>Healthcare Providers &amp; Services</v>
      </c>
      <c r="G72" s="11">
        <v>46057</v>
      </c>
      <c r="H72" s="4">
        <v>50.4</v>
      </c>
      <c r="I72" s="7" cm="1">
        <f t="array" aca="1" ref="I72" ca="1">+_FV(D72,"Preço")</f>
        <v>55.6</v>
      </c>
      <c r="J72" s="8">
        <f t="shared" ca="1" si="1"/>
        <v>0.10317460317460325</v>
      </c>
      <c r="K72" s="4" t="s">
        <v>269</v>
      </c>
      <c r="L72" s="4" t="s">
        <v>611</v>
      </c>
      <c r="M72" s="4" t="s">
        <v>72</v>
      </c>
      <c r="N72" s="4" t="s">
        <v>612</v>
      </c>
      <c r="O72" s="4" t="s">
        <v>613</v>
      </c>
    </row>
    <row r="73" spans="3:15" x14ac:dyDescent="0.2">
      <c r="C73" t="s">
        <v>614</v>
      </c>
      <c r="D73" t="e" vm="71">
        <v>#VALUE!</v>
      </c>
      <c r="E73" s="4" t="str" cm="1">
        <f t="array" aca="1" ref="E73" ca="1">+_FV(D73,"Símbolo do ticker",TRUE)</f>
        <v>R4</v>
      </c>
      <c r="F73" s="4" t="str" cm="1">
        <f t="array" aca="1" ref="F73" ca="1">+_FV(D73,"Setor")</f>
        <v>Investment Banking &amp; Investment Services</v>
      </c>
      <c r="G73" s="11">
        <v>46057</v>
      </c>
      <c r="H73" s="4">
        <v>19</v>
      </c>
      <c r="I73" s="7" cm="1">
        <f t="array" aca="1" ref="I73" ca="1">+_FV(D73,"Preço")</f>
        <v>19.3</v>
      </c>
      <c r="J73" s="8">
        <f t="shared" ca="1" si="1"/>
        <v>1.5789473684210575E-2</v>
      </c>
      <c r="K73" s="4" t="s">
        <v>615</v>
      </c>
      <c r="L73" s="4" t="s">
        <v>73</v>
      </c>
      <c r="M73" s="4" t="s">
        <v>74</v>
      </c>
      <c r="N73" s="4" t="s">
        <v>616</v>
      </c>
      <c r="O73" s="4" t="s">
        <v>504</v>
      </c>
    </row>
    <row r="74" spans="3:15" x14ac:dyDescent="0.2">
      <c r="C74" t="s">
        <v>617</v>
      </c>
      <c r="D74" t="e" vm="72">
        <v>#VALUE!</v>
      </c>
      <c r="E74" s="4" t="str" cm="1">
        <f t="array" aca="1" ref="E74" ca="1">+_FV(D74,"Símbolo do ticker",TRUE)</f>
        <v>SCLRE</v>
      </c>
      <c r="F74" s="4" t="str" cm="1">
        <f t="array" aca="1" ref="F74" ca="1">+_FV(D74,"Setor")</f>
        <v>Residential &amp; Commercial REIT</v>
      </c>
      <c r="G74" s="11">
        <v>46057</v>
      </c>
      <c r="H74" s="4" t="e" vm="73">
        <v>#VALUE!</v>
      </c>
      <c r="I74" s="7" t="e" cm="1" vm="73">
        <f t="array" ref="I74">+_FV(D74,"Preço")</f>
        <v>#VALUE!</v>
      </c>
      <c r="J74" s="8" t="e" vm="74">
        <f t="shared" si="1"/>
        <v>#VALUE!</v>
      </c>
      <c r="K74" s="4" t="s">
        <v>144</v>
      </c>
      <c r="L74" s="4" t="s">
        <v>145</v>
      </c>
      <c r="M74" s="4" t="s">
        <v>146</v>
      </c>
      <c r="N74" s="4" t="s">
        <v>618</v>
      </c>
      <c r="O74" s="4" t="s">
        <v>619</v>
      </c>
    </row>
    <row r="75" spans="3:15" x14ac:dyDescent="0.2">
      <c r="C75" t="s">
        <v>620</v>
      </c>
      <c r="D75" t="e" vm="75">
        <v>#VALUE!</v>
      </c>
      <c r="E75" s="4" t="str" cm="1">
        <f t="array" aca="1" ref="E75" ca="1">+_FV(D75,"Símbolo do ticker",TRUE)</f>
        <v>EAT</v>
      </c>
      <c r="F75" s="4" t="str" cm="1">
        <f t="array" aca="1" ref="F75" ca="1">+_FV(D75,"Setor")</f>
        <v>Hotels &amp; Entertainment Services</v>
      </c>
      <c r="G75" s="11">
        <v>46057</v>
      </c>
      <c r="H75" s="4">
        <v>3.2549999999999999</v>
      </c>
      <c r="I75" s="7" cm="1">
        <f t="array" aca="1" ref="I75" ca="1">+_FV(D75,"Preço")</f>
        <v>3.2</v>
      </c>
      <c r="J75" s="8">
        <f t="shared" ca="1" si="1"/>
        <v>-1.6897081413210335E-2</v>
      </c>
      <c r="K75" s="4" t="s">
        <v>621</v>
      </c>
      <c r="L75" s="4" t="s">
        <v>622</v>
      </c>
      <c r="M75" s="4" t="s">
        <v>147</v>
      </c>
      <c r="N75" s="4" t="s">
        <v>623</v>
      </c>
      <c r="O75" s="4" t="s">
        <v>375</v>
      </c>
    </row>
    <row r="76" spans="3:15" x14ac:dyDescent="0.2">
      <c r="C76" t="s">
        <v>624</v>
      </c>
      <c r="D76" t="e" vm="76">
        <v>#VALUE!</v>
      </c>
      <c r="E76" s="4" t="str" cm="1">
        <f t="array" aca="1" ref="E76" ca="1">+_FV(D76,"Símbolo do ticker",TRUE)</f>
        <v>ADX</v>
      </c>
      <c r="F76" s="4" t="str" cm="1">
        <f t="array" aca="1" ref="F76" ca="1">+_FV(D76,"Setor")</f>
        <v>Multiline Utilities</v>
      </c>
      <c r="G76" s="11">
        <v>46057</v>
      </c>
      <c r="H76" s="4">
        <v>1.32</v>
      </c>
      <c r="I76" s="7" cm="1">
        <f t="array" aca="1" ref="I76" ca="1">+_FV(D76,"Preço")</f>
        <v>1.294</v>
      </c>
      <c r="J76" s="8">
        <f t="shared" ca="1" si="1"/>
        <v>-1.9696969696969768E-2</v>
      </c>
      <c r="K76" s="4" t="s">
        <v>625</v>
      </c>
      <c r="L76" s="4" t="s">
        <v>626</v>
      </c>
      <c r="M76" s="4" t="s">
        <v>75</v>
      </c>
      <c r="N76" s="4" t="s">
        <v>627</v>
      </c>
      <c r="O76" s="4" t="s">
        <v>628</v>
      </c>
    </row>
    <row r="77" spans="3:15" x14ac:dyDescent="0.2">
      <c r="C77" t="s">
        <v>629</v>
      </c>
      <c r="D77" t="e" vm="77">
        <v>#VALUE!</v>
      </c>
      <c r="E77" s="4" t="str" cm="1">
        <f t="array" aca="1" ref="E77" ca="1">+_FV(D77,"Símbolo do ticker",TRUE)</f>
        <v>YZBL</v>
      </c>
      <c r="F77" s="4" t="str" cm="1">
        <f t="array" aca="1" ref="F77" ca="1">+_FV(D77,"Setor")</f>
        <v>Residential &amp; Commercial REIT</v>
      </c>
      <c r="G77" s="11">
        <v>46057</v>
      </c>
      <c r="H77" s="4">
        <v>0.90500000000000003</v>
      </c>
      <c r="I77" s="7" cm="1">
        <f t="array" aca="1" ref="I77" ca="1">+_FV(D77,"Preço")</f>
        <v>0.90500000000000003</v>
      </c>
      <c r="J77" s="8">
        <f t="shared" ca="1" si="1"/>
        <v>0</v>
      </c>
      <c r="K77" s="4">
        <v>630</v>
      </c>
      <c r="L77" s="4" t="s">
        <v>148</v>
      </c>
      <c r="M77" s="4" t="s">
        <v>149</v>
      </c>
      <c r="N77" s="4" t="s">
        <v>630</v>
      </c>
      <c r="O77" s="4" t="s">
        <v>603</v>
      </c>
    </row>
    <row r="78" spans="3:15" x14ac:dyDescent="0.2">
      <c r="C78" t="s">
        <v>631</v>
      </c>
      <c r="D78" t="e" vm="78">
        <v>#VALUE!</v>
      </c>
      <c r="E78" s="4" t="str" cm="1">
        <f t="array" aca="1" ref="E78" ca="1">+_FV(D78,"Símbolo do ticker",TRUE)</f>
        <v>GSJ</v>
      </c>
      <c r="F78" s="4" t="str" cm="1">
        <f t="array" aca="1" ref="F78" ca="1">+_FV(D78,"Setor")</f>
        <v>Construction &amp; Engineering</v>
      </c>
      <c r="G78" s="11">
        <v>46057</v>
      </c>
      <c r="H78" s="4">
        <v>8.4499999999999993</v>
      </c>
      <c r="I78" s="7" cm="1">
        <f t="array" aca="1" ref="I78" ca="1">+_FV(D78,"Preço")</f>
        <v>8.52</v>
      </c>
      <c r="J78" s="8">
        <f t="shared" ca="1" si="1"/>
        <v>8.2840236686390067E-3</v>
      </c>
      <c r="K78" s="4" t="s">
        <v>632</v>
      </c>
      <c r="L78" s="4" t="s">
        <v>633</v>
      </c>
      <c r="M78" s="4" t="s">
        <v>76</v>
      </c>
      <c r="N78" s="4" t="s">
        <v>634</v>
      </c>
      <c r="O78" s="4" t="s">
        <v>600</v>
      </c>
    </row>
    <row r="79" spans="3:15" x14ac:dyDescent="0.2">
      <c r="C79" t="s">
        <v>10</v>
      </c>
      <c r="D79" t="e" vm="79">
        <v>#VALUE!</v>
      </c>
      <c r="E79" s="4" t="str" cm="1">
        <f t="array" aca="1" ref="E79" ca="1">+_FV(D79,"Símbolo do ticker",TRUE)</f>
        <v>ENC</v>
      </c>
      <c r="F79" s="4" t="str" cm="1">
        <f t="array" aca="1" ref="F79" ca="1">+_FV(D79,"Setor")</f>
        <v>Paper &amp; Forest Products</v>
      </c>
      <c r="G79" s="11">
        <v>46057</v>
      </c>
      <c r="H79" s="4">
        <v>2.278</v>
      </c>
      <c r="I79" s="7" cm="1">
        <f t="array" aca="1" ref="I79" ca="1">+_FV(D79,"Preço")</f>
        <v>2.294</v>
      </c>
      <c r="J79" s="8">
        <f t="shared" ca="1" si="1"/>
        <v>7.0237050043897575E-3</v>
      </c>
      <c r="K79" s="4" t="s">
        <v>635</v>
      </c>
      <c r="L79" s="4" t="s">
        <v>636</v>
      </c>
      <c r="M79" s="4" t="s">
        <v>77</v>
      </c>
      <c r="N79" s="4" t="s">
        <v>637</v>
      </c>
      <c r="O79" s="4" t="s">
        <v>638</v>
      </c>
    </row>
    <row r="80" spans="3:15" x14ac:dyDescent="0.2">
      <c r="C80" t="s">
        <v>9</v>
      </c>
      <c r="D80" t="e" vm="80">
        <v>#VALUE!</v>
      </c>
      <c r="E80" s="4" t="str" cm="1">
        <f t="array" aca="1" ref="E80" ca="1">+_FV(D80,"Símbolo do ticker",TRUE)</f>
        <v>MCM</v>
      </c>
      <c r="F80" s="4" t="str" cm="1">
        <f t="array" aca="1" ref="F80" ca="1">+_FV(D80,"Setor")</f>
        <v>Paper &amp; Forest Products</v>
      </c>
      <c r="G80" s="11">
        <v>46057</v>
      </c>
      <c r="H80" s="4">
        <v>14.1</v>
      </c>
      <c r="I80" s="7" cm="1">
        <f t="array" aca="1" ref="I80" ca="1">+_FV(D80,"Preço")</f>
        <v>14.2</v>
      </c>
      <c r="J80" s="8">
        <f t="shared" ca="1" si="1"/>
        <v>7.0921985815601829E-3</v>
      </c>
      <c r="K80" s="4" t="s">
        <v>639</v>
      </c>
      <c r="L80" s="4" t="s">
        <v>640</v>
      </c>
      <c r="M80" s="4" t="s">
        <v>78</v>
      </c>
      <c r="N80" s="4" t="s">
        <v>641</v>
      </c>
      <c r="O80" s="4" t="s">
        <v>642</v>
      </c>
    </row>
    <row r="81" spans="1:15" x14ac:dyDescent="0.2">
      <c r="C81" t="s">
        <v>643</v>
      </c>
      <c r="D81" t="e" vm="81">
        <v>#VALUE!</v>
      </c>
      <c r="E81" s="4" t="str" cm="1">
        <f t="array" aca="1" ref="E81" ca="1">+_FV(D81,"Símbolo do ticker",TRUE)</f>
        <v>DOM</v>
      </c>
      <c r="F81" s="4" t="str" cm="1">
        <f t="array" aca="1" ref="F81" ca="1">+_FV(D81,"Setor")</f>
        <v>Professional &amp; Commercial Services</v>
      </c>
      <c r="G81" s="11">
        <v>46057</v>
      </c>
      <c r="H81" s="4">
        <v>3.43</v>
      </c>
      <c r="I81" s="7" cm="1">
        <f t="array" aca="1" ref="I81" ca="1">+_FV(D81,"Preço")</f>
        <v>3.39</v>
      </c>
      <c r="J81" s="8">
        <f t="shared" ca="1" si="1"/>
        <v>-1.1661807580174988E-2</v>
      </c>
      <c r="K81" s="4" t="s">
        <v>644</v>
      </c>
      <c r="L81" s="4" t="s">
        <v>645</v>
      </c>
      <c r="M81" s="4" t="s">
        <v>150</v>
      </c>
      <c r="N81" s="4" t="s">
        <v>646</v>
      </c>
      <c r="O81" s="4" t="s">
        <v>613</v>
      </c>
    </row>
    <row r="82" spans="1:15" x14ac:dyDescent="0.2">
      <c r="C82" t="s">
        <v>647</v>
      </c>
      <c r="D82" t="e" vm="82">
        <v>#VALUE!</v>
      </c>
      <c r="E82" s="4" t="str" cm="1">
        <f t="array" aca="1" ref="E82" ca="1">+_FV(D82,"Símbolo do ticker",TRUE)</f>
        <v>YATO</v>
      </c>
      <c r="F82" s="4" t="str" cm="1">
        <f t="array" aca="1" ref="F82" ca="1">+_FV(D82,"Setor")</f>
        <v>Residential &amp; Commercial REIT</v>
      </c>
      <c r="G82" s="11">
        <v>46057</v>
      </c>
      <c r="H82" s="4">
        <v>15.7</v>
      </c>
      <c r="I82" s="7" cm="1">
        <f t="array" aca="1" ref="I82" ca="1">+_FV(D82,"Preço")</f>
        <v>15.8</v>
      </c>
      <c r="J82" s="8">
        <f t="shared" ca="1" si="1"/>
        <v>6.3694267515923553E-3</v>
      </c>
      <c r="K82" s="4">
        <v>855</v>
      </c>
      <c r="L82" s="4" t="s">
        <v>648</v>
      </c>
      <c r="M82" s="4" t="s">
        <v>151</v>
      </c>
      <c r="N82" s="4" t="s">
        <v>649</v>
      </c>
      <c r="O82" s="4" t="s">
        <v>470</v>
      </c>
    </row>
    <row r="83" spans="1:15" x14ac:dyDescent="0.2">
      <c r="C83" t="s">
        <v>650</v>
      </c>
      <c r="D83" t="e" vm="83">
        <v>#VALUE!</v>
      </c>
      <c r="E83" s="4" t="str" cm="1">
        <f t="array" aca="1" ref="E83" ca="1">+_FV(D83,"Símbolo do ticker",TRUE)</f>
        <v>OHLA</v>
      </c>
      <c r="F83" s="4" t="str" cm="1">
        <f t="array" aca="1" ref="F83" ca="1">+_FV(D83,"Setor")</f>
        <v>Construction &amp; Engineering</v>
      </c>
      <c r="G83" s="11">
        <v>46057</v>
      </c>
      <c r="H83" s="4">
        <v>0.35699999999999998</v>
      </c>
      <c r="I83" s="7" cm="1">
        <f t="array" aca="1" ref="I83" ca="1">+_FV(D83,"Preço")</f>
        <v>0.35499999999999998</v>
      </c>
      <c r="J83" s="8">
        <f t="shared" ca="1" si="1"/>
        <v>-5.6022408963585235E-3</v>
      </c>
      <c r="K83" s="4" t="s">
        <v>651</v>
      </c>
      <c r="L83" s="4" t="s">
        <v>79</v>
      </c>
      <c r="M83" s="4" t="s">
        <v>80</v>
      </c>
      <c r="N83" s="4" t="s">
        <v>652</v>
      </c>
      <c r="O83" s="4" t="s">
        <v>653</v>
      </c>
    </row>
    <row r="84" spans="1:15" x14ac:dyDescent="0.2">
      <c r="C84" t="s">
        <v>654</v>
      </c>
      <c r="D84" t="e" vm="84">
        <v>#VALUE!</v>
      </c>
      <c r="E84" s="4" t="str" cm="1">
        <f t="array" aca="1" ref="E84" ca="1">+_FV(D84,"Símbolo do ticker",TRUE)</f>
        <v>ALC</v>
      </c>
      <c r="F84" s="4" t="str" cm="1">
        <f t="array" aca="1" ref="F84" ca="1">+_FV(D84,"Setor")</f>
        <v>Software &amp; IT Services</v>
      </c>
      <c r="G84" s="11">
        <v>46057</v>
      </c>
      <c r="H84" s="4">
        <v>7.1</v>
      </c>
      <c r="I84" s="7" cm="1">
        <f t="array" aca="1" ref="I84" ca="1">+_FV(D84,"Preço")</f>
        <v>7</v>
      </c>
      <c r="J84" s="8">
        <f t="shared" ca="1" si="1"/>
        <v>-1.4084507042253502E-2</v>
      </c>
      <c r="K84" s="4" t="s">
        <v>269</v>
      </c>
      <c r="L84" s="4" t="s">
        <v>152</v>
      </c>
      <c r="M84" s="4" t="s">
        <v>153</v>
      </c>
      <c r="N84" s="4" t="s">
        <v>655</v>
      </c>
      <c r="O84" s="4" t="s">
        <v>567</v>
      </c>
    </row>
    <row r="85" spans="1:15" x14ac:dyDescent="0.2">
      <c r="C85" t="s">
        <v>7</v>
      </c>
      <c r="D85" t="e" vm="85">
        <v>#VALUE!</v>
      </c>
      <c r="E85" s="4" t="str" cm="1">
        <f t="array" aca="1" ref="E85" ca="1">+_FV(D85,"Símbolo do ticker",TRUE)</f>
        <v>PRS</v>
      </c>
      <c r="F85" s="4" t="str" cm="1">
        <f t="array" aca="1" ref="F85" ca="1">+_FV(D85,"Setor")</f>
        <v>Media &amp; Publishing</v>
      </c>
      <c r="G85" s="11">
        <v>46057</v>
      </c>
      <c r="H85" s="4">
        <v>0.35</v>
      </c>
      <c r="I85" s="7" cm="1">
        <f t="array" aca="1" ref="I85" ca="1">+_FV(D85,"Preço")</f>
        <v>0.34200000000000003</v>
      </c>
      <c r="J85" s="8">
        <f t="shared" ca="1" si="1"/>
        <v>-2.2857142857142687E-2</v>
      </c>
      <c r="K85" s="4" t="s">
        <v>656</v>
      </c>
      <c r="L85" s="4" t="s">
        <v>657</v>
      </c>
      <c r="M85" s="4" t="s">
        <v>81</v>
      </c>
      <c r="N85" s="4" t="s">
        <v>658</v>
      </c>
      <c r="O85" s="4" t="s">
        <v>613</v>
      </c>
    </row>
    <row r="86" spans="1:15" x14ac:dyDescent="0.2">
      <c r="C86" t="s">
        <v>659</v>
      </c>
      <c r="D86" t="e" vm="86">
        <v>#VALUE!</v>
      </c>
      <c r="E86" s="4" t="str" cm="1">
        <f t="array" aca="1" ref="E86" ca="1">+_FV(D86,"Símbolo do ticker",TRUE)</f>
        <v>TUB</v>
      </c>
      <c r="F86" s="4" t="str" cm="1">
        <f t="array" aca="1" ref="F86" ca="1">+_FV(D86,"Setor")</f>
        <v>Metals &amp; Mining</v>
      </c>
      <c r="G86" s="11">
        <v>46057</v>
      </c>
      <c r="H86" s="4">
        <v>3.41</v>
      </c>
      <c r="I86" s="7" cm="1">
        <f t="array" aca="1" ref="I86" ca="1">+_FV(D86,"Preço")</f>
        <v>3.4649999999999999</v>
      </c>
      <c r="J86" s="8">
        <f t="shared" ca="1" si="1"/>
        <v>1.6129032258064502E-2</v>
      </c>
      <c r="K86" s="4" t="s">
        <v>660</v>
      </c>
      <c r="L86" s="4" t="s">
        <v>661</v>
      </c>
      <c r="M86" s="4" t="s">
        <v>83</v>
      </c>
      <c r="N86" s="4" t="s">
        <v>662</v>
      </c>
      <c r="O86" s="4" t="s">
        <v>337</v>
      </c>
    </row>
    <row r="87" spans="1:15" x14ac:dyDescent="0.2">
      <c r="C87" t="s">
        <v>8</v>
      </c>
      <c r="D87" t="e" vm="87">
        <v>#VALUE!</v>
      </c>
      <c r="E87" s="4" t="str" cm="1">
        <f t="array" aca="1" ref="E87" ca="1">+_FV(D87,"Símbolo do ticker",TRUE)</f>
        <v>NXT</v>
      </c>
      <c r="F87" s="4" t="str" cm="1">
        <f t="array" aca="1" ref="F87" ca="1">+_FV(D87,"Setor")</f>
        <v>Textiles &amp; Apparel</v>
      </c>
      <c r="G87" s="11">
        <v>46057</v>
      </c>
      <c r="H87" s="4">
        <v>0.94</v>
      </c>
      <c r="I87" s="7" cm="1">
        <f t="array" aca="1" ref="I87" ca="1">+_FV(D87,"Preço")</f>
        <v>0.92800000000000005</v>
      </c>
      <c r="J87" s="8">
        <f t="shared" ca="1" si="1"/>
        <v>-1.2765957446808418E-2</v>
      </c>
      <c r="K87" s="4" t="s">
        <v>663</v>
      </c>
      <c r="L87" s="4" t="s">
        <v>664</v>
      </c>
      <c r="M87" s="4" t="s">
        <v>84</v>
      </c>
      <c r="N87" s="4" t="s">
        <v>665</v>
      </c>
      <c r="O87" s="4" t="s">
        <v>666</v>
      </c>
    </row>
    <row r="88" spans="1:15" x14ac:dyDescent="0.2">
      <c r="C88" t="s">
        <v>154</v>
      </c>
      <c r="D88" t="e" vm="88">
        <v>#VALUE!</v>
      </c>
      <c r="E88" s="4" t="str" cm="1">
        <f t="array" aca="1" ref="E88" ca="1">+_FV(D88,"Símbolo do ticker",TRUE)</f>
        <v>YTST</v>
      </c>
      <c r="F88" s="4" t="str" cm="1">
        <f t="array" aca="1" ref="F88" ca="1">+_FV(D88,"Setor")</f>
        <v>Real Estate Operations</v>
      </c>
      <c r="G88" s="11">
        <v>46057</v>
      </c>
      <c r="H88" s="4">
        <v>3.1</v>
      </c>
      <c r="I88" s="7" cm="1">
        <f t="array" aca="1" ref="I88" ca="1">+_FV(D88,"Preço")</f>
        <v>3.1</v>
      </c>
      <c r="J88" s="8">
        <f t="shared" ca="1" si="1"/>
        <v>0</v>
      </c>
      <c r="K88" s="4">
        <v>18</v>
      </c>
      <c r="L88" s="4" t="s">
        <v>155</v>
      </c>
      <c r="M88" s="4" t="s">
        <v>156</v>
      </c>
      <c r="N88" s="4" t="s">
        <v>667</v>
      </c>
      <c r="O88" s="4" t="s">
        <v>593</v>
      </c>
    </row>
    <row r="89" spans="1:15" x14ac:dyDescent="0.2">
      <c r="C89" t="s">
        <v>668</v>
      </c>
      <c r="D89" t="e" vm="89">
        <v>#VALUE!</v>
      </c>
      <c r="E89" s="4" t="str" cm="1">
        <f t="array" aca="1" ref="E89" ca="1">+_FV(D89,"Símbolo do ticker",TRUE)</f>
        <v>AMP</v>
      </c>
      <c r="F89" s="4" t="str" cm="1">
        <f t="array" aca="1" ref="F89" ca="1">+_FV(D89,"Setor")</f>
        <v>Communications &amp; Networking</v>
      </c>
      <c r="G89" s="11">
        <v>46057</v>
      </c>
      <c r="H89" s="4">
        <v>0.17879999999999999</v>
      </c>
      <c r="I89" s="7" cm="1">
        <f t="array" aca="1" ref="I89" ca="1">+_FV(D89,"Preço")</f>
        <v>0.17699999999999999</v>
      </c>
      <c r="J89" s="8">
        <f t="shared" ca="1" si="1"/>
        <v>-1.0067114093959662E-2</v>
      </c>
      <c r="K89" s="4" t="s">
        <v>669</v>
      </c>
      <c r="L89" s="4" t="s">
        <v>670</v>
      </c>
      <c r="M89" s="4" t="s">
        <v>82</v>
      </c>
      <c r="N89" s="4" t="s">
        <v>671</v>
      </c>
      <c r="O89" s="4" t="s">
        <v>619</v>
      </c>
    </row>
    <row r="90" spans="1:15" x14ac:dyDescent="0.2">
      <c r="C90" t="s">
        <v>672</v>
      </c>
      <c r="D90" t="e" vm="90">
        <v>#VALUE!</v>
      </c>
      <c r="E90" s="4" t="str" cm="1">
        <f t="array" aca="1" ref="E90" ca="1">+_FV(D90,"Símbolo do ticker",TRUE)</f>
        <v>TLGO</v>
      </c>
      <c r="F90" s="4" t="str" cm="1">
        <f t="array" aca="1" ref="F90" ca="1">+_FV(D90,"Setor")</f>
        <v>Machinery, Equipment &amp; Components</v>
      </c>
      <c r="G90" s="11">
        <v>46057</v>
      </c>
      <c r="H90" s="4">
        <v>2.92</v>
      </c>
      <c r="I90" s="7" cm="1">
        <f t="array" aca="1" ref="I90" ca="1">+_FV(D90,"Preço")</f>
        <v>2.86</v>
      </c>
      <c r="J90" s="8">
        <f t="shared" ca="1" si="1"/>
        <v>-2.0547945205479423E-2</v>
      </c>
      <c r="K90" s="4" t="s">
        <v>673</v>
      </c>
      <c r="L90" s="4" t="s">
        <v>674</v>
      </c>
      <c r="M90" s="4" t="s">
        <v>157</v>
      </c>
      <c r="N90" s="4" t="s">
        <v>675</v>
      </c>
      <c r="O90" s="4" t="s">
        <v>539</v>
      </c>
    </row>
    <row r="91" spans="1:15" x14ac:dyDescent="0.2">
      <c r="C91" t="s">
        <v>676</v>
      </c>
      <c r="D91" t="e" vm="91">
        <v>#VALUE!</v>
      </c>
      <c r="E91" s="4" t="str" cm="1">
        <f t="array" aca="1" ref="E91" ca="1">+_FV(D91,"Símbolo do ticker",TRUE)</f>
        <v>YFID</v>
      </c>
      <c r="F91" s="4" t="str" cm="1">
        <f t="array" aca="1" ref="F91" ca="1">+_FV(D91,"Setor")</f>
        <v>Residential &amp; Commercial REIT</v>
      </c>
      <c r="G91" s="11">
        <v>46057</v>
      </c>
      <c r="H91" s="4">
        <v>40</v>
      </c>
      <c r="I91" s="7" cm="1">
        <f t="array" aca="1" ref="I91" ca="1">+_FV(D91,"Preço")</f>
        <v>40</v>
      </c>
      <c r="J91" s="8">
        <f t="shared" ca="1" si="1"/>
        <v>0</v>
      </c>
      <c r="K91" s="4">
        <v>149</v>
      </c>
      <c r="L91" s="4" t="s">
        <v>159</v>
      </c>
      <c r="M91" s="4" t="s">
        <v>160</v>
      </c>
      <c r="N91" s="4" t="s">
        <v>677</v>
      </c>
      <c r="O91" s="4" t="s">
        <v>678</v>
      </c>
    </row>
    <row r="92" spans="1:15" s="1" customFormat="1" ht="15" x14ac:dyDescent="0.25">
      <c r="A92" s="1">
        <v>8</v>
      </c>
      <c r="B92" s="1" t="s">
        <v>1076</v>
      </c>
      <c r="C92" s="1" t="s">
        <v>679</v>
      </c>
      <c r="D92" s="1" t="e" vm="92">
        <v>#VALUE!</v>
      </c>
      <c r="E92" s="3" t="str" cm="1">
        <f t="array" aca="1" ref="E92" ca="1">+_FV(D92,"Símbolo do ticker",TRUE)</f>
        <v>EDR</v>
      </c>
      <c r="F92" s="3" t="str" cm="1">
        <f t="array" aca="1" ref="F92" ca="1">+_FV(D92,"Setor")</f>
        <v>Hotels &amp; Entertainment Services</v>
      </c>
      <c r="G92" s="10">
        <v>46057</v>
      </c>
      <c r="H92" s="3">
        <v>3.355</v>
      </c>
      <c r="I92" s="5" cm="1">
        <f t="array" aca="1" ref="I92" ca="1">+_FV(D92,"Preço")</f>
        <v>3.25</v>
      </c>
      <c r="J92" s="6">
        <f t="shared" ca="1" si="1"/>
        <v>-3.1296572280178792E-2</v>
      </c>
      <c r="K92" s="3" t="s">
        <v>680</v>
      </c>
      <c r="L92" s="3" t="s">
        <v>681</v>
      </c>
      <c r="M92" s="3" t="s">
        <v>158</v>
      </c>
      <c r="N92" s="3" t="s">
        <v>682</v>
      </c>
      <c r="O92" s="3" t="s">
        <v>683</v>
      </c>
    </row>
    <row r="93" spans="1:15" x14ac:dyDescent="0.2">
      <c r="C93" t="s">
        <v>684</v>
      </c>
      <c r="D93" t="e" vm="93">
        <v>#VALUE!</v>
      </c>
      <c r="E93" s="4" t="str" cm="1">
        <f t="array" aca="1" ref="E93" ca="1">+_FV(D93,"Símbolo do ticker",TRUE)</f>
        <v>ALNT</v>
      </c>
      <c r="F93" s="4" t="str" cm="1">
        <f t="array" aca="1" ref="F93" ca="1">+_FV(D93,"Setor")</f>
        <v>Investment Banking &amp; Investment Services</v>
      </c>
      <c r="G93" s="11">
        <v>46057</v>
      </c>
      <c r="H93" s="4">
        <v>9.0399999999999991</v>
      </c>
      <c r="I93" s="7" cm="1">
        <f t="array" aca="1" ref="I93" ca="1">+_FV(D93,"Preço")</f>
        <v>9</v>
      </c>
      <c r="J93" s="8">
        <f t="shared" ca="1" si="1"/>
        <v>-4.4247787610618428E-3</v>
      </c>
      <c r="K93" s="4" t="s">
        <v>685</v>
      </c>
      <c r="L93" s="4" t="s">
        <v>686</v>
      </c>
      <c r="M93" s="4" t="s">
        <v>85</v>
      </c>
      <c r="N93" s="4" t="s">
        <v>687</v>
      </c>
      <c r="O93" s="4" t="s">
        <v>688</v>
      </c>
    </row>
    <row r="94" spans="1:15" x14ac:dyDescent="0.2">
      <c r="C94" t="s">
        <v>689</v>
      </c>
      <c r="D94" t="e" vm="94">
        <v>#VALUE!</v>
      </c>
      <c r="E94" s="4" t="str" cm="1">
        <f t="array" aca="1" ref="E94" ca="1">+_FV(D94,"Símbolo do ticker",TRUE)</f>
        <v>YHTI</v>
      </c>
      <c r="F94" s="4" t="str" cm="1">
        <f t="array" aca="1" ref="F94" ca="1">+_FV(D94,"Setor")</f>
        <v>Residential &amp; Commercial REIT</v>
      </c>
      <c r="G94" s="11">
        <v>46057</v>
      </c>
      <c r="H94" s="4">
        <v>2.88</v>
      </c>
      <c r="I94" s="7" cm="1">
        <f t="array" aca="1" ref="I94" ca="1">+_FV(D94,"Preço")</f>
        <v>2.9</v>
      </c>
      <c r="J94" s="8">
        <f t="shared" ca="1" si="1"/>
        <v>6.9444444444444198E-3</v>
      </c>
      <c r="K94" s="4" t="s">
        <v>690</v>
      </c>
      <c r="L94" s="4" t="s">
        <v>691</v>
      </c>
      <c r="M94" s="4" t="s">
        <v>163</v>
      </c>
      <c r="N94" s="4" t="s">
        <v>692</v>
      </c>
      <c r="O94" s="4" t="s">
        <v>693</v>
      </c>
    </row>
    <row r="95" spans="1:15" x14ac:dyDescent="0.2">
      <c r="C95" t="s">
        <v>694</v>
      </c>
      <c r="D95" t="e" vm="95">
        <v>#VALUE!</v>
      </c>
      <c r="E95" s="4" t="str" cm="1">
        <f t="array" aca="1" ref="E95" ca="1">+_FV(D95,"Símbolo do ticker",TRUE)</f>
        <v>IZER</v>
      </c>
      <c r="F95" s="4" t="str" cm="1">
        <f t="array" aca="1" ref="F95" ca="1">+_FV(D95,"Setor")</f>
        <v>Software &amp; IT Services</v>
      </c>
      <c r="G95" s="11">
        <v>46057</v>
      </c>
      <c r="H95" s="4">
        <v>9.56</v>
      </c>
      <c r="I95" s="7" cm="1">
        <f t="array" aca="1" ref="I95" ca="1">+_FV(D95,"Preço")</f>
        <v>9.6</v>
      </c>
      <c r="J95" s="8">
        <f t="shared" ca="1" si="1"/>
        <v>4.1841004184099972E-3</v>
      </c>
      <c r="K95" s="4" t="s">
        <v>695</v>
      </c>
      <c r="L95" s="4" t="s">
        <v>696</v>
      </c>
      <c r="M95" s="4" t="s">
        <v>162</v>
      </c>
      <c r="N95" s="4" t="s">
        <v>697</v>
      </c>
      <c r="O95" s="4" t="s">
        <v>698</v>
      </c>
    </row>
    <row r="96" spans="1:15" x14ac:dyDescent="0.2">
      <c r="C96" t="s">
        <v>699</v>
      </c>
      <c r="D96" t="e" vm="96">
        <v>#VALUE!</v>
      </c>
      <c r="E96" s="4" t="str" cm="1">
        <f t="array" aca="1" ref="E96" ca="1">+_FV(D96,"Símbolo do ticker",TRUE)</f>
        <v>ECR</v>
      </c>
      <c r="F96" s="4" t="str" cm="1">
        <f t="array" aca="1" ref="F96" ca="1">+_FV(D96,"Setor")</f>
        <v>Chemicals</v>
      </c>
      <c r="G96" s="11">
        <v>46057</v>
      </c>
      <c r="H96" s="4">
        <v>3.4249999999999998</v>
      </c>
      <c r="I96" s="7" cm="1">
        <f t="array" aca="1" ref="I96" ca="1">+_FV(D96,"Preço")</f>
        <v>3.4249999999999998</v>
      </c>
      <c r="J96" s="8">
        <f t="shared" ca="1" si="1"/>
        <v>0</v>
      </c>
      <c r="K96" s="4" t="s">
        <v>700</v>
      </c>
      <c r="L96" s="4" t="s">
        <v>86</v>
      </c>
      <c r="M96" s="4" t="s">
        <v>87</v>
      </c>
      <c r="N96" s="4" t="s">
        <v>701</v>
      </c>
      <c r="O96" s="4" t="s">
        <v>581</v>
      </c>
    </row>
    <row r="97" spans="1:15" x14ac:dyDescent="0.2">
      <c r="C97" t="s">
        <v>702</v>
      </c>
      <c r="D97" t="e" vm="97">
        <v>#VALUE!</v>
      </c>
      <c r="E97" s="4" t="str" cm="1">
        <f t="array" aca="1" ref="E97" ca="1">+_FV(D97,"Símbolo do ticker",TRUE)</f>
        <v>NAT</v>
      </c>
      <c r="F97" s="4" t="str" cm="1">
        <f t="array" aca="1" ref="F97" ca="1">+_FV(D97,"Setor")</f>
        <v>Pharmaceuticals</v>
      </c>
      <c r="G97" s="11">
        <v>46057</v>
      </c>
      <c r="H97" s="4">
        <v>0.7</v>
      </c>
      <c r="I97" s="7" cm="1">
        <f t="array" aca="1" ref="I97" ca="1">+_FV(D97,"Preço")</f>
        <v>0.71</v>
      </c>
      <c r="J97" s="8">
        <f t="shared" ca="1" si="1"/>
        <v>1.4285714285714235E-2</v>
      </c>
      <c r="K97" s="4" t="s">
        <v>703</v>
      </c>
      <c r="L97" s="4" t="s">
        <v>704</v>
      </c>
      <c r="M97" s="4" t="s">
        <v>164</v>
      </c>
      <c r="N97" s="4" t="s">
        <v>705</v>
      </c>
      <c r="O97" s="4" t="s">
        <v>706</v>
      </c>
    </row>
    <row r="98" spans="1:15" x14ac:dyDescent="0.2">
      <c r="C98" t="s">
        <v>707</v>
      </c>
      <c r="D98" t="e" vm="98">
        <v>#VALUE!</v>
      </c>
      <c r="E98" s="4" t="str" cm="1">
        <f t="array" aca="1" ref="E98" ca="1">+_FV(D98,"Símbolo do ticker",TRUE)</f>
        <v>ISUR</v>
      </c>
      <c r="F98" s="4" t="str" cm="1">
        <f t="array" aca="1" ref="F98" ca="1">+_FV(D98,"Setor")</f>
        <v>Real Estate Operations</v>
      </c>
      <c r="G98" s="11">
        <v>46057</v>
      </c>
      <c r="H98" s="4">
        <v>15.9</v>
      </c>
      <c r="I98" s="7" cm="1">
        <f t="array" aca="1" ref="I98" ca="1">+_FV(D98,"Preço")</f>
        <v>16.600000000000001</v>
      </c>
      <c r="J98" s="8">
        <f t="shared" ca="1" si="1"/>
        <v>4.4025157232704393E-2</v>
      </c>
      <c r="K98" s="4" t="s">
        <v>708</v>
      </c>
      <c r="L98" s="4" t="s">
        <v>709</v>
      </c>
      <c r="M98" s="4" t="s">
        <v>88</v>
      </c>
      <c r="N98" s="4" t="s">
        <v>710</v>
      </c>
      <c r="O98" s="4" t="s">
        <v>711</v>
      </c>
    </row>
    <row r="99" spans="1:15" x14ac:dyDescent="0.2">
      <c r="C99" t="s">
        <v>712</v>
      </c>
      <c r="D99" t="e" vm="99">
        <v>#VALUE!</v>
      </c>
      <c r="E99" s="4" t="str" cm="1">
        <f t="array" aca="1" ref="E99" ca="1">+_FV(D99,"Símbolo do ticker",TRUE)</f>
        <v>ENER</v>
      </c>
      <c r="F99" s="4" t="str" cm="1">
        <f t="array" aca="1" ref="F99" ca="1">+_FV(D99,"Setor")</f>
        <v>Electrical Utilities &amp; IPPs</v>
      </c>
      <c r="G99" s="11">
        <v>46057</v>
      </c>
      <c r="H99" s="4">
        <v>4.95</v>
      </c>
      <c r="I99" s="7" cm="1">
        <f t="array" aca="1" ref="I99" ca="1">+_FV(D99,"Preço")</f>
        <v>4.95</v>
      </c>
      <c r="J99" s="8">
        <f t="shared" ca="1" si="1"/>
        <v>0</v>
      </c>
      <c r="K99" s="4" t="s">
        <v>713</v>
      </c>
      <c r="L99" s="4" t="s">
        <v>714</v>
      </c>
      <c r="M99" s="4" t="s">
        <v>165</v>
      </c>
      <c r="N99" s="4" t="s">
        <v>715</v>
      </c>
      <c r="O99" s="4" t="s">
        <v>716</v>
      </c>
    </row>
    <row r="100" spans="1:15" x14ac:dyDescent="0.2">
      <c r="C100" t="s">
        <v>717</v>
      </c>
      <c r="D100" t="e" vm="100">
        <v>#VALUE!</v>
      </c>
      <c r="E100" s="4" t="str" cm="1">
        <f t="array" aca="1" ref="E100" ca="1">+_FV(D100,"Símbolo do ticker",TRUE)</f>
        <v>YSIL</v>
      </c>
      <c r="F100" s="4" t="str" cm="1">
        <f t="array" aca="1" ref="F100" ca="1">+_FV(D100,"Setor")</f>
        <v>Residential &amp; Commercial REIT</v>
      </c>
      <c r="G100" s="11">
        <v>46057</v>
      </c>
      <c r="H100" s="4">
        <v>11</v>
      </c>
      <c r="I100" s="7" cm="1">
        <f t="array" aca="1" ref="I100" ca="1">+_FV(D100,"Preço")</f>
        <v>11</v>
      </c>
      <c r="J100" s="8">
        <f t="shared" ca="1" si="1"/>
        <v>0</v>
      </c>
      <c r="K100" s="4">
        <v>100</v>
      </c>
      <c r="L100" s="4" t="s">
        <v>166</v>
      </c>
      <c r="M100" s="4" t="s">
        <v>167</v>
      </c>
      <c r="N100" s="4" t="s">
        <v>718</v>
      </c>
      <c r="O100" s="4" t="s">
        <v>466</v>
      </c>
    </row>
    <row r="101" spans="1:15" x14ac:dyDescent="0.2">
      <c r="C101" t="s">
        <v>719</v>
      </c>
      <c r="D101" t="e" vm="101">
        <v>#VALUE!</v>
      </c>
      <c r="E101" s="4" t="str" cm="1">
        <f t="array" aca="1" ref="E101" ca="1">+_FV(D101,"Símbolo do ticker",TRUE)</f>
        <v>SOL</v>
      </c>
      <c r="F101" s="4" t="str" cm="1">
        <f t="array" aca="1" ref="F101" ca="1">+_FV(D101,"Setor")</f>
        <v>Renewable Energy</v>
      </c>
      <c r="G101" s="11">
        <v>46057</v>
      </c>
      <c r="H101" s="4">
        <v>0.6</v>
      </c>
      <c r="I101" s="7" cm="1">
        <f t="array" aca="1" ref="I101" ca="1">+_FV(D101,"Preço")</f>
        <v>0.59</v>
      </c>
      <c r="J101" s="8">
        <f t="shared" ca="1" si="1"/>
        <v>-1.6666666666666718E-2</v>
      </c>
      <c r="K101" s="4" t="s">
        <v>720</v>
      </c>
      <c r="L101" s="4" t="s">
        <v>721</v>
      </c>
      <c r="M101" s="4" t="s">
        <v>161</v>
      </c>
      <c r="N101" s="4"/>
      <c r="O101" s="4" t="s">
        <v>722</v>
      </c>
    </row>
    <row r="102" spans="1:15" x14ac:dyDescent="0.2">
      <c r="C102" t="s">
        <v>723</v>
      </c>
      <c r="D102" t="e" vm="102">
        <v>#VALUE!</v>
      </c>
      <c r="E102" s="4" t="str" cm="1">
        <f t="array" aca="1" ref="E102" ca="1">+_FV(D102,"Símbolo do ticker",TRUE)</f>
        <v>SEC</v>
      </c>
      <c r="F102" s="4" t="str" cm="1">
        <f t="array" aca="1" ref="F102" ca="1">+_FV(D102,"Setor")</f>
        <v>Media &amp; Publishing</v>
      </c>
      <c r="G102" s="11">
        <v>46057</v>
      </c>
      <c r="H102" s="4">
        <v>31.8</v>
      </c>
      <c r="I102" s="7" cm="1">
        <f t="array" aca="1" ref="I102" ca="1">+_FV(D102,"Preço")</f>
        <v>31.4</v>
      </c>
      <c r="J102" s="8">
        <f t="shared" ca="1" si="1"/>
        <v>-1.2578616352201366E-2</v>
      </c>
      <c r="K102" s="4">
        <v>92</v>
      </c>
      <c r="L102" s="4" t="s">
        <v>169</v>
      </c>
      <c r="M102" s="4" t="s">
        <v>170</v>
      </c>
      <c r="N102" s="4" t="s">
        <v>724</v>
      </c>
      <c r="O102" s="4" t="s">
        <v>725</v>
      </c>
    </row>
    <row r="103" spans="1:15" x14ac:dyDescent="0.2">
      <c r="C103" t="s">
        <v>726</v>
      </c>
      <c r="D103" t="e" vm="103">
        <v>#VALUE!</v>
      </c>
      <c r="E103" s="4" t="str" cm="1">
        <f t="array" aca="1" ref="E103" ca="1">+_FV(D103,"Símbolo do ticker",TRUE)</f>
        <v>ORY</v>
      </c>
      <c r="F103" s="4" t="str" cm="1">
        <f t="array" aca="1" ref="F103" ca="1">+_FV(D103,"Setor")</f>
        <v>Biotechnology &amp; Medical Research</v>
      </c>
      <c r="G103" s="11">
        <v>46057</v>
      </c>
      <c r="H103" s="4">
        <v>3.1749999999999998</v>
      </c>
      <c r="I103" s="7" cm="1">
        <f t="array" aca="1" ref="I103" ca="1">+_FV(D103,"Preço")</f>
        <v>3.12</v>
      </c>
      <c r="J103" s="8">
        <f t="shared" ca="1" si="1"/>
        <v>-1.7322834645669194E-2</v>
      </c>
      <c r="K103" s="4" t="s">
        <v>727</v>
      </c>
      <c r="L103" s="4" t="s">
        <v>728</v>
      </c>
      <c r="M103" s="4" t="s">
        <v>729</v>
      </c>
      <c r="N103" s="4" t="s">
        <v>730</v>
      </c>
      <c r="O103" s="4" t="s">
        <v>731</v>
      </c>
    </row>
    <row r="104" spans="1:15" x14ac:dyDescent="0.2">
      <c r="C104" t="s">
        <v>732</v>
      </c>
      <c r="D104" t="e" vm="104">
        <v>#VALUE!</v>
      </c>
      <c r="E104" s="4" t="str" cm="1">
        <f t="array" aca="1" ref="E104" ca="1">+_FV(D104,"Símbolo do ticker",TRUE)</f>
        <v>ARM</v>
      </c>
      <c r="F104" s="4" t="str" cm="1">
        <f t="array" aca="1" ref="F104" ca="1">+_FV(D104,"Setor")</f>
        <v>Residential &amp; Commercial REIT</v>
      </c>
      <c r="G104" s="11">
        <v>46057</v>
      </c>
      <c r="H104" s="4">
        <v>7.9</v>
      </c>
      <c r="I104" s="7" cm="1">
        <f t="array" aca="1" ref="I104" ca="1">+_FV(D104,"Preço")</f>
        <v>8.6</v>
      </c>
      <c r="J104" s="8">
        <f t="shared" ca="1" si="1"/>
        <v>8.8607594936708667E-2</v>
      </c>
      <c r="K104" s="4">
        <v>454</v>
      </c>
      <c r="L104" s="4" t="s">
        <v>733</v>
      </c>
      <c r="M104" s="4" t="s">
        <v>168</v>
      </c>
      <c r="N104" s="4" t="s">
        <v>734</v>
      </c>
      <c r="O104" s="4" t="s">
        <v>735</v>
      </c>
    </row>
    <row r="105" spans="1:15" x14ac:dyDescent="0.2">
      <c r="C105" t="s">
        <v>736</v>
      </c>
      <c r="D105" t="e" vm="105">
        <v>#VALUE!</v>
      </c>
      <c r="E105" s="4" t="str" cm="1">
        <f t="array" aca="1" ref="E105" ca="1">+_FV(D105,"Símbolo do ticker",TRUE)</f>
        <v>YVIT</v>
      </c>
      <c r="F105" s="4" t="str" cm="1">
        <f t="array" aca="1" ref="F105" ca="1">+_FV(D105,"Setor")</f>
        <v>Residential &amp; Commercial REIT</v>
      </c>
      <c r="G105" s="11">
        <v>46057</v>
      </c>
      <c r="H105" s="4">
        <v>16.5</v>
      </c>
      <c r="I105" s="7" cm="1">
        <f t="array" aca="1" ref="I105" ca="1">+_FV(D105,"Preço")</f>
        <v>16.5</v>
      </c>
      <c r="J105" s="8">
        <f t="shared" ca="1" si="1"/>
        <v>0</v>
      </c>
      <c r="K105" s="4" t="s">
        <v>282</v>
      </c>
      <c r="L105" s="4" t="s">
        <v>171</v>
      </c>
      <c r="M105" s="4" t="s">
        <v>172</v>
      </c>
      <c r="N105" s="4" t="s">
        <v>737</v>
      </c>
      <c r="O105" s="4" t="s">
        <v>738</v>
      </c>
    </row>
    <row r="106" spans="1:15" x14ac:dyDescent="0.2">
      <c r="C106" t="s">
        <v>739</v>
      </c>
      <c r="D106" t="e" vm="106">
        <v>#VALUE!</v>
      </c>
      <c r="E106" s="4" t="str" cm="1">
        <f t="array" aca="1" ref="E106" ca="1">+_FV(D106,"Símbolo do ticker",TRUE)</f>
        <v>YIRG</v>
      </c>
      <c r="F106" s="4" t="str" cm="1">
        <f t="array" aca="1" ref="F106" ca="1">+_FV(D106,"Setor")</f>
        <v>Residential &amp; Commercial REIT</v>
      </c>
      <c r="G106" s="11">
        <v>46057</v>
      </c>
      <c r="H106" s="4">
        <v>5.6</v>
      </c>
      <c r="I106" s="7" cm="1">
        <f t="array" aca="1" ref="I106" ca="1">+_FV(D106,"Preço")</f>
        <v>5.6</v>
      </c>
      <c r="J106" s="8">
        <f t="shared" ca="1" si="1"/>
        <v>0</v>
      </c>
      <c r="K106" s="4">
        <v>286</v>
      </c>
      <c r="L106" s="4" t="s">
        <v>173</v>
      </c>
      <c r="M106" s="4" t="s">
        <v>174</v>
      </c>
      <c r="N106" s="4" t="s">
        <v>740</v>
      </c>
      <c r="O106" s="4" t="s">
        <v>735</v>
      </c>
    </row>
    <row r="107" spans="1:15" x14ac:dyDescent="0.2">
      <c r="C107" t="s">
        <v>742</v>
      </c>
      <c r="D107" t="e" vm="107">
        <v>#VALUE!</v>
      </c>
      <c r="E107" s="4" t="str" cm="1">
        <f t="array" aca="1" ref="E107" ca="1">+_FV(D107,"Símbolo do ticker",TRUE)</f>
        <v>SQRL</v>
      </c>
      <c r="F107" s="4" t="str" cm="1">
        <f t="array" aca="1" ref="F107" ca="1">+_FV(D107,"Setor")</f>
        <v>Media &amp; Publishing</v>
      </c>
      <c r="G107" s="11">
        <v>46057</v>
      </c>
      <c r="H107" s="4">
        <v>2.4500000000000002</v>
      </c>
      <c r="I107" s="7" cm="1">
        <f t="array" aca="1" ref="I107" ca="1">+_FV(D107,"Preço")</f>
        <v>2.39</v>
      </c>
      <c r="J107" s="8">
        <f t="shared" ca="1" si="1"/>
        <v>-2.4489795918367419E-2</v>
      </c>
      <c r="K107" s="4" t="s">
        <v>743</v>
      </c>
      <c r="L107" s="4" t="s">
        <v>744</v>
      </c>
      <c r="M107" s="4" t="s">
        <v>89</v>
      </c>
      <c r="N107" s="4"/>
      <c r="O107" s="4" t="s">
        <v>745</v>
      </c>
    </row>
    <row r="108" spans="1:15" x14ac:dyDescent="0.2">
      <c r="C108" t="s">
        <v>746</v>
      </c>
      <c r="D108" t="e" vm="108">
        <v>#VALUE!</v>
      </c>
      <c r="E108" s="4" t="str" cm="1">
        <f t="array" aca="1" ref="E108" ca="1">+_FV(D108,"Símbolo do ticker",TRUE)</f>
        <v>IBG</v>
      </c>
      <c r="F108" s="4" t="str" cm="1">
        <f t="array" aca="1" ref="F108" ca="1">+_FV(D108,"Setor")</f>
        <v>Paper &amp; Forest Products</v>
      </c>
      <c r="G108" s="11">
        <v>46057</v>
      </c>
      <c r="H108" s="4">
        <v>21</v>
      </c>
      <c r="I108" s="7" cm="1">
        <f t="array" aca="1" ref="I108" ca="1">+_FV(D108,"Preço")</f>
        <v>21.1</v>
      </c>
      <c r="J108" s="8">
        <f t="shared" ca="1" si="1"/>
        <v>4.761904761904745E-3</v>
      </c>
      <c r="K108" s="4" t="s">
        <v>747</v>
      </c>
      <c r="L108" s="4" t="s">
        <v>748</v>
      </c>
      <c r="M108" s="4" t="s">
        <v>91</v>
      </c>
      <c r="N108" s="4" t="s">
        <v>525</v>
      </c>
      <c r="O108" s="4" t="s">
        <v>435</v>
      </c>
    </row>
    <row r="109" spans="1:15" x14ac:dyDescent="0.2">
      <c r="C109" t="s">
        <v>749</v>
      </c>
      <c r="D109" t="e" vm="109">
        <v>#VALUE!</v>
      </c>
      <c r="E109" s="4" t="str" cm="1">
        <f t="array" aca="1" ref="E109" ca="1">+_FV(D109,"Símbolo do ticker",TRUE)</f>
        <v>RJF</v>
      </c>
      <c r="F109" s="4" t="str" cm="1">
        <f t="array" aca="1" ref="F109" ca="1">+_FV(D109,"Setor")</f>
        <v>Pharmaceuticals</v>
      </c>
      <c r="G109" s="11">
        <v>46057</v>
      </c>
      <c r="H109" s="4">
        <v>2.75</v>
      </c>
      <c r="I109" s="7" cm="1">
        <f t="array" aca="1" ref="I109" ca="1">+_FV(D109,"Preço")</f>
        <v>2.73</v>
      </c>
      <c r="J109" s="8">
        <f t="shared" ca="1" si="1"/>
        <v>-7.2727272727273196E-3</v>
      </c>
      <c r="K109" s="4" t="s">
        <v>750</v>
      </c>
      <c r="L109" s="4" t="s">
        <v>751</v>
      </c>
      <c r="M109" s="4" t="s">
        <v>90</v>
      </c>
      <c r="N109" s="4" t="s">
        <v>752</v>
      </c>
      <c r="O109" s="4" t="s">
        <v>753</v>
      </c>
    </row>
    <row r="110" spans="1:15" x14ac:dyDescent="0.2">
      <c r="C110" t="s">
        <v>754</v>
      </c>
      <c r="D110" t="e" vm="110">
        <v>#VALUE!</v>
      </c>
      <c r="E110" s="4" t="str" cm="1">
        <f t="array" aca="1" ref="E110" ca="1">+_FV(D110,"Símbolo do ticker",TRUE)</f>
        <v>ATRY</v>
      </c>
      <c r="F110" s="4" t="str" cm="1">
        <f t="array" aca="1" ref="F110" ca="1">+_FV(D110,"Setor")</f>
        <v>Healthcare Providers &amp; Services</v>
      </c>
      <c r="G110" s="11">
        <v>46057</v>
      </c>
      <c r="H110" s="4">
        <v>2.93</v>
      </c>
      <c r="I110" s="7" cm="1">
        <f t="array" aca="1" ref="I110" ca="1">+_FV(D110,"Preço")</f>
        <v>2.94</v>
      </c>
      <c r="J110" s="8">
        <f t="shared" ca="1" si="1"/>
        <v>3.4129692832762792E-3</v>
      </c>
      <c r="K110" s="4" t="s">
        <v>755</v>
      </c>
      <c r="L110" s="4" t="s">
        <v>756</v>
      </c>
      <c r="M110" s="4" t="s">
        <v>175</v>
      </c>
      <c r="N110" s="4" t="s">
        <v>757</v>
      </c>
      <c r="O110" s="4" t="s">
        <v>758</v>
      </c>
    </row>
    <row r="111" spans="1:15" x14ac:dyDescent="0.2">
      <c r="C111" t="s">
        <v>759</v>
      </c>
      <c r="D111" t="e" vm="111">
        <v>#VALUE!</v>
      </c>
      <c r="E111" s="4" t="str" cm="1">
        <f t="array" aca="1" ref="E111" ca="1">+_FV(D111,"Símbolo do ticker",TRUE)</f>
        <v>PRM</v>
      </c>
      <c r="F111" s="4" t="str" cm="1">
        <f t="array" aca="1" ref="F111" ca="1">+_FV(D111,"Setor")</f>
        <v>Healthcare Equipment &amp; Supplies</v>
      </c>
      <c r="G111" s="11">
        <v>46057</v>
      </c>
      <c r="H111" s="4">
        <v>12.9</v>
      </c>
      <c r="I111" s="7" cm="1">
        <f t="array" aca="1" ref="I111" ca="1">+_FV(D111,"Preço")</f>
        <v>13.2</v>
      </c>
      <c r="J111" s="8">
        <f t="shared" ca="1" si="1"/>
        <v>2.3255813953488191E-2</v>
      </c>
      <c r="K111" s="4" t="s">
        <v>760</v>
      </c>
      <c r="L111" s="4" t="s">
        <v>761</v>
      </c>
      <c r="M111" s="4" t="s">
        <v>92</v>
      </c>
      <c r="N111" s="4" t="s">
        <v>762</v>
      </c>
      <c r="O111" s="4" t="s">
        <v>763</v>
      </c>
    </row>
    <row r="112" spans="1:15" s="1" customFormat="1" ht="15" x14ac:dyDescent="0.25">
      <c r="A112" s="1">
        <v>9</v>
      </c>
      <c r="B112" s="1" t="s">
        <v>1066</v>
      </c>
      <c r="C112" s="1" t="s">
        <v>766</v>
      </c>
      <c r="D112" s="1" t="e" vm="112">
        <v>#VALUE!</v>
      </c>
      <c r="E112" s="3" t="str" cm="1">
        <f t="array" aca="1" ref="E112" ca="1">+_FV(D112,"Símbolo do ticker",TRUE)</f>
        <v>AZK</v>
      </c>
      <c r="F112" s="3" t="str" cm="1">
        <f t="array" aca="1" ref="F112" ca="1">+_FV(D112,"Setor")</f>
        <v>Machinery, Equipment &amp; Components</v>
      </c>
      <c r="G112" s="10">
        <v>46057</v>
      </c>
      <c r="H112" s="3">
        <v>8.66</v>
      </c>
      <c r="I112" s="5" cm="1">
        <f t="array" aca="1" ref="I112" ca="1">+_FV(D112,"Preço")</f>
        <v>8.56</v>
      </c>
      <c r="J112" s="6">
        <f t="shared" ca="1" si="1"/>
        <v>-1.1547344110854452E-2</v>
      </c>
      <c r="K112" s="3" t="s">
        <v>767</v>
      </c>
      <c r="L112" s="3" t="s">
        <v>768</v>
      </c>
      <c r="M112" s="3" t="s">
        <v>93</v>
      </c>
      <c r="N112" s="3" t="s">
        <v>769</v>
      </c>
      <c r="O112" s="3" t="s">
        <v>770</v>
      </c>
    </row>
    <row r="113" spans="1:15" x14ac:dyDescent="0.2">
      <c r="C113" t="s">
        <v>176</v>
      </c>
      <c r="D113" t="e" vm="113">
        <v>#VALUE!</v>
      </c>
      <c r="E113" s="4" t="str" cm="1">
        <f t="array" aca="1" ref="E113" ca="1">+_FV(D113,"Símbolo do ticker",TRUE)</f>
        <v>YTRI</v>
      </c>
      <c r="F113" s="4" t="str" cm="1">
        <f t="array" aca="1" ref="F113" ca="1">+_FV(D113,"Setor")</f>
        <v>Residential &amp; Commercial REIT</v>
      </c>
      <c r="G113" s="11">
        <v>46057</v>
      </c>
      <c r="H113" s="4">
        <v>40.4</v>
      </c>
      <c r="I113" s="7" cm="1">
        <f t="array" aca="1" ref="I113" ca="1">+_FV(D113,"Preço")</f>
        <v>40.4</v>
      </c>
      <c r="J113" s="8">
        <f t="shared" ca="1" si="1"/>
        <v>0</v>
      </c>
      <c r="K113" s="4">
        <v>123</v>
      </c>
      <c r="L113" s="4" t="s">
        <v>177</v>
      </c>
      <c r="M113" s="4" t="s">
        <v>178</v>
      </c>
      <c r="N113" s="4" t="s">
        <v>771</v>
      </c>
      <c r="O113" s="4"/>
    </row>
    <row r="114" spans="1:15" x14ac:dyDescent="0.2">
      <c r="C114" t="s">
        <v>773</v>
      </c>
      <c r="D114" t="e" vm="114">
        <v>#VALUE!</v>
      </c>
      <c r="E114" s="4" t="str" cm="1">
        <f t="array" aca="1" ref="E114" ca="1">+_FV(D114,"Símbolo do ticker",TRUE)</f>
        <v>YORE</v>
      </c>
      <c r="F114" s="4" t="str" cm="1">
        <f t="array" aca="1" ref="F114" ca="1">+_FV(D114,"Setor")</f>
        <v>Residential &amp; Commercial REIT</v>
      </c>
      <c r="G114" s="11">
        <v>46057</v>
      </c>
      <c r="H114" s="4">
        <v>0.95</v>
      </c>
      <c r="I114" s="7" cm="1">
        <f t="array" aca="1" ref="I114" ca="1">+_FV(D114,"Preço")</f>
        <v>0.95</v>
      </c>
      <c r="J114" s="8">
        <f t="shared" ca="1" si="1"/>
        <v>0</v>
      </c>
      <c r="K114" s="4" t="s">
        <v>774</v>
      </c>
      <c r="L114" s="4" t="s">
        <v>775</v>
      </c>
      <c r="M114" s="4" t="s">
        <v>179</v>
      </c>
      <c r="N114" s="4" t="s">
        <v>776</v>
      </c>
      <c r="O114" s="4" t="s">
        <v>735</v>
      </c>
    </row>
    <row r="115" spans="1:15" x14ac:dyDescent="0.2">
      <c r="C115" t="s">
        <v>777</v>
      </c>
      <c r="D115" t="e" vm="115">
        <v>#VALUE!</v>
      </c>
      <c r="E115" s="4" t="str" cm="1">
        <f t="array" aca="1" ref="E115" ca="1">+_FV(D115,"Símbolo do ticker",TRUE)</f>
        <v>VINTE*</v>
      </c>
      <c r="F115" s="4" t="str" cm="1">
        <f t="array" aca="1" ref="F115" ca="1">+_FV(D115,"Setor")</f>
        <v>Real Estate Operations</v>
      </c>
      <c r="G115" s="11">
        <v>46057</v>
      </c>
      <c r="H115" s="4">
        <v>35.159999999999997</v>
      </c>
      <c r="I115" s="7" cm="1">
        <f t="array" aca="1" ref="I115" ca="1">+_FV(D115,"Preço")</f>
        <v>35.159999999999997</v>
      </c>
      <c r="J115" s="8">
        <f t="shared" ca="1" si="1"/>
        <v>0</v>
      </c>
      <c r="K115" s="4">
        <v>609</v>
      </c>
      <c r="L115" s="4" t="s">
        <v>180</v>
      </c>
      <c r="M115" s="4" t="s">
        <v>181</v>
      </c>
      <c r="N115" s="4" t="s">
        <v>778</v>
      </c>
      <c r="O115" s="4" t="s">
        <v>779</v>
      </c>
    </row>
    <row r="116" spans="1:15" x14ac:dyDescent="0.2">
      <c r="C116" t="s">
        <v>780</v>
      </c>
      <c r="D116" t="e" vm="116">
        <v>#VALUE!</v>
      </c>
      <c r="E116" s="4" t="str" cm="1">
        <f t="array" aca="1" ref="E116" ca="1">+_FV(D116,"Símbolo do ticker",TRUE)</f>
        <v>SCBYT</v>
      </c>
      <c r="F116" s="4" t="str" cm="1">
        <f t="array" aca="1" ref="F116" ca="1">+_FV(D116,"Setor")</f>
        <v>Hotels &amp; Entertainment Services</v>
      </c>
      <c r="G116" s="11">
        <v>46057</v>
      </c>
      <c r="H116" s="4">
        <v>5.4</v>
      </c>
      <c r="I116" s="7" cm="1">
        <f t="array" aca="1" ref="I116" ca="1">+_FV(D116,"Preço")</f>
        <v>5.4</v>
      </c>
      <c r="J116" s="8">
        <f t="shared" ca="1" si="1"/>
        <v>0</v>
      </c>
      <c r="K116" s="4">
        <v>743</v>
      </c>
      <c r="L116" s="4" t="s">
        <v>781</v>
      </c>
      <c r="M116" s="4" t="s">
        <v>182</v>
      </c>
      <c r="N116" s="4" t="s">
        <v>782</v>
      </c>
      <c r="O116" s="4" t="s">
        <v>783</v>
      </c>
    </row>
    <row r="117" spans="1:15" x14ac:dyDescent="0.2">
      <c r="C117" t="s">
        <v>183</v>
      </c>
      <c r="D117" t="e" vm="117">
        <v>#VALUE!</v>
      </c>
      <c r="E117" s="4" t="str" cm="1">
        <f t="array" aca="1" ref="E117" ca="1">+_FV(D117,"Símbolo do ticker",TRUE)</f>
        <v>YDOA</v>
      </c>
      <c r="F117" s="4" t="str" cm="1">
        <f t="array" aca="1" ref="F117" ca="1">+_FV(D117,"Setor")</f>
        <v>Residential &amp; Commercial REIT</v>
      </c>
      <c r="G117" s="11">
        <v>46057</v>
      </c>
      <c r="H117" s="4">
        <v>25.2</v>
      </c>
      <c r="I117" s="7" cm="1">
        <f t="array" aca="1" ref="I117" ca="1">+_FV(D117,"Preço")</f>
        <v>25.6</v>
      </c>
      <c r="J117" s="8">
        <f t="shared" ca="1" si="1"/>
        <v>1.5873015873016039E-2</v>
      </c>
      <c r="K117" s="4">
        <v>189</v>
      </c>
      <c r="L117" s="4" t="s">
        <v>184</v>
      </c>
      <c r="M117" s="4" t="s">
        <v>185</v>
      </c>
      <c r="N117" s="4" t="s">
        <v>784</v>
      </c>
      <c r="O117" s="4" t="s">
        <v>785</v>
      </c>
    </row>
    <row r="118" spans="1:15" x14ac:dyDescent="0.2">
      <c r="C118" t="s">
        <v>786</v>
      </c>
      <c r="D118" t="e" vm="118">
        <v>#VALUE!</v>
      </c>
      <c r="E118" s="4" t="str" cm="1">
        <f t="array" aca="1" ref="E118" ca="1">+_FV(D118,"Símbolo do ticker",TRUE)</f>
        <v>AI</v>
      </c>
      <c r="F118" s="4" t="str" cm="1">
        <f t="array" aca="1" ref="F118" ca="1">+_FV(D118,"Setor")</f>
        <v>Electronic Equipment &amp; Parts</v>
      </c>
      <c r="G118" s="11">
        <v>46057</v>
      </c>
      <c r="H118" s="4">
        <v>9.7900000000000001E-2</v>
      </c>
      <c r="I118" s="7" cm="1">
        <f t="array" aca="1" ref="I118" ca="1">+_FV(D118,"Preço")</f>
        <v>9.6500000000000002E-2</v>
      </c>
      <c r="J118" s="8">
        <f t="shared" ca="1" si="1"/>
        <v>-1.4300306435137911E-2</v>
      </c>
      <c r="K118" s="4" t="s">
        <v>787</v>
      </c>
      <c r="L118" s="4" t="s">
        <v>788</v>
      </c>
      <c r="M118" s="4" t="s">
        <v>94</v>
      </c>
      <c r="N118" s="4" t="s">
        <v>789</v>
      </c>
      <c r="O118" s="4" t="s">
        <v>790</v>
      </c>
    </row>
    <row r="119" spans="1:15" x14ac:dyDescent="0.2">
      <c r="C119" t="s">
        <v>187</v>
      </c>
      <c r="D119" t="e" vm="119">
        <v>#VALUE!</v>
      </c>
      <c r="E119" s="4" t="str" cm="1">
        <f t="array" aca="1" ref="E119" ca="1">+_FV(D119,"Símbolo do ticker",TRUE)</f>
        <v>BKY</v>
      </c>
      <c r="F119" s="4" t="str" cm="1">
        <f t="array" aca="1" ref="F119" ca="1">+_FV(D119,"Setor")</f>
        <v>Metals &amp; Mining</v>
      </c>
      <c r="G119" s="11">
        <v>46057</v>
      </c>
      <c r="H119" s="4">
        <v>0.317</v>
      </c>
      <c r="I119" s="7" cm="1">
        <f t="array" aca="1" ref="I119" ca="1">+_FV(D119,"Preço")</f>
        <v>0.3105</v>
      </c>
      <c r="J119" s="8">
        <f t="shared" ca="1" si="1"/>
        <v>-2.0504731861198722E-2</v>
      </c>
      <c r="K119" s="4" t="s">
        <v>791</v>
      </c>
      <c r="L119" s="4" t="s">
        <v>792</v>
      </c>
      <c r="M119" s="4" t="s">
        <v>25</v>
      </c>
      <c r="N119" s="4" t="s">
        <v>793</v>
      </c>
      <c r="O119" s="4" t="s">
        <v>683</v>
      </c>
    </row>
    <row r="120" spans="1:15" x14ac:dyDescent="0.2">
      <c r="C120" t="s">
        <v>794</v>
      </c>
      <c r="D120" t="e" vm="120">
        <v>#VALUE!</v>
      </c>
      <c r="E120" s="4" t="str" cm="1">
        <f t="array" aca="1" ref="E120" ca="1">+_FV(D120,"Símbolo do ticker",TRUE)</f>
        <v>NTH</v>
      </c>
      <c r="F120" s="4" t="str" cm="1">
        <f t="array" aca="1" ref="F120" ca="1">+_FV(D120,"Setor")</f>
        <v>Specialty Retailers</v>
      </c>
      <c r="G120" s="11">
        <v>46057</v>
      </c>
      <c r="H120" s="4">
        <v>2.41</v>
      </c>
      <c r="I120" s="7" cm="1">
        <f t="array" aca="1" ref="I120" ca="1">+_FV(D120,"Preço")</f>
        <v>2.57</v>
      </c>
      <c r="J120" s="8">
        <f t="shared" ca="1" si="1"/>
        <v>6.6390041493775698E-2</v>
      </c>
      <c r="K120" s="4" t="s">
        <v>795</v>
      </c>
      <c r="L120" s="4" t="s">
        <v>796</v>
      </c>
      <c r="M120" s="4" t="s">
        <v>186</v>
      </c>
      <c r="N120" s="4" t="s">
        <v>797</v>
      </c>
      <c r="O120" s="4" t="s">
        <v>413</v>
      </c>
    </row>
    <row r="121" spans="1:15" x14ac:dyDescent="0.2">
      <c r="C121" t="s">
        <v>798</v>
      </c>
      <c r="D121" t="e" vm="121">
        <v>#VALUE!</v>
      </c>
      <c r="E121" s="4" t="str" cm="1">
        <f t="array" aca="1" ref="E121" ca="1">+_FV(D121,"Símbolo do ticker",TRUE)</f>
        <v>GAM</v>
      </c>
      <c r="F121" s="4" t="str" cm="1">
        <f t="array" aca="1" ref="F121" ca="1">+_FV(D121,"Setor")</f>
        <v>Professional &amp; Commercial Services</v>
      </c>
      <c r="G121" s="11">
        <v>46057</v>
      </c>
      <c r="H121" s="4">
        <v>1.52</v>
      </c>
      <c r="I121" s="7" cm="1">
        <f t="array" aca="1" ref="I121" ca="1">+_FV(D121,"Preço")</f>
        <v>1.5</v>
      </c>
      <c r="J121" s="8">
        <f t="shared" ca="1" si="1"/>
        <v>-1.3157894736842146E-2</v>
      </c>
      <c r="K121" s="4" t="s">
        <v>799</v>
      </c>
      <c r="L121" s="4" t="s">
        <v>800</v>
      </c>
      <c r="M121" s="4" t="s">
        <v>95</v>
      </c>
      <c r="N121" s="4" t="s">
        <v>801</v>
      </c>
      <c r="O121" s="4" t="s">
        <v>802</v>
      </c>
    </row>
    <row r="122" spans="1:15" x14ac:dyDescent="0.2">
      <c r="C122" t="s">
        <v>803</v>
      </c>
      <c r="D122" t="e" vm="122">
        <v>#VALUE!</v>
      </c>
      <c r="E122" s="4" t="str" cm="1">
        <f t="array" aca="1" ref="E122" ca="1">+_FV(D122,"Símbolo do ticker",TRUE)</f>
        <v>YADR</v>
      </c>
      <c r="F122" s="4" t="str" cm="1">
        <f t="array" aca="1" ref="F122" ca="1">+_FV(D122,"Setor")</f>
        <v>Residential &amp; Commercial REIT</v>
      </c>
      <c r="G122" s="11">
        <v>46057</v>
      </c>
      <c r="H122" s="4">
        <v>10.4</v>
      </c>
      <c r="I122" s="7" cm="1">
        <f t="array" aca="1" ref="I122" ca="1">+_FV(D122,"Preço")</f>
        <v>10.4</v>
      </c>
      <c r="J122" s="8">
        <f t="shared" ca="1" si="1"/>
        <v>0</v>
      </c>
      <c r="K122" s="4">
        <v>603</v>
      </c>
      <c r="L122" s="4" t="s">
        <v>188</v>
      </c>
      <c r="M122" s="4" t="s">
        <v>189</v>
      </c>
      <c r="N122" s="4" t="s">
        <v>804</v>
      </c>
      <c r="O122" s="4" t="s">
        <v>678</v>
      </c>
    </row>
    <row r="123" spans="1:15" x14ac:dyDescent="0.2">
      <c r="C123" t="s">
        <v>805</v>
      </c>
      <c r="D123" t="e" vm="123">
        <v>#VALUE!</v>
      </c>
      <c r="E123" s="4" t="str" cm="1">
        <f t="array" aca="1" ref="E123" ca="1">+_FV(D123,"Símbolo do ticker",TRUE)</f>
        <v>YISC</v>
      </c>
      <c r="F123" s="4" t="str" cm="1">
        <f t="array" aca="1" ref="F123" ca="1">+_FV(D123,"Setor")</f>
        <v>Real Estate Operations</v>
      </c>
      <c r="G123" s="11">
        <v>46057</v>
      </c>
      <c r="H123" s="4">
        <v>18</v>
      </c>
      <c r="I123" s="7" cm="1">
        <f t="array" aca="1" ref="I123" ca="1">+_FV(D123,"Preço")</f>
        <v>18</v>
      </c>
      <c r="J123" s="8">
        <f t="shared" ca="1" si="1"/>
        <v>0</v>
      </c>
      <c r="K123" s="4">
        <v>263</v>
      </c>
      <c r="L123" s="4" t="s">
        <v>190</v>
      </c>
      <c r="M123" s="4" t="s">
        <v>191</v>
      </c>
      <c r="N123" s="4" t="s">
        <v>806</v>
      </c>
      <c r="O123" s="4" t="s">
        <v>466</v>
      </c>
    </row>
    <row r="124" spans="1:15" x14ac:dyDescent="0.2">
      <c r="C124" t="s">
        <v>807</v>
      </c>
      <c r="D124" t="e" vm="124">
        <v>#VALUE!</v>
      </c>
      <c r="E124" s="4" t="str" cm="1">
        <f t="array" aca="1" ref="E124" ca="1">+_FV(D124,"Símbolo do ticker",TRUE)</f>
        <v>YTRM</v>
      </c>
      <c r="F124" s="4" t="str" cm="1">
        <f t="array" aca="1" ref="F124" ca="1">+_FV(D124,"Setor")</f>
        <v>Residential &amp; Commercial REIT</v>
      </c>
      <c r="G124" s="11">
        <v>46057</v>
      </c>
      <c r="H124" s="4">
        <v>23.8</v>
      </c>
      <c r="I124" s="7" cm="1">
        <f t="array" aca="1" ref="I124" ca="1">+_FV(D124,"Preço")</f>
        <v>23.8</v>
      </c>
      <c r="J124" s="8">
        <f t="shared" ca="1" si="1"/>
        <v>0</v>
      </c>
      <c r="K124" s="4">
        <v>185</v>
      </c>
      <c r="L124" s="4" t="s">
        <v>192</v>
      </c>
      <c r="M124" s="4" t="s">
        <v>25</v>
      </c>
      <c r="N124" s="4"/>
      <c r="O124" s="4"/>
    </row>
    <row r="125" spans="1:15" x14ac:dyDescent="0.2">
      <c r="C125" t="s">
        <v>808</v>
      </c>
      <c r="D125" t="e" vm="125">
        <v>#VALUE!</v>
      </c>
      <c r="E125" s="4" t="str" cm="1">
        <f t="array" aca="1" ref="E125" ca="1">+_FV(D125,"Símbolo do ticker",TRUE)</f>
        <v>OLE</v>
      </c>
      <c r="F125" s="4" t="str" cm="1">
        <f t="array" aca="1" ref="F125" ca="1">+_FV(D125,"Setor")</f>
        <v>Food &amp; Tobacco</v>
      </c>
      <c r="G125" s="11">
        <v>46057</v>
      </c>
      <c r="H125" s="4">
        <v>0.23599999999999999</v>
      </c>
      <c r="I125" s="7" cm="1">
        <f t="array" aca="1" ref="I125" ca="1">+_FV(D125,"Preço")</f>
        <v>0.23300000000000001</v>
      </c>
      <c r="J125" s="8">
        <f t="shared" ca="1" si="1"/>
        <v>-1.2711864406779516E-2</v>
      </c>
      <c r="K125" s="4" t="s">
        <v>809</v>
      </c>
      <c r="L125" s="4" t="s">
        <v>810</v>
      </c>
      <c r="M125" s="4" t="s">
        <v>96</v>
      </c>
      <c r="N125" s="4" t="s">
        <v>811</v>
      </c>
      <c r="O125" s="4" t="s">
        <v>812</v>
      </c>
    </row>
    <row r="126" spans="1:15" x14ac:dyDescent="0.2">
      <c r="C126" t="s">
        <v>193</v>
      </c>
      <c r="D126" t="e" vm="126">
        <v>#VALUE!</v>
      </c>
      <c r="E126" s="4" t="str" cm="1">
        <f t="array" aca="1" ref="E126" ca="1">+_FV(D126,"Símbolo do ticker",TRUE)</f>
        <v>YTEM</v>
      </c>
      <c r="F126" s="4" t="str" cm="1">
        <f t="array" aca="1" ref="F126" ca="1">+_FV(D126,"Setor")</f>
        <v>Residential &amp; Commercial REIT</v>
      </c>
      <c r="G126" s="11">
        <v>46057</v>
      </c>
      <c r="H126" s="4">
        <v>3.36</v>
      </c>
      <c r="I126" s="7" cm="1">
        <f t="array" aca="1" ref="I126" ca="1">+_FV(D126,"Preço")</f>
        <v>3.36</v>
      </c>
      <c r="J126" s="8">
        <f t="shared" ca="1" si="1"/>
        <v>0</v>
      </c>
      <c r="K126" s="4" t="s">
        <v>194</v>
      </c>
      <c r="L126" s="4" t="s">
        <v>195</v>
      </c>
      <c r="M126" s="4" t="s">
        <v>196</v>
      </c>
      <c r="N126" s="4" t="s">
        <v>813</v>
      </c>
      <c r="O126" s="4" t="s">
        <v>779</v>
      </c>
    </row>
    <row r="127" spans="1:15" s="1" customFormat="1" ht="15" x14ac:dyDescent="0.25">
      <c r="A127" s="1">
        <v>10</v>
      </c>
      <c r="B127" s="1" t="s">
        <v>1067</v>
      </c>
      <c r="C127" s="1" t="s">
        <v>814</v>
      </c>
      <c r="D127" s="1" t="e" vm="127">
        <v>#VALUE!</v>
      </c>
      <c r="E127" s="3" t="str" cm="1">
        <f t="array" aca="1" ref="E127" ca="1">+_FV(D127,"Símbolo do ticker",TRUE)</f>
        <v>NEA</v>
      </c>
      <c r="F127" s="3" t="str" cm="1">
        <f t="array" aca="1" ref="F127" ca="1">+_FV(D127,"Setor")</f>
        <v>Machinery, Equipment &amp; Components</v>
      </c>
      <c r="G127" s="10">
        <v>46057</v>
      </c>
      <c r="H127" s="3">
        <v>9.68</v>
      </c>
      <c r="I127" s="5" cm="1">
        <f t="array" aca="1" ref="I127" ca="1">+_FV(D127,"Preço")</f>
        <v>9.9</v>
      </c>
      <c r="J127" s="6">
        <f t="shared" ca="1" si="1"/>
        <v>2.2727272727272707E-2</v>
      </c>
      <c r="K127" s="3" t="s">
        <v>815</v>
      </c>
      <c r="L127" s="3" t="s">
        <v>816</v>
      </c>
      <c r="M127" s="3" t="s">
        <v>97</v>
      </c>
      <c r="N127" s="3" t="s">
        <v>817</v>
      </c>
      <c r="O127" s="3" t="s">
        <v>688</v>
      </c>
    </row>
    <row r="128" spans="1:15" x14ac:dyDescent="0.2">
      <c r="C128" t="s">
        <v>818</v>
      </c>
      <c r="D128" t="e" vm="128">
        <v>#VALUE!</v>
      </c>
      <c r="E128" s="4" t="str" cm="1">
        <f t="array" aca="1" ref="E128" ca="1">+_FV(D128,"Símbolo do ticker",TRUE)</f>
        <v>YTAN</v>
      </c>
      <c r="F128" s="4" t="str" cm="1">
        <f t="array" aca="1" ref="F128" ca="1">+_FV(D128,"Setor")</f>
        <v>Residential &amp; Commercial REIT</v>
      </c>
      <c r="G128" s="11">
        <v>46057</v>
      </c>
      <c r="H128" s="4">
        <v>12.1</v>
      </c>
      <c r="I128" s="7" cm="1">
        <f t="array" aca="1" ref="I128" ca="1">+_FV(D128,"Preço")</f>
        <v>12.1</v>
      </c>
      <c r="J128" s="8">
        <f t="shared" ca="1" si="1"/>
        <v>0</v>
      </c>
      <c r="K128" s="4">
        <v>428</v>
      </c>
      <c r="L128" s="4" t="s">
        <v>197</v>
      </c>
      <c r="M128" s="4" t="s">
        <v>198</v>
      </c>
      <c r="N128" s="4" t="s">
        <v>819</v>
      </c>
      <c r="O128" s="4" t="s">
        <v>785</v>
      </c>
    </row>
    <row r="129" spans="3:15" x14ac:dyDescent="0.2">
      <c r="C129" t="s">
        <v>820</v>
      </c>
      <c r="D129" t="e" vm="129">
        <v>#VALUE!</v>
      </c>
      <c r="E129" s="4" t="str" cm="1">
        <f t="array" aca="1" ref="E129" ca="1">+_FV(D129,"Símbolo do ticker",TRUE)</f>
        <v>AMEN</v>
      </c>
      <c r="F129" s="4" t="str" cm="1">
        <f t="array" aca="1" ref="F129" ca="1">+_FV(D129,"Setor")</f>
        <v>Software &amp; IT Services</v>
      </c>
      <c r="G129" s="11">
        <v>46057</v>
      </c>
      <c r="H129" s="4">
        <v>8.15</v>
      </c>
      <c r="I129" s="7" cm="1">
        <f t="array" aca="1" ref="I129" ca="1">+_FV(D129,"Preço")</f>
        <v>8.15</v>
      </c>
      <c r="J129" s="8">
        <f t="shared" ca="1" si="1"/>
        <v>0</v>
      </c>
      <c r="K129" s="4">
        <v>10</v>
      </c>
      <c r="L129" s="4" t="s">
        <v>199</v>
      </c>
      <c r="M129" s="4" t="s">
        <v>200</v>
      </c>
      <c r="N129" s="4" t="s">
        <v>821</v>
      </c>
      <c r="O129" s="4" t="s">
        <v>765</v>
      </c>
    </row>
    <row r="130" spans="3:15" x14ac:dyDescent="0.2">
      <c r="C130" t="s">
        <v>202</v>
      </c>
      <c r="D130" t="e" vm="130">
        <v>#VALUE!</v>
      </c>
      <c r="E130" s="4" t="str" cm="1">
        <f t="array" aca="1" ref="E130" ca="1">+_FV(D130,"Símbolo do ticker",TRUE)</f>
        <v>GGR</v>
      </c>
      <c r="F130" s="4" t="str" cm="1">
        <f t="array" aca="1" ref="F130" ca="1">+_FV(D130,"Setor")</f>
        <v>Renewable Energy</v>
      </c>
      <c r="G130" s="11">
        <v>46057</v>
      </c>
      <c r="H130" s="4">
        <v>3.86</v>
      </c>
      <c r="I130" s="7" cm="1">
        <f t="array" aca="1" ref="I130" ca="1">+_FV(D130,"Preço")</f>
        <v>4</v>
      </c>
      <c r="J130" s="8">
        <f t="shared" ca="1" si="1"/>
        <v>3.62694300518136E-2</v>
      </c>
      <c r="K130" s="4" t="s">
        <v>822</v>
      </c>
      <c r="L130" s="4" t="s">
        <v>823</v>
      </c>
      <c r="M130" s="4" t="s">
        <v>25</v>
      </c>
      <c r="N130" s="4" t="s">
        <v>824</v>
      </c>
      <c r="O130" s="4" t="s">
        <v>825</v>
      </c>
    </row>
    <row r="131" spans="3:15" x14ac:dyDescent="0.2">
      <c r="C131" t="s">
        <v>826</v>
      </c>
      <c r="D131" t="e" vm="131">
        <v>#VALUE!</v>
      </c>
      <c r="E131" s="4" t="str" cm="1">
        <f t="array" aca="1" ref="E131" ca="1">+_FV(D131,"Símbolo do ticker",TRUE)</f>
        <v>CLR</v>
      </c>
      <c r="F131" s="4" t="str" cm="1">
        <f t="array" aca="1" ref="F131" ca="1">+_FV(D131,"Setor")</f>
        <v>Construction &amp; Engineering</v>
      </c>
      <c r="G131" s="11">
        <v>46057</v>
      </c>
      <c r="H131" s="4">
        <v>6.12</v>
      </c>
      <c r="I131" s="7" cm="1">
        <f t="array" aca="1" ref="I131" ca="1">+_FV(D131,"Preço")</f>
        <v>6.1</v>
      </c>
      <c r="J131" s="8">
        <f t="shared" ref="J131:J194" ca="1" si="2">+I131/H131-1</f>
        <v>-3.2679738562092497E-3</v>
      </c>
      <c r="K131" s="4" t="s">
        <v>827</v>
      </c>
      <c r="L131" s="4" t="s">
        <v>828</v>
      </c>
      <c r="M131" s="4" t="s">
        <v>201</v>
      </c>
      <c r="N131" s="4" t="s">
        <v>829</v>
      </c>
      <c r="O131" s="4" t="s">
        <v>830</v>
      </c>
    </row>
    <row r="132" spans="3:15" x14ac:dyDescent="0.2">
      <c r="C132" t="s">
        <v>203</v>
      </c>
      <c r="D132" t="e" vm="132">
        <v>#VALUE!</v>
      </c>
      <c r="E132" s="4" t="str" cm="1">
        <f t="array" aca="1" ref="E132" ca="1">+_FV(D132,"Símbolo do ticker",TRUE)</f>
        <v>SNG</v>
      </c>
      <c r="F132" s="4" t="str" cm="1">
        <f t="array" aca="1" ref="F132" ca="1">+_FV(D132,"Setor")</f>
        <v>Software &amp; IT Services</v>
      </c>
      <c r="G132" s="11">
        <v>46057</v>
      </c>
      <c r="H132" s="4">
        <v>2.02</v>
      </c>
      <c r="I132" s="7" cm="1">
        <f t="array" aca="1" ref="I132" ca="1">+_FV(D132,"Preço")</f>
        <v>2.02</v>
      </c>
      <c r="J132" s="8">
        <f t="shared" ca="1" si="2"/>
        <v>0</v>
      </c>
      <c r="K132" s="4" t="s">
        <v>204</v>
      </c>
      <c r="L132" s="4" t="s">
        <v>831</v>
      </c>
      <c r="M132" s="4" t="s">
        <v>205</v>
      </c>
      <c r="N132" s="4"/>
      <c r="O132" s="4" t="s">
        <v>499</v>
      </c>
    </row>
    <row r="133" spans="3:15" x14ac:dyDescent="0.2">
      <c r="C133" t="s">
        <v>832</v>
      </c>
      <c r="D133" t="e" vm="133">
        <v>#VALUE!</v>
      </c>
      <c r="E133" s="4" t="str" cm="1">
        <f t="array" aca="1" ref="E133" ca="1">+_FV(D133,"Símbolo do ticker",TRUE)</f>
        <v>YGOP</v>
      </c>
      <c r="F133" s="4" t="str" cm="1">
        <f t="array" aca="1" ref="F133" ca="1">+_FV(D133,"Setor")</f>
        <v>Real Estate Operations</v>
      </c>
      <c r="G133" s="11">
        <v>46057</v>
      </c>
      <c r="H133" s="4">
        <v>16.7</v>
      </c>
      <c r="I133" s="7" cm="1">
        <f t="array" aca="1" ref="I133" ca="1">+_FV(D133,"Preço")</f>
        <v>16.899999999999999</v>
      </c>
      <c r="J133" s="8">
        <f t="shared" ca="1" si="2"/>
        <v>1.1976047904191489E-2</v>
      </c>
      <c r="K133" s="4">
        <v>652</v>
      </c>
      <c r="L133" s="4" t="s">
        <v>206</v>
      </c>
      <c r="M133" s="4" t="s">
        <v>207</v>
      </c>
      <c r="N133" s="4" t="s">
        <v>833</v>
      </c>
      <c r="O133" s="4" t="s">
        <v>698</v>
      </c>
    </row>
    <row r="134" spans="3:15" x14ac:dyDescent="0.2">
      <c r="C134" t="s">
        <v>834</v>
      </c>
      <c r="D134" t="e" vm="134">
        <v>#VALUE!</v>
      </c>
      <c r="E134" s="4" t="str" cm="1">
        <f t="array" aca="1" ref="E134" ca="1">+_FV(D134,"Símbolo do ticker",TRUE)</f>
        <v>YHSP</v>
      </c>
      <c r="F134" s="4" t="str" cm="1">
        <f t="array" aca="1" ref="F134" ca="1">+_FV(D134,"Setor")</f>
        <v>Residential &amp; Commercial REIT</v>
      </c>
      <c r="G134" s="11">
        <v>46057</v>
      </c>
      <c r="H134" s="4">
        <v>9</v>
      </c>
      <c r="I134" s="7" cm="1">
        <f t="array" aca="1" ref="I134" ca="1">+_FV(D134,"Preço")</f>
        <v>9</v>
      </c>
      <c r="J134" s="8">
        <f t="shared" ca="1" si="2"/>
        <v>0</v>
      </c>
      <c r="K134" s="4">
        <v>285</v>
      </c>
      <c r="L134" s="4" t="s">
        <v>208</v>
      </c>
      <c r="M134" s="4" t="s">
        <v>209</v>
      </c>
      <c r="N134" s="4" t="s">
        <v>835</v>
      </c>
      <c r="O134" s="4" t="s">
        <v>836</v>
      </c>
    </row>
    <row r="135" spans="3:15" x14ac:dyDescent="0.2">
      <c r="C135" t="s">
        <v>837</v>
      </c>
      <c r="D135" t="e" vm="135">
        <v>#VALUE!</v>
      </c>
      <c r="E135" s="4" t="str" cm="1">
        <f t="array" aca="1" ref="E135" ca="1">+_FV(D135,"Símbolo do ticker",TRUE)</f>
        <v>YADV</v>
      </c>
      <c r="F135" s="4" t="str" cm="1">
        <f t="array" aca="1" ref="F135" ca="1">+_FV(D135,"Setor")</f>
        <v>Residential &amp; Commercial REIT</v>
      </c>
      <c r="G135" s="11">
        <v>46057</v>
      </c>
      <c r="H135" s="4">
        <v>14.1</v>
      </c>
      <c r="I135" s="7" cm="1">
        <f t="array" aca="1" ref="I135" ca="1">+_FV(D135,"Preço")</f>
        <v>14.1</v>
      </c>
      <c r="J135" s="8">
        <f t="shared" ca="1" si="2"/>
        <v>0</v>
      </c>
      <c r="K135" s="4">
        <v>261</v>
      </c>
      <c r="L135" s="4" t="s">
        <v>838</v>
      </c>
      <c r="M135" s="4" t="s">
        <v>210</v>
      </c>
      <c r="N135" s="4"/>
      <c r="O135" s="4" t="s">
        <v>741</v>
      </c>
    </row>
    <row r="136" spans="3:15" x14ac:dyDescent="0.2">
      <c r="C136" t="s">
        <v>839</v>
      </c>
      <c r="D136" t="e" vm="136">
        <v>#VALUE!</v>
      </c>
      <c r="E136" s="4" t="str" cm="1">
        <f t="array" aca="1" ref="E136" ca="1">+_FV(D136,"Símbolo do ticker",TRUE)</f>
        <v>YIBI</v>
      </c>
      <c r="F136" s="4" t="str" cm="1">
        <f t="array" aca="1" ref="F136" ca="1">+_FV(D136,"Setor")</f>
        <v>Real Estate Operations</v>
      </c>
      <c r="G136" s="11">
        <v>46057</v>
      </c>
      <c r="H136" s="4">
        <v>1.1399999999999999</v>
      </c>
      <c r="I136" s="7" cm="1">
        <f t="array" aca="1" ref="I136" ca="1">+_FV(D136,"Preço")</f>
        <v>1.1399999999999999</v>
      </c>
      <c r="J136" s="8">
        <f t="shared" ca="1" si="2"/>
        <v>0</v>
      </c>
      <c r="K136" s="4">
        <v>750</v>
      </c>
      <c r="L136" s="4" t="s">
        <v>211</v>
      </c>
      <c r="M136" s="4" t="s">
        <v>25</v>
      </c>
      <c r="N136" s="4"/>
      <c r="O136" s="4"/>
    </row>
    <row r="137" spans="3:15" x14ac:dyDescent="0.2">
      <c r="C137" t="s">
        <v>840</v>
      </c>
      <c r="D137" t="e" vm="137">
        <v>#VALUE!</v>
      </c>
      <c r="E137" s="4" t="str" cm="1">
        <f t="array" aca="1" ref="E137" ca="1">+_FV(D137,"Símbolo do ticker",TRUE)</f>
        <v>STNA</v>
      </c>
      <c r="F137" s="4" t="e" cm="1" vm="138">
        <f t="array" ref="F137">+_FV(D137,"Setor")</f>
        <v>#VALUE!</v>
      </c>
      <c r="G137" s="11">
        <v>46057</v>
      </c>
      <c r="H137" s="4">
        <v>12.4</v>
      </c>
      <c r="I137" s="7" cm="1">
        <f t="array" aca="1" ref="I137" ca="1">+_FV(D137,"Preço")</f>
        <v>12.4</v>
      </c>
      <c r="J137" s="8">
        <f t="shared" ca="1" si="2"/>
        <v>0</v>
      </c>
      <c r="K137" s="4">
        <v>94</v>
      </c>
      <c r="L137" s="4" t="s">
        <v>212</v>
      </c>
      <c r="M137" s="4" t="s">
        <v>25</v>
      </c>
      <c r="N137" s="4" t="s">
        <v>841</v>
      </c>
      <c r="O137" s="4" t="s">
        <v>842</v>
      </c>
    </row>
    <row r="138" spans="3:15" x14ac:dyDescent="0.2">
      <c r="C138" t="s">
        <v>843</v>
      </c>
      <c r="D138" t="e" vm="139">
        <v>#VALUE!</v>
      </c>
      <c r="E138" s="4" t="str" cm="1">
        <f t="array" aca="1" ref="E138" ca="1">+_FV(D138,"Símbolo do ticker",TRUE)</f>
        <v>APG</v>
      </c>
      <c r="F138" s="4" t="str" cm="1">
        <f t="array" aca="1" ref="F138" ca="1">+_FV(D138,"Setor")</f>
        <v>Investment Banking &amp; Investment Services</v>
      </c>
      <c r="G138" s="11">
        <v>46057</v>
      </c>
      <c r="H138" s="4">
        <v>15.7</v>
      </c>
      <c r="I138" s="7" cm="1">
        <f t="array" aca="1" ref="I138" ca="1">+_FV(D138,"Preço")</f>
        <v>15.1</v>
      </c>
      <c r="J138" s="8">
        <f t="shared" ca="1" si="2"/>
        <v>-3.8216560509554132E-2</v>
      </c>
      <c r="K138" s="4">
        <v>417</v>
      </c>
      <c r="L138" s="4" t="s">
        <v>213</v>
      </c>
      <c r="M138" s="4" t="s">
        <v>214</v>
      </c>
      <c r="N138" s="4" t="s">
        <v>844</v>
      </c>
      <c r="O138" s="4" t="s">
        <v>845</v>
      </c>
    </row>
    <row r="139" spans="3:15" x14ac:dyDescent="0.2">
      <c r="C139" t="s">
        <v>846</v>
      </c>
      <c r="D139" t="e" vm="140">
        <v>#VALUE!</v>
      </c>
      <c r="E139" s="4" t="str" cm="1">
        <f t="array" aca="1" ref="E139" ca="1">+_FV(D139,"Símbolo do ticker",TRUE)</f>
        <v>VYT</v>
      </c>
      <c r="F139" s="4" t="str" cm="1">
        <f t="array" aca="1" ref="F139" ca="1">+_FV(D139,"Setor")</f>
        <v>Professional &amp; Commercial Services</v>
      </c>
      <c r="G139" s="11">
        <v>46057</v>
      </c>
      <c r="H139" s="4">
        <v>12.2</v>
      </c>
      <c r="I139" s="7" cm="1">
        <f t="array" aca="1" ref="I139" ca="1">+_FV(D139,"Preço")</f>
        <v>11.1</v>
      </c>
      <c r="J139" s="8">
        <f t="shared" ca="1" si="2"/>
        <v>-9.0163934426229497E-2</v>
      </c>
      <c r="K139" s="4" t="s">
        <v>847</v>
      </c>
      <c r="L139" s="4" t="s">
        <v>848</v>
      </c>
      <c r="M139" s="4" t="s">
        <v>224</v>
      </c>
      <c r="N139" s="4" t="s">
        <v>849</v>
      </c>
      <c r="O139" s="4" t="s">
        <v>850</v>
      </c>
    </row>
    <row r="140" spans="3:15" x14ac:dyDescent="0.2">
      <c r="C140" t="s">
        <v>216</v>
      </c>
      <c r="D140" t="e" vm="141">
        <v>#VALUE!</v>
      </c>
      <c r="E140" s="4" t="str" cm="1">
        <f t="array" aca="1" ref="E140" ca="1">+_FV(D140,"Símbolo do ticker",TRUE)</f>
        <v>LLYC</v>
      </c>
      <c r="F140" s="4" t="str" cm="1">
        <f t="array" aca="1" ref="F140" ca="1">+_FV(D140,"Setor")</f>
        <v>Media &amp; Publishing</v>
      </c>
      <c r="G140" s="11">
        <v>46057</v>
      </c>
      <c r="H140" s="4">
        <v>7</v>
      </c>
      <c r="I140" s="7" cm="1">
        <f t="array" aca="1" ref="I140" ca="1">+_FV(D140,"Preço")</f>
        <v>7</v>
      </c>
      <c r="J140" s="8">
        <f t="shared" ca="1" si="2"/>
        <v>0</v>
      </c>
      <c r="K140" s="4" t="s">
        <v>217</v>
      </c>
      <c r="L140" s="4" t="s">
        <v>851</v>
      </c>
      <c r="M140" s="4" t="s">
        <v>218</v>
      </c>
      <c r="N140" s="4" t="s">
        <v>852</v>
      </c>
      <c r="O140" s="4" t="s">
        <v>772</v>
      </c>
    </row>
    <row r="141" spans="3:15" x14ac:dyDescent="0.2">
      <c r="C141" t="s">
        <v>853</v>
      </c>
      <c r="D141" t="e" vm="142">
        <v>#VALUE!</v>
      </c>
      <c r="E141" s="4" t="str" cm="1">
        <f t="array" aca="1" ref="E141" ca="1">+_FV(D141,"Símbolo do ticker",TRUE)</f>
        <v>SCBKF</v>
      </c>
      <c r="F141" s="4" t="e" cm="1" vm="138">
        <f t="array" ref="F141">+_FV(D141,"Setor")</f>
        <v>#VALUE!</v>
      </c>
      <c r="G141" s="11">
        <v>46057</v>
      </c>
      <c r="H141" s="4">
        <v>0.4</v>
      </c>
      <c r="I141" s="7" cm="1">
        <f t="array" aca="1" ref="I141" ca="1">+_FV(D141,"Preço")</f>
        <v>0.4</v>
      </c>
      <c r="J141" s="8">
        <f t="shared" ca="1" si="2"/>
        <v>0</v>
      </c>
      <c r="K141" s="4" t="s">
        <v>854</v>
      </c>
      <c r="L141" s="4" t="s">
        <v>855</v>
      </c>
      <c r="M141" s="4" t="s">
        <v>215</v>
      </c>
      <c r="N141" s="4" t="s">
        <v>856</v>
      </c>
      <c r="O141" s="4" t="s">
        <v>857</v>
      </c>
    </row>
    <row r="142" spans="3:15" x14ac:dyDescent="0.2">
      <c r="C142" t="s">
        <v>858</v>
      </c>
      <c r="D142" t="e" vm="143">
        <v>#VALUE!</v>
      </c>
      <c r="E142" s="4" t="str" cm="1">
        <f t="array" aca="1" ref="E142" ca="1">+_FV(D142,"Símbolo do ticker",TRUE)</f>
        <v>LIB</v>
      </c>
      <c r="F142" s="4" t="str" cm="1">
        <f t="array" aca="1" ref="F142" ca="1">+_FV(D142,"Setor")</f>
        <v>Real Estate Operations</v>
      </c>
      <c r="G142" s="11">
        <v>46057</v>
      </c>
      <c r="H142" s="4">
        <v>3.66</v>
      </c>
      <c r="I142" s="7" cm="1">
        <f t="array" aca="1" ref="I142" ca="1">+_FV(D142,"Preço")</f>
        <v>3.62</v>
      </c>
      <c r="J142" s="8">
        <f t="shared" ca="1" si="2"/>
        <v>-1.0928961748633892E-2</v>
      </c>
      <c r="K142" s="4" t="s">
        <v>859</v>
      </c>
      <c r="L142" s="4" t="s">
        <v>860</v>
      </c>
      <c r="M142" s="4" t="s">
        <v>227</v>
      </c>
      <c r="N142" s="4" t="s">
        <v>861</v>
      </c>
      <c r="O142" s="4" t="s">
        <v>770</v>
      </c>
    </row>
    <row r="143" spans="3:15" x14ac:dyDescent="0.2">
      <c r="C143" t="s">
        <v>862</v>
      </c>
      <c r="D143" t="e" vm="144">
        <v>#VALUE!</v>
      </c>
      <c r="E143" s="4" t="str" cm="1">
        <f t="array" aca="1" ref="E143" ca="1">+_FV(D143,"Símbolo do ticker",TRUE)</f>
        <v>VOC</v>
      </c>
      <c r="F143" s="4" t="str" cm="1">
        <f t="array" aca="1" ref="F143" ca="1">+_FV(D143,"Setor")</f>
        <v>Media &amp; Publishing</v>
      </c>
      <c r="G143" s="11">
        <v>46057</v>
      </c>
      <c r="H143" s="4">
        <v>0.64</v>
      </c>
      <c r="I143" s="7" cm="1">
        <f t="array" aca="1" ref="I143" ca="1">+_FV(D143,"Preço")</f>
        <v>0.65</v>
      </c>
      <c r="J143" s="8">
        <f t="shared" ca="1" si="2"/>
        <v>1.5625E-2</v>
      </c>
      <c r="K143" s="4" t="s">
        <v>98</v>
      </c>
      <c r="L143" s="4" t="s">
        <v>863</v>
      </c>
      <c r="M143" s="4" t="s">
        <v>99</v>
      </c>
      <c r="N143" s="4" t="s">
        <v>864</v>
      </c>
      <c r="O143" s="4" t="s">
        <v>865</v>
      </c>
    </row>
    <row r="144" spans="3:15" x14ac:dyDescent="0.2">
      <c r="C144" t="s">
        <v>866</v>
      </c>
      <c r="D144" t="e" vm="145">
        <v>#VALUE!</v>
      </c>
      <c r="E144" s="4" t="str" cm="1">
        <f t="array" aca="1" ref="E144" ca="1">+_FV(D144,"Símbolo do ticker",TRUE)</f>
        <v>YIPS</v>
      </c>
      <c r="F144" s="4" t="str" cm="1">
        <f t="array" aca="1" ref="F144" ca="1">+_FV(D144,"Setor")</f>
        <v>Residential &amp; Commercial REIT</v>
      </c>
      <c r="G144" s="11">
        <v>46057</v>
      </c>
      <c r="H144" s="4">
        <v>0.97</v>
      </c>
      <c r="I144" s="7" cm="1">
        <f t="array" aca="1" ref="I144" ca="1">+_FV(D144,"Preço")</f>
        <v>0.96</v>
      </c>
      <c r="J144" s="8">
        <f t="shared" ca="1" si="2"/>
        <v>-1.0309278350515427E-2</v>
      </c>
      <c r="K144" s="4" t="s">
        <v>219</v>
      </c>
      <c r="L144" s="4" t="s">
        <v>220</v>
      </c>
      <c r="M144" s="4" t="s">
        <v>221</v>
      </c>
      <c r="N144" s="4" t="s">
        <v>867</v>
      </c>
      <c r="O144" s="4" t="s">
        <v>836</v>
      </c>
    </row>
    <row r="145" spans="1:15" x14ac:dyDescent="0.2">
      <c r="C145" t="s">
        <v>868</v>
      </c>
      <c r="D145" t="e" vm="146">
        <v>#VALUE!</v>
      </c>
      <c r="E145" s="4" t="str" cm="1">
        <f t="array" aca="1" ref="E145" ca="1">+_FV(D145,"Símbolo do ticker",TRUE)</f>
        <v>UMB</v>
      </c>
      <c r="F145" s="4" t="str" cm="1">
        <f t="array" aca="1" ref="F145" ca="1">+_FV(D145,"Setor")</f>
        <v>Construction &amp; Engineering</v>
      </c>
      <c r="G145" s="11">
        <v>46057</v>
      </c>
      <c r="H145" s="4">
        <v>3.36</v>
      </c>
      <c r="I145" s="7" cm="1">
        <f t="array" aca="1" ref="I145" ca="1">+_FV(D145,"Preço")</f>
        <v>3.36</v>
      </c>
      <c r="J145" s="8">
        <f t="shared" ca="1" si="2"/>
        <v>0</v>
      </c>
      <c r="K145" s="4" t="s">
        <v>869</v>
      </c>
      <c r="L145" s="4" t="s">
        <v>222</v>
      </c>
      <c r="M145" s="4" t="s">
        <v>223</v>
      </c>
      <c r="N145" s="4" t="s">
        <v>870</v>
      </c>
      <c r="O145" s="4" t="s">
        <v>871</v>
      </c>
    </row>
    <row r="146" spans="1:15" x14ac:dyDescent="0.2">
      <c r="C146" t="s">
        <v>872</v>
      </c>
      <c r="D146" t="e" vm="147">
        <v>#VALUE!</v>
      </c>
      <c r="E146" s="4" t="str" cm="1">
        <f t="array" aca="1" ref="E146" ca="1">+_FV(D146,"Símbolo do ticker",TRUE)</f>
        <v>ETC</v>
      </c>
      <c r="F146" s="4" t="str" cm="1">
        <f t="array" aca="1" ref="F146" ca="1">+_FV(D146,"Setor")</f>
        <v>Electrical Utilities &amp; IPPs</v>
      </c>
      <c r="G146" s="11">
        <v>46057</v>
      </c>
      <c r="H146" s="4">
        <v>2.62</v>
      </c>
      <c r="I146" s="7" cm="1">
        <f t="array" aca="1" ref="I146" ca="1">+_FV(D146,"Preço")</f>
        <v>2.5499999999999998</v>
      </c>
      <c r="J146" s="8">
        <f t="shared" ca="1" si="2"/>
        <v>-2.6717557251908497E-2</v>
      </c>
      <c r="K146" s="4" t="s">
        <v>873</v>
      </c>
      <c r="L146" s="4" t="s">
        <v>874</v>
      </c>
      <c r="M146" s="4" t="s">
        <v>25</v>
      </c>
      <c r="N146" s="4" t="s">
        <v>875</v>
      </c>
      <c r="O146" s="4" t="s">
        <v>876</v>
      </c>
    </row>
    <row r="147" spans="1:15" x14ac:dyDescent="0.2">
      <c r="C147" t="s">
        <v>877</v>
      </c>
      <c r="D147" t="e" vm="148">
        <v>#VALUE!</v>
      </c>
      <c r="E147" s="4" t="str" cm="1">
        <f t="array" aca="1" ref="E147" ca="1">+_FV(D147,"Símbolo do ticker",TRUE)</f>
        <v>ALQ</v>
      </c>
      <c r="F147" s="4" t="str" cm="1">
        <f t="array" aca="1" ref="F147" ca="1">+_FV(D147,"Setor")</f>
        <v>Professional &amp; Commercial Services</v>
      </c>
      <c r="G147" s="11">
        <v>46057</v>
      </c>
      <c r="H147" s="4">
        <v>12.8</v>
      </c>
      <c r="I147" s="7" cm="1">
        <f t="array" aca="1" ref="I147" ca="1">+_FV(D147,"Preço")</f>
        <v>12.9</v>
      </c>
      <c r="J147" s="8">
        <f t="shared" ca="1" si="2"/>
        <v>7.8125E-3</v>
      </c>
      <c r="K147" s="4">
        <v>399</v>
      </c>
      <c r="L147" s="4" t="s">
        <v>225</v>
      </c>
      <c r="M147" s="4" t="s">
        <v>226</v>
      </c>
      <c r="N147" s="4" t="s">
        <v>878</v>
      </c>
      <c r="O147" s="4" t="s">
        <v>879</v>
      </c>
    </row>
    <row r="148" spans="1:15" x14ac:dyDescent="0.2">
      <c r="C148" t="s">
        <v>228</v>
      </c>
      <c r="D148" t="e" vm="149">
        <v>#VALUE!</v>
      </c>
      <c r="E148" s="4" t="str" cm="1">
        <f t="array" aca="1" ref="E148" ca="1">+_FV(D148,"Símbolo do ticker",TRUE)</f>
        <v>YMIL</v>
      </c>
      <c r="F148" s="4" t="str" cm="1">
        <f t="array" aca="1" ref="F148" ca="1">+_FV(D148,"Setor")</f>
        <v>Residential &amp; Commercial REIT</v>
      </c>
      <c r="G148" s="11">
        <v>46057</v>
      </c>
      <c r="H148" s="4">
        <v>27.2</v>
      </c>
      <c r="I148" s="7" cm="1">
        <f t="array" aca="1" ref="I148" ca="1">+_FV(D148,"Preço")</f>
        <v>27.2</v>
      </c>
      <c r="J148" s="8">
        <f t="shared" ca="1" si="2"/>
        <v>0</v>
      </c>
      <c r="K148" s="4">
        <v>205</v>
      </c>
      <c r="L148" s="4" t="s">
        <v>229</v>
      </c>
      <c r="M148" s="4" t="s">
        <v>25</v>
      </c>
      <c r="N148" s="4"/>
      <c r="O148" s="4"/>
    </row>
    <row r="149" spans="1:15" s="1" customFormat="1" ht="15" x14ac:dyDescent="0.25">
      <c r="A149" s="1">
        <v>7</v>
      </c>
      <c r="B149" s="1" t="s">
        <v>1068</v>
      </c>
      <c r="C149" s="1" t="s">
        <v>880</v>
      </c>
      <c r="D149" s="1" t="e" vm="150">
        <v>#VALUE!</v>
      </c>
      <c r="E149" s="3" t="str" cm="1">
        <f t="array" aca="1" ref="E149" ca="1">+_FV(D149,"Símbolo do ticker",TRUE)</f>
        <v>SCO</v>
      </c>
      <c r="F149" s="3" t="str" cm="1">
        <f t="array" aca="1" ref="F149" ca="1">+_FV(D149,"Setor")</f>
        <v>Software &amp; IT Services</v>
      </c>
      <c r="G149" s="10">
        <v>46057</v>
      </c>
      <c r="H149" s="3">
        <v>7.15</v>
      </c>
      <c r="I149" s="5" cm="1">
        <f t="array" aca="1" ref="I149" ca="1">+_FV(D149,"Preço")</f>
        <v>6.8</v>
      </c>
      <c r="J149" s="6">
        <f t="shared" ca="1" si="2"/>
        <v>-4.895104895104907E-2</v>
      </c>
      <c r="K149" s="3" t="s">
        <v>881</v>
      </c>
      <c r="L149" s="3" t="s">
        <v>230</v>
      </c>
      <c r="M149" s="3" t="s">
        <v>25</v>
      </c>
      <c r="N149" s="3"/>
      <c r="O149" s="3"/>
    </row>
    <row r="150" spans="1:15" x14ac:dyDescent="0.2">
      <c r="C150" t="s">
        <v>882</v>
      </c>
      <c r="D150" t="e" vm="151">
        <v>#VALUE!</v>
      </c>
      <c r="E150" s="4" t="str" cm="1">
        <f t="array" aca="1" ref="E150" ca="1">+_FV(D150,"Símbolo do ticker",TRUE)</f>
        <v>SCORS</v>
      </c>
      <c r="F150" s="4" t="str" cm="1">
        <f t="array" aca="1" ref="F150" ca="1">+_FV(D150,"Setor")</f>
        <v>Residential &amp; Commercial REIT</v>
      </c>
      <c r="G150" s="11">
        <v>46057</v>
      </c>
      <c r="H150" s="4">
        <v>13</v>
      </c>
      <c r="I150" s="7" cm="1">
        <f t="array" aca="1" ref="I150" ca="1">+_FV(D150,"Preço")</f>
        <v>13</v>
      </c>
      <c r="J150" s="8">
        <f t="shared" ca="1" si="2"/>
        <v>0</v>
      </c>
      <c r="K150" s="4">
        <v>1</v>
      </c>
      <c r="L150" s="4" t="s">
        <v>233</v>
      </c>
      <c r="M150" s="4" t="s">
        <v>234</v>
      </c>
      <c r="N150" s="4" t="s">
        <v>883</v>
      </c>
      <c r="O150" s="4"/>
    </row>
    <row r="151" spans="1:15" x14ac:dyDescent="0.2">
      <c r="C151" t="s">
        <v>884</v>
      </c>
      <c r="D151" t="e" vm="152">
        <v>#VALUE!</v>
      </c>
      <c r="E151" s="4" t="str" cm="1">
        <f t="array" aca="1" ref="E151" ca="1">+_FV(D151,"Símbolo do ticker",TRUE)</f>
        <v>EIDF</v>
      </c>
      <c r="F151" s="4" t="str" cm="1">
        <f t="array" aca="1" ref="F151" ca="1">+_FV(D151,"Setor")</f>
        <v>Renewable Energy</v>
      </c>
      <c r="G151" s="11">
        <v>46057</v>
      </c>
      <c r="H151" s="4">
        <v>0.94499999999999995</v>
      </c>
      <c r="I151" s="7" cm="1">
        <f t="array" aca="1" ref="I151" ca="1">+_FV(D151,"Preço")</f>
        <v>0.93700000000000006</v>
      </c>
      <c r="J151" s="8">
        <f t="shared" ca="1" si="2"/>
        <v>-8.4656084656083985E-3</v>
      </c>
      <c r="K151" s="4" t="s">
        <v>885</v>
      </c>
      <c r="L151" s="4" t="s">
        <v>886</v>
      </c>
      <c r="M151" s="4" t="s">
        <v>231</v>
      </c>
      <c r="N151" s="4" t="s">
        <v>887</v>
      </c>
      <c r="O151" s="4" t="s">
        <v>888</v>
      </c>
    </row>
    <row r="152" spans="1:15" x14ac:dyDescent="0.2">
      <c r="C152" t="s">
        <v>889</v>
      </c>
      <c r="D152" t="e" vm="153">
        <v>#VALUE!</v>
      </c>
      <c r="E152" s="4" t="str" cm="1">
        <f t="array" aca="1" ref="E152" ca="1">+_FV(D152,"Símbolo do ticker",TRUE)</f>
        <v>FACE</v>
      </c>
      <c r="F152" s="4" t="str" cm="1">
        <f t="array" aca="1" ref="F152" ca="1">+_FV(D152,"Setor")</f>
        <v>Software &amp; IT Services</v>
      </c>
      <c r="G152" s="11">
        <v>46057</v>
      </c>
      <c r="H152" s="4">
        <v>2.39</v>
      </c>
      <c r="I152" s="7" cm="1">
        <f t="array" aca="1" ref="I152" ca="1">+_FV(D152,"Preço")</f>
        <v>2.4300000000000002</v>
      </c>
      <c r="J152" s="8">
        <f t="shared" ca="1" si="2"/>
        <v>1.6736401673640211E-2</v>
      </c>
      <c r="K152" s="4" t="s">
        <v>890</v>
      </c>
      <c r="L152" s="4" t="s">
        <v>891</v>
      </c>
      <c r="M152" s="4" t="s">
        <v>232</v>
      </c>
      <c r="N152" s="4" t="s">
        <v>892</v>
      </c>
      <c r="O152" s="4" t="s">
        <v>893</v>
      </c>
    </row>
    <row r="153" spans="1:15" x14ac:dyDescent="0.2">
      <c r="C153" t="s">
        <v>894</v>
      </c>
      <c r="D153" t="e" vm="154">
        <v>#VALUE!</v>
      </c>
      <c r="E153" s="4" t="str" cm="1">
        <f t="array" aca="1" ref="E153" ca="1">+_FV(D153,"Símbolo do ticker",TRUE)</f>
        <v>YARP</v>
      </c>
      <c r="F153" s="4" t="str" cm="1">
        <f t="array" aca="1" ref="F153" ca="1">+_FV(D153,"Setor")</f>
        <v>Residential &amp; Commercial REIT</v>
      </c>
      <c r="G153" s="11">
        <v>46057</v>
      </c>
      <c r="H153" s="4">
        <v>2.8</v>
      </c>
      <c r="I153" s="7" cm="1">
        <f t="array" aca="1" ref="I153" ca="1">+_FV(D153,"Preço")</f>
        <v>2.8</v>
      </c>
      <c r="J153" s="8">
        <f t="shared" ca="1" si="2"/>
        <v>0</v>
      </c>
      <c r="K153" s="4">
        <v>150</v>
      </c>
      <c r="L153" s="4" t="s">
        <v>235</v>
      </c>
      <c r="M153" s="4" t="s">
        <v>236</v>
      </c>
      <c r="N153" s="4" t="s">
        <v>895</v>
      </c>
      <c r="O153" s="4" t="s">
        <v>785</v>
      </c>
    </row>
    <row r="154" spans="1:15" x14ac:dyDescent="0.2">
      <c r="C154" t="s">
        <v>896</v>
      </c>
      <c r="D154" t="e" vm="155">
        <v>#VALUE!</v>
      </c>
      <c r="E154" s="4" t="str" cm="1">
        <f t="array" aca="1" ref="E154" ca="1">+_FV(D154,"Símbolo do ticker",TRUE)</f>
        <v>LGT</v>
      </c>
      <c r="F154" s="4" t="str" cm="1">
        <f t="array" aca="1" ref="F154" ca="1">+_FV(D154,"Setor")</f>
        <v>Metals &amp; Mining</v>
      </c>
      <c r="G154" s="11">
        <v>46057</v>
      </c>
      <c r="H154" s="4">
        <v>5.7</v>
      </c>
      <c r="I154" s="7" cm="1">
        <f t="array" aca="1" ref="I154" ca="1">+_FV(D154,"Preço")</f>
        <v>5.8</v>
      </c>
      <c r="J154" s="8">
        <f t="shared" ca="1" si="2"/>
        <v>1.754385964912264E-2</v>
      </c>
      <c r="K154" s="4" t="s">
        <v>897</v>
      </c>
      <c r="L154" s="4" t="s">
        <v>898</v>
      </c>
      <c r="M154" s="4" t="s">
        <v>100</v>
      </c>
      <c r="N154" s="4" t="s">
        <v>899</v>
      </c>
      <c r="O154" s="4" t="s">
        <v>496</v>
      </c>
    </row>
    <row r="155" spans="1:15" x14ac:dyDescent="0.2">
      <c r="C155" t="s">
        <v>900</v>
      </c>
      <c r="D155" t="e" vm="156">
        <v>#VALUE!</v>
      </c>
      <c r="E155" s="4" t="str" cm="1">
        <f t="array" aca="1" ref="E155" ca="1">+_FV(D155,"Símbolo do ticker",TRUE)</f>
        <v>MTB</v>
      </c>
      <c r="F155" s="4" t="str" cm="1">
        <f t="array" aca="1" ref="F155" ca="1">+_FV(D155,"Setor")</f>
        <v>Real Estate Operations</v>
      </c>
      <c r="G155" s="11">
        <v>46057</v>
      </c>
      <c r="H155" s="4">
        <v>1.82</v>
      </c>
      <c r="I155" s="7" cm="1">
        <f t="array" aca="1" ref="I155" ca="1">+_FV(D155,"Preço")</f>
        <v>1.82</v>
      </c>
      <c r="J155" s="8">
        <f t="shared" ca="1" si="2"/>
        <v>0</v>
      </c>
      <c r="K155" s="4" t="s">
        <v>901</v>
      </c>
      <c r="L155" s="4" t="s">
        <v>902</v>
      </c>
      <c r="M155" s="4" t="s">
        <v>101</v>
      </c>
      <c r="N155" s="4" t="s">
        <v>903</v>
      </c>
      <c r="O155" s="4" t="s">
        <v>413</v>
      </c>
    </row>
    <row r="156" spans="1:15" x14ac:dyDescent="0.2">
      <c r="C156" t="s">
        <v>904</v>
      </c>
      <c r="D156" t="e" vm="157">
        <v>#VALUE!</v>
      </c>
      <c r="E156" s="4" t="str" cm="1">
        <f t="array" aca="1" ref="E156" ca="1">+_FV(D156,"Símbolo do ticker",TRUE)</f>
        <v>PANG</v>
      </c>
      <c r="F156" s="4" t="str" cm="1">
        <f t="array" aca="1" ref="F156" ca="1">+_FV(D156,"Setor")</f>
        <v>Biotechnology &amp; Medical Research</v>
      </c>
      <c r="G156" s="11">
        <v>46057</v>
      </c>
      <c r="H156" s="4">
        <v>1.65</v>
      </c>
      <c r="I156" s="7" cm="1">
        <f t="array" aca="1" ref="I156" ca="1">+_FV(D156,"Preço")</f>
        <v>1.65</v>
      </c>
      <c r="J156" s="8">
        <f t="shared" ca="1" si="2"/>
        <v>0</v>
      </c>
      <c r="K156" s="4" t="s">
        <v>905</v>
      </c>
      <c r="L156" s="4" t="s">
        <v>906</v>
      </c>
      <c r="M156" s="4" t="s">
        <v>237</v>
      </c>
      <c r="N156" s="4" t="s">
        <v>907</v>
      </c>
      <c r="O156" s="4" t="s">
        <v>603</v>
      </c>
    </row>
    <row r="157" spans="1:15" x14ac:dyDescent="0.2">
      <c r="C157" t="s">
        <v>908</v>
      </c>
      <c r="D157" t="e" vm="158">
        <v>#VALUE!</v>
      </c>
      <c r="E157" s="4" t="str" cm="1">
        <f t="array" aca="1" ref="E157" ca="1">+_FV(D157,"Símbolo do ticker",TRUE)</f>
        <v>SCIG2</v>
      </c>
      <c r="F157" s="4" t="str" cm="1">
        <f t="array" aca="1" ref="F157" ca="1">+_FV(D157,"Setor")</f>
        <v>Real Estate Operations</v>
      </c>
      <c r="G157" s="11">
        <v>46057</v>
      </c>
      <c r="H157" s="4" t="e" vm="73">
        <v>#VALUE!</v>
      </c>
      <c r="I157" s="7" t="e" cm="1" vm="73">
        <f t="array" ref="I157">+_FV(D157,"Preço")</f>
        <v>#VALUE!</v>
      </c>
      <c r="J157" s="8" t="e" vm="74">
        <f t="shared" si="2"/>
        <v>#VALUE!</v>
      </c>
      <c r="K157" s="4" t="s">
        <v>238</v>
      </c>
      <c r="L157" s="4" t="s">
        <v>239</v>
      </c>
      <c r="M157" s="4" t="s">
        <v>25</v>
      </c>
      <c r="N157" s="4"/>
      <c r="O157" s="4"/>
    </row>
    <row r="158" spans="1:15" x14ac:dyDescent="0.2">
      <c r="C158" t="s">
        <v>909</v>
      </c>
      <c r="D158" t="e" vm="159">
        <v>#VALUE!</v>
      </c>
      <c r="E158" s="4" t="str" cm="1">
        <f t="array" aca="1" ref="E158" ca="1">+_FV(D158,"Símbolo do ticker",TRUE)</f>
        <v>ADZ</v>
      </c>
      <c r="F158" s="4" t="str" cm="1">
        <f t="array" aca="1" ref="F158" ca="1">+_FV(D158,"Setor")</f>
        <v>Textiles &amp; Apparel</v>
      </c>
      <c r="G158" s="11">
        <v>46057</v>
      </c>
      <c r="H158" s="4">
        <v>5.9</v>
      </c>
      <c r="I158" s="7" cm="1">
        <f t="array" aca="1" ref="I158" ca="1">+_FV(D158,"Preço")</f>
        <v>5.75</v>
      </c>
      <c r="J158" s="8">
        <f t="shared" ca="1" si="2"/>
        <v>-2.5423728813559365E-2</v>
      </c>
      <c r="K158" s="4" t="s">
        <v>910</v>
      </c>
      <c r="L158" s="4" t="s">
        <v>911</v>
      </c>
      <c r="M158" s="4" t="s">
        <v>102</v>
      </c>
      <c r="N158" s="4" t="s">
        <v>912</v>
      </c>
      <c r="O158" s="4" t="s">
        <v>590</v>
      </c>
    </row>
    <row r="159" spans="1:15" x14ac:dyDescent="0.2">
      <c r="C159" t="s">
        <v>913</v>
      </c>
      <c r="D159" t="e" vm="160">
        <v>#VALUE!</v>
      </c>
      <c r="E159" s="4" t="str" cm="1">
        <f t="array" aca="1" ref="E159" ca="1">+_FV(D159,"Símbolo do ticker",TRUE)</f>
        <v>YINB1</v>
      </c>
      <c r="F159" s="4" t="str" cm="1">
        <f t="array" aca="1" ref="F159" ca="1">+_FV(D159,"Setor")</f>
        <v>Residential &amp; Commercial REIT</v>
      </c>
      <c r="G159" s="11">
        <v>46057</v>
      </c>
      <c r="H159" s="4">
        <v>1.1299999999999999</v>
      </c>
      <c r="I159" s="7" cm="1">
        <f t="array" aca="1" ref="I159" ca="1">+_FV(D159,"Preço")</f>
        <v>1.1299999999999999</v>
      </c>
      <c r="J159" s="8">
        <f t="shared" ca="1" si="2"/>
        <v>0</v>
      </c>
      <c r="K159" s="4" t="s">
        <v>240</v>
      </c>
      <c r="L159" s="4" t="s">
        <v>241</v>
      </c>
      <c r="M159" s="4" t="s">
        <v>242</v>
      </c>
      <c r="N159" s="4" t="s">
        <v>914</v>
      </c>
      <c r="O159" s="4" t="s">
        <v>915</v>
      </c>
    </row>
    <row r="160" spans="1:15" x14ac:dyDescent="0.2">
      <c r="C160" t="s">
        <v>916</v>
      </c>
      <c r="D160" t="e" vm="161">
        <v>#VALUE!</v>
      </c>
      <c r="E160" s="4" t="str" cm="1">
        <f t="array" aca="1" ref="E160" ca="1">+_FV(D160,"Símbolo do ticker",TRUE)</f>
        <v>EZE</v>
      </c>
      <c r="F160" s="4" t="str" cm="1">
        <f t="array" aca="1" ref="F160" ca="1">+_FV(D160,"Setor")</f>
        <v>Construction &amp; Engineering</v>
      </c>
      <c r="G160" s="11">
        <v>46057</v>
      </c>
      <c r="H160" s="4">
        <v>8.4599999999999995E-2</v>
      </c>
      <c r="I160" s="7" cm="1">
        <f t="array" aca="1" ref="I160" ca="1">+_FV(D160,"Preço")</f>
        <v>8.3299999999999999E-2</v>
      </c>
      <c r="J160" s="8">
        <f t="shared" ca="1" si="2"/>
        <v>-1.5366430260047248E-2</v>
      </c>
      <c r="K160" s="4" t="s">
        <v>104</v>
      </c>
      <c r="L160" s="4" t="s">
        <v>917</v>
      </c>
      <c r="M160" s="4" t="s">
        <v>105</v>
      </c>
      <c r="N160" s="4" t="s">
        <v>918</v>
      </c>
      <c r="O160" s="4" t="s">
        <v>764</v>
      </c>
    </row>
    <row r="161" spans="3:15" x14ac:dyDescent="0.2">
      <c r="C161" t="s">
        <v>919</v>
      </c>
      <c r="D161" t="e" vm="162">
        <v>#VALUE!</v>
      </c>
      <c r="E161" s="4" t="str" cm="1">
        <f t="array" aca="1" ref="E161" ca="1">+_FV(D161,"Símbolo do ticker",TRUE)</f>
        <v>PAR</v>
      </c>
      <c r="F161" s="4" t="str" cm="1">
        <f t="array" aca="1" ref="F161" ca="1">+_FV(D161,"Setor")</f>
        <v>Telecommunications Services</v>
      </c>
      <c r="G161" s="11">
        <v>46057</v>
      </c>
      <c r="H161" s="4">
        <v>2.6</v>
      </c>
      <c r="I161" s="7" cm="1">
        <f t="array" aca="1" ref="I161" ca="1">+_FV(D161,"Preço")</f>
        <v>2.56</v>
      </c>
      <c r="J161" s="8">
        <f t="shared" ca="1" si="2"/>
        <v>-1.5384615384615441E-2</v>
      </c>
      <c r="K161" s="4" t="s">
        <v>920</v>
      </c>
      <c r="L161" s="4" t="s">
        <v>244</v>
      </c>
      <c r="M161" s="4" t="s">
        <v>245</v>
      </c>
      <c r="N161" s="4" t="s">
        <v>921</v>
      </c>
      <c r="O161" s="4" t="s">
        <v>731</v>
      </c>
    </row>
    <row r="162" spans="3:15" x14ac:dyDescent="0.2">
      <c r="C162" t="s">
        <v>922</v>
      </c>
      <c r="D162" t="e" vm="163">
        <v>#VALUE!</v>
      </c>
      <c r="E162" s="4" t="str" cm="1">
        <f t="array" aca="1" ref="E162" ca="1">+_FV(D162,"Símbolo do ticker",TRUE)</f>
        <v>GIGA</v>
      </c>
      <c r="F162" s="4" t="str" cm="1">
        <f t="array" aca="1" ref="F162" ca="1">+_FV(D162,"Setor")</f>
        <v>Telecommunications Services</v>
      </c>
      <c r="G162" s="11">
        <v>46057</v>
      </c>
      <c r="H162" s="4">
        <v>3.9</v>
      </c>
      <c r="I162" s="7" cm="1">
        <f t="array" aca="1" ref="I162" ca="1">+_FV(D162,"Preço")</f>
        <v>3.8</v>
      </c>
      <c r="J162" s="8">
        <f t="shared" ca="1" si="2"/>
        <v>-2.5641025641025661E-2</v>
      </c>
      <c r="K162" s="4" t="s">
        <v>923</v>
      </c>
      <c r="L162" s="4" t="s">
        <v>924</v>
      </c>
      <c r="M162" s="4" t="s">
        <v>246</v>
      </c>
      <c r="N162" s="4" t="s">
        <v>925</v>
      </c>
      <c r="O162" s="4" t="s">
        <v>926</v>
      </c>
    </row>
    <row r="163" spans="3:15" x14ac:dyDescent="0.2">
      <c r="C163" t="s">
        <v>927</v>
      </c>
      <c r="D163" t="e" vm="164">
        <v>#VALUE!</v>
      </c>
      <c r="E163" s="4" t="str" cm="1">
        <f t="array" aca="1" ref="E163" ca="1">+_FV(D163,"Símbolo do ticker",TRUE)</f>
        <v>AGIL</v>
      </c>
      <c r="F163" s="4" t="str" cm="1">
        <f t="array" aca="1" ref="F163" ca="1">+_FV(D163,"Setor")</f>
        <v>Software &amp; IT Services</v>
      </c>
      <c r="G163" s="11">
        <v>46057</v>
      </c>
      <c r="H163" s="4">
        <v>2.1</v>
      </c>
      <c r="I163" s="7" cm="1">
        <f t="array" aca="1" ref="I163" ca="1">+_FV(D163,"Preço")</f>
        <v>2.06</v>
      </c>
      <c r="J163" s="8">
        <f t="shared" ca="1" si="2"/>
        <v>-1.9047619047619091E-2</v>
      </c>
      <c r="K163" s="4" t="s">
        <v>928</v>
      </c>
      <c r="L163" s="4" t="s">
        <v>929</v>
      </c>
      <c r="M163" s="4" t="s">
        <v>243</v>
      </c>
      <c r="N163" s="4" t="s">
        <v>930</v>
      </c>
      <c r="O163" s="4" t="s">
        <v>666</v>
      </c>
    </row>
    <row r="164" spans="3:15" x14ac:dyDescent="0.2">
      <c r="C164" t="s">
        <v>931</v>
      </c>
      <c r="D164" t="e" vm="165">
        <v>#VALUE!</v>
      </c>
      <c r="E164" s="4" t="str" cm="1">
        <f t="array" aca="1" ref="E164" ca="1">+_FV(D164,"Símbolo do ticker",TRUE)</f>
        <v>YINB4</v>
      </c>
      <c r="F164" s="4" t="str" cm="1">
        <f t="array" aca="1" ref="F164" ca="1">+_FV(D164,"Setor")</f>
        <v>Residential &amp; Commercial REIT</v>
      </c>
      <c r="G164" s="11">
        <v>46057</v>
      </c>
      <c r="H164" s="4">
        <v>0.94499999999999995</v>
      </c>
      <c r="I164" s="7" cm="1">
        <f t="array" aca="1" ref="I164" ca="1">+_FV(D164,"Preço")</f>
        <v>0.94499999999999995</v>
      </c>
      <c r="J164" s="8">
        <f t="shared" ca="1" si="2"/>
        <v>0</v>
      </c>
      <c r="K164" s="4">
        <v>500</v>
      </c>
      <c r="L164" s="4" t="s">
        <v>247</v>
      </c>
      <c r="M164" s="4" t="s">
        <v>248</v>
      </c>
      <c r="N164" s="4" t="s">
        <v>932</v>
      </c>
      <c r="O164" s="4" t="s">
        <v>738</v>
      </c>
    </row>
    <row r="165" spans="3:15" x14ac:dyDescent="0.2">
      <c r="C165" t="s">
        <v>12</v>
      </c>
      <c r="D165" t="e" vm="166">
        <v>#VALUE!</v>
      </c>
      <c r="E165" s="4" t="str" cm="1">
        <f t="array" aca="1" ref="E165" ca="1">+_FV(D165,"Símbolo do ticker",TRUE)</f>
        <v>TRG</v>
      </c>
      <c r="F165" s="4" t="str" cm="1">
        <f t="array" aca="1" ref="F165" ca="1">+_FV(D165,"Setor")</f>
        <v>Metals &amp; Mining</v>
      </c>
      <c r="G165" s="11">
        <v>46057</v>
      </c>
      <c r="H165" s="4">
        <v>0.26150000000000001</v>
      </c>
      <c r="I165" s="7" cm="1">
        <f t="array" aca="1" ref="I165" ca="1">+_FV(D165,"Preço")</f>
        <v>0.251</v>
      </c>
      <c r="J165" s="8">
        <f t="shared" ca="1" si="2"/>
        <v>-4.0152963671128195E-2</v>
      </c>
      <c r="K165" s="4" t="s">
        <v>933</v>
      </c>
      <c r="L165" s="4" t="s">
        <v>934</v>
      </c>
      <c r="M165" s="4" t="s">
        <v>103</v>
      </c>
      <c r="N165" s="4" t="s">
        <v>935</v>
      </c>
      <c r="O165" s="4" t="s">
        <v>753</v>
      </c>
    </row>
    <row r="166" spans="3:15" x14ac:dyDescent="0.2">
      <c r="C166" t="s">
        <v>936</v>
      </c>
      <c r="D166" t="e" vm="167">
        <v>#VALUE!</v>
      </c>
      <c r="E166" s="4" t="str" cm="1">
        <f t="array" aca="1" ref="E166" ca="1">+_FV(D166,"Símbolo do ticker",TRUE)</f>
        <v>ENRS</v>
      </c>
      <c r="F166" s="4" t="str" cm="1">
        <f t="array" aca="1" ref="F166" ca="1">+_FV(D166,"Setor")</f>
        <v>Renewable Energy</v>
      </c>
      <c r="G166" s="11">
        <v>46057</v>
      </c>
      <c r="H166" s="4">
        <v>1.03</v>
      </c>
      <c r="I166" s="7" cm="1">
        <f t="array" aca="1" ref="I166" ca="1">+_FV(D166,"Preço")</f>
        <v>1.03</v>
      </c>
      <c r="J166" s="8">
        <f t="shared" ca="1" si="2"/>
        <v>0</v>
      </c>
      <c r="K166" s="4" t="s">
        <v>937</v>
      </c>
      <c r="L166" s="4" t="s">
        <v>938</v>
      </c>
      <c r="M166" s="4" t="s">
        <v>249</v>
      </c>
      <c r="N166" s="4" t="s">
        <v>939</v>
      </c>
      <c r="O166" s="4" t="s">
        <v>926</v>
      </c>
    </row>
    <row r="167" spans="3:15" x14ac:dyDescent="0.2">
      <c r="C167" t="s">
        <v>940</v>
      </c>
      <c r="D167" t="e" vm="168">
        <v>#VALUE!</v>
      </c>
      <c r="E167" s="4" t="str" cm="1">
        <f t="array" aca="1" ref="E167" ca="1">+_FV(D167,"Símbolo do ticker",TRUE)</f>
        <v>SCAP7</v>
      </c>
      <c r="F167" s="4" t="str" cm="1">
        <f t="array" aca="1" ref="F167" ca="1">+_FV(D167,"Setor")</f>
        <v>Residential &amp; Commercial REIT</v>
      </c>
      <c r="G167" s="11">
        <v>46057</v>
      </c>
      <c r="H167" s="4">
        <v>5.6</v>
      </c>
      <c r="I167" s="7" cm="1">
        <f t="array" aca="1" ref="I167" ca="1">+_FV(D167,"Preço")</f>
        <v>5.6</v>
      </c>
      <c r="J167" s="8">
        <f t="shared" ca="1" si="2"/>
        <v>0</v>
      </c>
      <c r="K167" s="4">
        <v>827</v>
      </c>
      <c r="L167" s="4" t="s">
        <v>250</v>
      </c>
      <c r="M167" s="4" t="s">
        <v>251</v>
      </c>
      <c r="N167" s="4" t="s">
        <v>941</v>
      </c>
      <c r="O167" s="4" t="s">
        <v>785</v>
      </c>
    </row>
    <row r="168" spans="3:15" x14ac:dyDescent="0.2">
      <c r="C168" t="s">
        <v>942</v>
      </c>
      <c r="D168" t="e" vm="169">
        <v>#VALUE!</v>
      </c>
      <c r="E168" s="4" t="str" cm="1">
        <f t="array" aca="1" ref="E168" ca="1">+_FV(D168,"Símbolo do ticker",TRUE)</f>
        <v>480S</v>
      </c>
      <c r="F168" s="4" t="str" cm="1">
        <f t="array" aca="1" ref="F168" ca="1">+_FV(D168,"Setor")</f>
        <v>Software &amp; IT Services</v>
      </c>
      <c r="G168" s="11">
        <v>46057</v>
      </c>
      <c r="H168" s="4">
        <v>15</v>
      </c>
      <c r="I168" s="7" cm="1">
        <f t="array" aca="1" ref="I168" ca="1">+_FV(D168,"Preço")</f>
        <v>15</v>
      </c>
      <c r="J168" s="8">
        <f t="shared" ca="1" si="2"/>
        <v>0</v>
      </c>
      <c r="K168" s="4" t="s">
        <v>943</v>
      </c>
      <c r="L168" s="4" t="s">
        <v>252</v>
      </c>
      <c r="M168" s="4" t="s">
        <v>25</v>
      </c>
      <c r="N168" s="4"/>
      <c r="O168" s="4"/>
    </row>
    <row r="169" spans="3:15" x14ac:dyDescent="0.2">
      <c r="C169" t="s">
        <v>944</v>
      </c>
      <c r="D169" t="e" vm="170">
        <v>#VALUE!</v>
      </c>
      <c r="E169" s="4" t="str" cm="1">
        <f t="array" aca="1" ref="E169" ca="1">+_FV(D169,"Símbolo do ticker",TRUE)</f>
        <v>MDF</v>
      </c>
      <c r="F169" s="4" t="str" cm="1">
        <f t="array" aca="1" ref="F169" ca="1">+_FV(D169,"Setor")</f>
        <v>Construction &amp; Engineering</v>
      </c>
      <c r="G169" s="11">
        <v>46057</v>
      </c>
      <c r="H169" s="4">
        <v>0.1802</v>
      </c>
      <c r="I169" s="7" cm="1">
        <f t="array" aca="1" ref="I169" ca="1">+_FV(D169,"Preço")</f>
        <v>0.17899999999999999</v>
      </c>
      <c r="J169" s="8">
        <f t="shared" ca="1" si="2"/>
        <v>-6.6592674805772134E-3</v>
      </c>
      <c r="K169" s="4" t="s">
        <v>945</v>
      </c>
      <c r="L169" s="4" t="s">
        <v>946</v>
      </c>
      <c r="M169" s="4" t="s">
        <v>106</v>
      </c>
      <c r="N169" s="4" t="s">
        <v>947</v>
      </c>
      <c r="O169" s="4" t="s">
        <v>491</v>
      </c>
    </row>
    <row r="170" spans="3:15" x14ac:dyDescent="0.2">
      <c r="C170" t="s">
        <v>948</v>
      </c>
      <c r="D170" t="e" vm="171">
        <v>#VALUE!</v>
      </c>
      <c r="E170" s="4" t="str" cm="1">
        <f t="array" aca="1" ref="E170" ca="1">+_FV(D170,"Símbolo do ticker",TRUE)</f>
        <v>YHCR</v>
      </c>
      <c r="F170" s="4" t="str" cm="1">
        <f t="array" aca="1" ref="F170" ca="1">+_FV(D170,"Setor")</f>
        <v>Real Estate Operations</v>
      </c>
      <c r="G170" s="11">
        <v>46057</v>
      </c>
      <c r="H170" s="4">
        <v>6.2</v>
      </c>
      <c r="I170" s="7" cm="1">
        <f t="array" aca="1" ref="I170" ca="1">+_FV(D170,"Preço")</f>
        <v>6.2</v>
      </c>
      <c r="J170" s="8">
        <f t="shared" ca="1" si="2"/>
        <v>0</v>
      </c>
      <c r="K170" s="4">
        <v>630</v>
      </c>
      <c r="L170" s="4" t="s">
        <v>254</v>
      </c>
      <c r="M170" s="4" t="s">
        <v>25</v>
      </c>
      <c r="N170" s="4"/>
      <c r="O170" s="4"/>
    </row>
    <row r="171" spans="3:15" x14ac:dyDescent="0.2">
      <c r="C171" t="s">
        <v>949</v>
      </c>
      <c r="D171" t="e" vm="172">
        <v>#VALUE!</v>
      </c>
      <c r="E171" s="4" t="str" cm="1">
        <f t="array" aca="1" ref="E171" ca="1">+_FV(D171,"Símbolo do ticker",TRUE)</f>
        <v>NBI</v>
      </c>
      <c r="F171" s="4" t="str" cm="1">
        <f t="array" aca="1" ref="F171" ca="1">+_FV(D171,"Setor")</f>
        <v>Machinery, Equipment &amp; Components</v>
      </c>
      <c r="G171" s="11">
        <v>46057</v>
      </c>
      <c r="H171" s="4">
        <v>3.1</v>
      </c>
      <c r="I171" s="7" cm="1">
        <f t="array" aca="1" ref="I171" ca="1">+_FV(D171,"Preço")</f>
        <v>3.1</v>
      </c>
      <c r="J171" s="8">
        <f t="shared" ca="1" si="2"/>
        <v>0</v>
      </c>
      <c r="K171" s="4" t="s">
        <v>950</v>
      </c>
      <c r="L171" s="4" t="s">
        <v>951</v>
      </c>
      <c r="M171" s="4" t="s">
        <v>253</v>
      </c>
      <c r="N171" s="4" t="s">
        <v>952</v>
      </c>
      <c r="O171" s="4" t="s">
        <v>953</v>
      </c>
    </row>
    <row r="172" spans="3:15" x14ac:dyDescent="0.2">
      <c r="C172" t="s">
        <v>954</v>
      </c>
      <c r="D172" t="e" vm="173">
        <v>#VALUE!</v>
      </c>
      <c r="E172" s="4" t="str" cm="1">
        <f t="array" aca="1" ref="E172" ca="1">+_FV(D172,"Símbolo do ticker",TRUE)</f>
        <v>YQUO</v>
      </c>
      <c r="F172" s="4" t="str" cm="1">
        <f t="array" aca="1" ref="F172" ca="1">+_FV(D172,"Setor")</f>
        <v>Residential &amp; Commercial REIT</v>
      </c>
      <c r="G172" s="11">
        <v>46057</v>
      </c>
      <c r="H172" s="4">
        <v>1.28</v>
      </c>
      <c r="I172" s="7" cm="1">
        <f t="array" aca="1" ref="I172" ca="1">+_FV(D172,"Preço")</f>
        <v>1.27</v>
      </c>
      <c r="J172" s="8">
        <f t="shared" ca="1" si="2"/>
        <v>-7.8125E-3</v>
      </c>
      <c r="K172" s="4" t="s">
        <v>955</v>
      </c>
      <c r="L172" s="4" t="s">
        <v>255</v>
      </c>
      <c r="M172" s="4" t="s">
        <v>256</v>
      </c>
      <c r="N172" s="4"/>
      <c r="O172" s="4" t="s">
        <v>735</v>
      </c>
    </row>
    <row r="173" spans="3:15" x14ac:dyDescent="0.2">
      <c r="C173" t="s">
        <v>956</v>
      </c>
      <c r="D173" t="e" vm="174">
        <v>#VALUE!</v>
      </c>
      <c r="E173" s="4" t="str" cm="1">
        <f t="array" aca="1" ref="E173" ca="1">+_FV(D173,"Símbolo do ticker",TRUE)</f>
        <v>YBAR</v>
      </c>
      <c r="F173" s="4" t="str" cm="1">
        <f t="array" aca="1" ref="F173" ca="1">+_FV(D173,"Setor")</f>
        <v>Residential &amp; Commercial REIT</v>
      </c>
      <c r="G173" s="11">
        <v>46057</v>
      </c>
      <c r="H173" s="4">
        <v>1.45</v>
      </c>
      <c r="I173" s="7" cm="1">
        <f t="array" aca="1" ref="I173" ca="1">+_FV(D173,"Preço")</f>
        <v>1.45</v>
      </c>
      <c r="J173" s="8">
        <f t="shared" ca="1" si="2"/>
        <v>0</v>
      </c>
      <c r="K173" s="4" t="s">
        <v>257</v>
      </c>
      <c r="L173" s="4" t="s">
        <v>258</v>
      </c>
      <c r="M173" s="4" t="s">
        <v>259</v>
      </c>
      <c r="N173" s="4" t="s">
        <v>957</v>
      </c>
      <c r="O173" s="4" t="s">
        <v>915</v>
      </c>
    </row>
    <row r="174" spans="3:15" x14ac:dyDescent="0.2">
      <c r="C174" t="s">
        <v>958</v>
      </c>
      <c r="D174" t="e" vm="175">
        <v>#VALUE!</v>
      </c>
      <c r="E174" s="4" t="str" cm="1">
        <f t="array" aca="1" ref="E174" ca="1">+_FV(D174,"Símbolo do ticker",TRUE)</f>
        <v>DESA</v>
      </c>
      <c r="F174" s="4" t="str" cm="1">
        <f t="array" aca="1" ref="F174" ca="1">+_FV(D174,"Setor")</f>
        <v>Machinery, Equipment &amp; Components</v>
      </c>
      <c r="G174" s="11">
        <v>46057</v>
      </c>
      <c r="H174" s="4">
        <v>19</v>
      </c>
      <c r="I174" s="7" cm="1">
        <f t="array" aca="1" ref="I174" ca="1">+_FV(D174,"Preço")</f>
        <v>19</v>
      </c>
      <c r="J174" s="8">
        <f t="shared" ca="1" si="2"/>
        <v>0</v>
      </c>
      <c r="K174" s="4">
        <v>492</v>
      </c>
      <c r="L174" s="4" t="s">
        <v>260</v>
      </c>
      <c r="M174" s="4" t="s">
        <v>261</v>
      </c>
      <c r="N174" s="4" t="s">
        <v>959</v>
      </c>
      <c r="O174" s="4" t="s">
        <v>342</v>
      </c>
    </row>
    <row r="175" spans="3:15" x14ac:dyDescent="0.2">
      <c r="C175" t="s">
        <v>960</v>
      </c>
      <c r="D175" t="e" vm="176">
        <v>#VALUE!</v>
      </c>
      <c r="E175" s="4" t="str" cm="1">
        <f t="array" aca="1" ref="E175" ca="1">+_FV(D175,"Símbolo do ticker",TRUE)</f>
        <v>END</v>
      </c>
      <c r="F175" s="4" t="str" cm="1">
        <f t="array" aca="1" ref="F175" ca="1">+_FV(D175,"Setor")</f>
        <v>Machinery, Equipment &amp; Components</v>
      </c>
      <c r="G175" s="11">
        <v>46057</v>
      </c>
      <c r="H175" s="4">
        <v>2.99</v>
      </c>
      <c r="I175" s="7" cm="1">
        <f t="array" aca="1" ref="I175" ca="1">+_FV(D175,"Preço")</f>
        <v>2.89</v>
      </c>
      <c r="J175" s="8">
        <f t="shared" ca="1" si="2"/>
        <v>-3.3444816053511683E-2</v>
      </c>
      <c r="K175" s="4" t="s">
        <v>961</v>
      </c>
      <c r="L175" s="4" t="s">
        <v>962</v>
      </c>
      <c r="M175" s="4" t="s">
        <v>25</v>
      </c>
      <c r="N175" s="4"/>
      <c r="O175" s="4"/>
    </row>
    <row r="176" spans="3:15" x14ac:dyDescent="0.2">
      <c r="C176" t="s">
        <v>963</v>
      </c>
      <c r="D176" t="e" vm="177">
        <v>#VALUE!</v>
      </c>
      <c r="E176" s="4" t="str" cm="1">
        <f t="array" aca="1" ref="E176" ca="1">+_FV(D176,"Símbolo do ticker",TRUE)</f>
        <v>ISE</v>
      </c>
      <c r="F176" s="4" t="str" cm="1">
        <f t="array" aca="1" ref="F176" ca="1">+_FV(D176,"Setor")</f>
        <v>Professional &amp; Commercial Services</v>
      </c>
      <c r="G176" s="11">
        <v>46057</v>
      </c>
      <c r="H176" s="4">
        <v>0.56499999999999995</v>
      </c>
      <c r="I176" s="7" cm="1">
        <f t="array" aca="1" ref="I176" ca="1">+_FV(D176,"Preço")</f>
        <v>0.56499999999999995</v>
      </c>
      <c r="J176" s="8">
        <f t="shared" ca="1" si="2"/>
        <v>0</v>
      </c>
      <c r="K176" s="4">
        <v>301</v>
      </c>
      <c r="L176" s="4" t="s">
        <v>107</v>
      </c>
      <c r="M176" s="4" t="s">
        <v>108</v>
      </c>
      <c r="N176" s="4" t="s">
        <v>964</v>
      </c>
      <c r="O176" s="4" t="s">
        <v>470</v>
      </c>
    </row>
    <row r="177" spans="3:15" x14ac:dyDescent="0.2">
      <c r="C177" t="s">
        <v>966</v>
      </c>
      <c r="D177" t="e" vm="178">
        <v>#VALUE!</v>
      </c>
      <c r="E177" s="4" t="str" cm="1">
        <f t="array" aca="1" ref="E177" ca="1">+_FV(D177,"Símbolo do ticker",TRUE)</f>
        <v>LAB</v>
      </c>
      <c r="F177" s="4" t="str" cm="1">
        <f t="array" aca="1" ref="F177" ca="1">+_FV(D177,"Setor")</f>
        <v>Pharmaceuticals</v>
      </c>
      <c r="G177" s="11">
        <v>46057</v>
      </c>
      <c r="H177" s="4">
        <v>4.5</v>
      </c>
      <c r="I177" s="7" cm="1">
        <f t="array" aca="1" ref="I177" ca="1">+_FV(D177,"Preço")</f>
        <v>4.28</v>
      </c>
      <c r="J177" s="8">
        <f t="shared" ca="1" si="2"/>
        <v>-4.8888888888888871E-2</v>
      </c>
      <c r="K177" s="4" t="s">
        <v>68</v>
      </c>
      <c r="L177" s="4" t="s">
        <v>967</v>
      </c>
      <c r="M177" s="4" t="s">
        <v>262</v>
      </c>
      <c r="N177" s="4" t="s">
        <v>968</v>
      </c>
      <c r="O177" s="4" t="s">
        <v>969</v>
      </c>
    </row>
    <row r="178" spans="3:15" x14ac:dyDescent="0.2">
      <c r="C178" t="s">
        <v>970</v>
      </c>
      <c r="D178" t="e" vm="179">
        <v>#VALUE!</v>
      </c>
      <c r="E178" s="4" t="str" cm="1">
        <f t="array" aca="1" ref="E178" ca="1">+_FV(D178,"Símbolo do ticker",TRUE)</f>
        <v>YNUM</v>
      </c>
      <c r="F178" s="4" t="str" cm="1">
        <f t="array" aca="1" ref="F178" ca="1">+_FV(D178,"Setor")</f>
        <v>Residential &amp; Commercial REIT</v>
      </c>
      <c r="G178" s="11">
        <v>46057</v>
      </c>
      <c r="H178" s="4">
        <v>1.99</v>
      </c>
      <c r="I178" s="7" cm="1">
        <f t="array" aca="1" ref="I178" ca="1">+_FV(D178,"Preço")</f>
        <v>1.99</v>
      </c>
      <c r="J178" s="8">
        <f t="shared" ca="1" si="2"/>
        <v>0</v>
      </c>
      <c r="K178" s="4" t="s">
        <v>263</v>
      </c>
      <c r="L178" s="4" t="s">
        <v>264</v>
      </c>
      <c r="M178" s="4" t="s">
        <v>265</v>
      </c>
      <c r="N178" s="4" t="s">
        <v>971</v>
      </c>
      <c r="O178" s="4" t="s">
        <v>972</v>
      </c>
    </row>
    <row r="179" spans="3:15" x14ac:dyDescent="0.2">
      <c r="C179" t="s">
        <v>973</v>
      </c>
      <c r="D179" t="e" vm="180">
        <v>#VALUE!</v>
      </c>
      <c r="E179" s="4" t="str" cm="1">
        <f t="array" aca="1" ref="E179" ca="1">+_FV(D179,"Símbolo do ticker",TRUE)</f>
        <v>HLZ</v>
      </c>
      <c r="F179" s="4" t="str" cm="1">
        <f t="array" aca="1" ref="F179" ca="1">+_FV(D179,"Setor")</f>
        <v>Electrical Utilities &amp; IPPs</v>
      </c>
      <c r="G179" s="11">
        <v>46057</v>
      </c>
      <c r="H179" s="4">
        <v>0.84</v>
      </c>
      <c r="I179" s="7" cm="1">
        <f t="array" aca="1" ref="I179" ca="1">+_FV(D179,"Preço")</f>
        <v>0.84</v>
      </c>
      <c r="J179" s="8">
        <f t="shared" ca="1" si="2"/>
        <v>0</v>
      </c>
      <c r="K179" s="4" t="s">
        <v>974</v>
      </c>
      <c r="L179" s="4" t="s">
        <v>266</v>
      </c>
      <c r="M179" s="4" t="s">
        <v>267</v>
      </c>
      <c r="N179" s="4" t="s">
        <v>975</v>
      </c>
      <c r="O179" s="4" t="s">
        <v>976</v>
      </c>
    </row>
    <row r="180" spans="3:15" x14ac:dyDescent="0.2">
      <c r="C180" t="s">
        <v>977</v>
      </c>
      <c r="D180" t="e" vm="181">
        <v>#VALUE!</v>
      </c>
      <c r="E180" s="4" t="str" cm="1">
        <f t="array" aca="1" ref="E180" ca="1">+_FV(D180,"Símbolo do ticker",TRUE)</f>
        <v>OPTS</v>
      </c>
      <c r="F180" s="4" t="str" cm="1">
        <f t="array" aca="1" ref="F180" ca="1">+_FV(D180,"Setor")</f>
        <v>Telecommunications Services</v>
      </c>
      <c r="G180" s="11">
        <v>46057</v>
      </c>
      <c r="H180" s="4">
        <v>7.55</v>
      </c>
      <c r="I180" s="7" cm="1">
        <f t="array" aca="1" ref="I180" ca="1">+_FV(D180,"Preço")</f>
        <v>7.4</v>
      </c>
      <c r="J180" s="8">
        <f t="shared" ca="1" si="2"/>
        <v>-1.9867549668874052E-2</v>
      </c>
      <c r="K180" s="4">
        <v>418</v>
      </c>
      <c r="L180" s="4" t="s">
        <v>268</v>
      </c>
      <c r="M180" s="4" t="s">
        <v>25</v>
      </c>
      <c r="N180" s="4"/>
      <c r="O180" s="4"/>
    </row>
    <row r="181" spans="3:15" x14ac:dyDescent="0.2">
      <c r="C181" t="s">
        <v>15</v>
      </c>
      <c r="D181" t="e" vm="182">
        <v>#VALUE!</v>
      </c>
      <c r="E181" s="4" t="str" cm="1">
        <f t="array" aca="1" ref="E181" ca="1">+_FV(D181,"Símbolo do ticker",TRUE)</f>
        <v>REN</v>
      </c>
      <c r="F181" s="4" t="str" cm="1">
        <f t="array" aca="1" ref="F181" ca="1">+_FV(D181,"Setor")</f>
        <v>Real Estate Operations</v>
      </c>
      <c r="G181" s="11">
        <v>46057</v>
      </c>
      <c r="H181" s="4">
        <v>0.77700000000000002</v>
      </c>
      <c r="I181" s="7" cm="1">
        <f t="array" aca="1" ref="I181" ca="1">+_FV(D181,"Preço")</f>
        <v>0.81989999999999996</v>
      </c>
      <c r="J181" s="8">
        <f t="shared" ca="1" si="2"/>
        <v>5.5212355212355124E-2</v>
      </c>
      <c r="K181" s="4" t="s">
        <v>978</v>
      </c>
      <c r="L181" s="4" t="s">
        <v>979</v>
      </c>
      <c r="M181" s="4" t="s">
        <v>109</v>
      </c>
      <c r="N181" s="4" t="s">
        <v>980</v>
      </c>
      <c r="O181" s="4" t="s">
        <v>981</v>
      </c>
    </row>
    <row r="182" spans="3:15" x14ac:dyDescent="0.2">
      <c r="C182" t="s">
        <v>982</v>
      </c>
      <c r="D182" t="e" vm="183">
        <v>#VALUE!</v>
      </c>
      <c r="E182" s="4" t="str" cm="1">
        <f t="array" aca="1" ref="E182" ca="1">+_FV(D182,"Símbolo do ticker",TRUE)</f>
        <v>NYE</v>
      </c>
      <c r="F182" s="4" t="str" cm="1">
        <f t="array" aca="1" ref="F182" ca="1">+_FV(D182,"Setor")</f>
        <v>Real Estate Operations</v>
      </c>
      <c r="G182" s="11">
        <v>46057</v>
      </c>
      <c r="H182" s="4">
        <v>6.0000000000000001E-3</v>
      </c>
      <c r="I182" s="7" cm="1">
        <f t="array" aca="1" ref="I182" ca="1">+_FV(D182,"Preço")</f>
        <v>6.1999999999999998E-3</v>
      </c>
      <c r="J182" s="8">
        <f t="shared" ca="1" si="2"/>
        <v>3.3333333333333215E-2</v>
      </c>
      <c r="K182" s="4" t="s">
        <v>983</v>
      </c>
      <c r="L182" s="4" t="s">
        <v>984</v>
      </c>
      <c r="M182" s="4" t="s">
        <v>1</v>
      </c>
      <c r="N182" s="4" t="s">
        <v>985</v>
      </c>
      <c r="O182" s="4" t="s">
        <v>321</v>
      </c>
    </row>
    <row r="183" spans="3:15" x14ac:dyDescent="0.2">
      <c r="C183" t="s">
        <v>270</v>
      </c>
      <c r="D183" t="e" vm="184">
        <v>#VALUE!</v>
      </c>
      <c r="E183" s="4" t="str" cm="1">
        <f t="array" aca="1" ref="E183" ca="1">+_FV(D183,"Símbolo do ticker",TRUE)</f>
        <v>YMIB</v>
      </c>
      <c r="F183" s="4" t="str" cm="1">
        <f t="array" aca="1" ref="F183" ca="1">+_FV(D183,"Setor")</f>
        <v>Real Estate Operations</v>
      </c>
      <c r="G183" s="11">
        <v>46057</v>
      </c>
      <c r="H183" s="4">
        <v>1.04</v>
      </c>
      <c r="I183" s="7" cm="1">
        <f t="array" aca="1" ref="I183" ca="1">+_FV(D183,"Preço")</f>
        <v>1.04</v>
      </c>
      <c r="J183" s="8">
        <f t="shared" ca="1" si="2"/>
        <v>0</v>
      </c>
      <c r="K183" s="4" t="s">
        <v>271</v>
      </c>
      <c r="L183" s="4" t="s">
        <v>272</v>
      </c>
      <c r="M183" s="4" t="s">
        <v>273</v>
      </c>
      <c r="N183" s="4" t="s">
        <v>986</v>
      </c>
      <c r="O183" s="4" t="s">
        <v>915</v>
      </c>
    </row>
    <row r="184" spans="3:15" x14ac:dyDescent="0.2">
      <c r="C184" t="s">
        <v>987</v>
      </c>
      <c r="D184" t="e" vm="185">
        <v>#VALUE!</v>
      </c>
      <c r="E184" s="4" t="str" cm="1">
        <f t="array" aca="1" ref="E184" ca="1">+_FV(D184,"Símbolo do ticker",TRUE)</f>
        <v>YMAT</v>
      </c>
      <c r="F184" s="4" t="str" cm="1">
        <f t="array" aca="1" ref="F184" ca="1">+_FV(D184,"Setor")</f>
        <v>Residential &amp; Commercial REIT</v>
      </c>
      <c r="G184" s="11">
        <v>46057</v>
      </c>
      <c r="H184" s="4">
        <v>1.01</v>
      </c>
      <c r="I184" s="7" cm="1">
        <f t="array" aca="1" ref="I184" ca="1">+_FV(D184,"Preço")</f>
        <v>1.01</v>
      </c>
      <c r="J184" s="8">
        <f t="shared" ca="1" si="2"/>
        <v>0</v>
      </c>
      <c r="K184" s="4">
        <v>200</v>
      </c>
      <c r="L184" s="4" t="s">
        <v>274</v>
      </c>
      <c r="M184" s="4" t="s">
        <v>25</v>
      </c>
      <c r="N184" s="4"/>
      <c r="O184" s="4"/>
    </row>
    <row r="185" spans="3:15" x14ac:dyDescent="0.2">
      <c r="C185" t="s">
        <v>988</v>
      </c>
      <c r="D185" t="e" vm="186">
        <v>#VALUE!</v>
      </c>
      <c r="E185" s="4" t="str" cm="1">
        <f t="array" aca="1" ref="E185" ca="1">+_FV(D185,"Símbolo do ticker",TRUE)</f>
        <v>SCGV</v>
      </c>
      <c r="F185" s="4" t="str" cm="1">
        <f t="array" aca="1" ref="F185" ca="1">+_FV(D185,"Setor")</f>
        <v>Hotels &amp; Entertainment Services</v>
      </c>
      <c r="G185" s="11">
        <v>46057</v>
      </c>
      <c r="H185" s="4">
        <v>3.86</v>
      </c>
      <c r="I185" s="7" cm="1">
        <f t="array" aca="1" ref="I185" ca="1">+_FV(D185,"Preço")</f>
        <v>3.86</v>
      </c>
      <c r="J185" s="8">
        <f t="shared" ca="1" si="2"/>
        <v>0</v>
      </c>
      <c r="K185" s="4" t="s">
        <v>989</v>
      </c>
      <c r="L185" s="4" t="s">
        <v>990</v>
      </c>
      <c r="M185" s="4" t="s">
        <v>25</v>
      </c>
      <c r="N185" s="4"/>
      <c r="O185" s="4"/>
    </row>
    <row r="186" spans="3:15" x14ac:dyDescent="0.2">
      <c r="C186" t="s">
        <v>991</v>
      </c>
      <c r="D186" t="e" vm="187">
        <v>#VALUE!</v>
      </c>
      <c r="E186" s="4" t="str" cm="1">
        <f t="array" aca="1" ref="E186" ca="1">+_FV(D186,"Símbolo do ticker",TRUE)</f>
        <v>LLN</v>
      </c>
      <c r="F186" s="4" t="str" cm="1">
        <f t="array" aca="1" ref="F186" ca="1">+_FV(D186,"Setor")</f>
        <v>Telecommunications Services</v>
      </c>
      <c r="G186" s="11">
        <v>46057</v>
      </c>
      <c r="H186" s="4">
        <v>1.22</v>
      </c>
      <c r="I186" s="7" cm="1">
        <f t="array" aca="1" ref="I186" ca="1">+_FV(D186,"Preço")</f>
        <v>1.1950000000000001</v>
      </c>
      <c r="J186" s="8">
        <f t="shared" ca="1" si="2"/>
        <v>-2.0491803278688492E-2</v>
      </c>
      <c r="K186" s="4" t="s">
        <v>992</v>
      </c>
      <c r="L186" s="4" t="s">
        <v>993</v>
      </c>
      <c r="M186" s="4" t="s">
        <v>275</v>
      </c>
      <c r="N186" s="4" t="s">
        <v>994</v>
      </c>
      <c r="O186" s="4" t="s">
        <v>995</v>
      </c>
    </row>
    <row r="187" spans="3:15" x14ac:dyDescent="0.2">
      <c r="C187" t="s">
        <v>996</v>
      </c>
      <c r="D187" t="e" vm="188">
        <v>#VALUE!</v>
      </c>
      <c r="E187" s="4" t="str" cm="1">
        <f t="array" aca="1" ref="E187" ca="1">+_FV(D187,"Símbolo do ticker",TRUE)</f>
        <v>COM</v>
      </c>
      <c r="F187" s="4" t="str" cm="1">
        <f t="array" aca="1" ref="F187" ca="1">+_FV(D187,"Setor")</f>
        <v>Professional &amp; Commercial Services</v>
      </c>
      <c r="G187" s="11">
        <v>46057</v>
      </c>
      <c r="H187" s="4">
        <v>1.05</v>
      </c>
      <c r="I187" s="7" cm="1">
        <f t="array" aca="1" ref="I187" ca="1">+_FV(D187,"Preço")</f>
        <v>1.07</v>
      </c>
      <c r="J187" s="8">
        <f t="shared" ca="1" si="2"/>
        <v>1.904761904761898E-2</v>
      </c>
      <c r="K187" s="4" t="s">
        <v>997</v>
      </c>
      <c r="L187" s="4" t="s">
        <v>276</v>
      </c>
      <c r="M187" s="4" t="s">
        <v>279</v>
      </c>
      <c r="N187" s="4" t="s">
        <v>998</v>
      </c>
      <c r="O187" s="4" t="s">
        <v>999</v>
      </c>
    </row>
    <row r="188" spans="3:15" x14ac:dyDescent="0.2">
      <c r="C188" t="s">
        <v>1000</v>
      </c>
      <c r="D188" t="e" vm="189">
        <v>#VALUE!</v>
      </c>
      <c r="E188" s="4" t="str" cm="1">
        <f t="array" aca="1" ref="E188" ca="1">+_FV(D188,"Símbolo do ticker",TRUE)</f>
        <v>NZI</v>
      </c>
      <c r="F188" s="4" t="str" cm="1">
        <f t="array" aca="1" ref="F188" ca="1">+_FV(D188,"Setor")</f>
        <v>Leisure Products</v>
      </c>
      <c r="G188" s="11">
        <v>46057</v>
      </c>
      <c r="H188" s="4">
        <v>1.1100000000000001</v>
      </c>
      <c r="I188" s="7" cm="1">
        <f t="array" aca="1" ref="I188" ca="1">+_FV(D188,"Preço")</f>
        <v>1.1100000000000001</v>
      </c>
      <c r="J188" s="8">
        <f t="shared" ca="1" si="2"/>
        <v>0</v>
      </c>
      <c r="K188" s="4" t="s">
        <v>277</v>
      </c>
      <c r="L188" s="4" t="s">
        <v>278</v>
      </c>
      <c r="M188" s="4" t="s">
        <v>25</v>
      </c>
      <c r="N188" s="4"/>
      <c r="O188" s="4"/>
    </row>
    <row r="189" spans="3:15" x14ac:dyDescent="0.2">
      <c r="C189" t="s">
        <v>1001</v>
      </c>
      <c r="D189" t="e" vm="190">
        <v>#VALUE!</v>
      </c>
      <c r="E189" s="4" t="str" cm="1">
        <f t="array" aca="1" ref="E189" ca="1">+_FV(D189,"Símbolo do ticker",TRUE)</f>
        <v>IFLEX</v>
      </c>
      <c r="F189" s="4" t="str" cm="1">
        <f t="array" aca="1" ref="F189" ca="1">+_FV(D189,"Setor")</f>
        <v>Containers &amp; Packaging</v>
      </c>
      <c r="G189" s="11">
        <v>46057</v>
      </c>
      <c r="H189" s="4">
        <v>1.7</v>
      </c>
      <c r="I189" s="7" cm="1">
        <f t="array" aca="1" ref="I189" ca="1">+_FV(D189,"Preço")</f>
        <v>1.62</v>
      </c>
      <c r="J189" s="8">
        <f t="shared" ca="1" si="2"/>
        <v>-4.7058823529411709E-2</v>
      </c>
      <c r="K189" s="4" t="s">
        <v>1002</v>
      </c>
      <c r="L189" s="4" t="s">
        <v>1003</v>
      </c>
      <c r="M189" s="4" t="s">
        <v>25</v>
      </c>
      <c r="N189" s="4"/>
      <c r="O189" s="4"/>
    </row>
    <row r="190" spans="3:15" x14ac:dyDescent="0.2">
      <c r="C190" t="s">
        <v>1004</v>
      </c>
      <c r="D190" t="e" vm="191">
        <v>#VALUE!</v>
      </c>
      <c r="E190" s="4" t="str" cm="1">
        <f t="array" aca="1" ref="E190" ca="1">+_FV(D190,"Símbolo do ticker",TRUE)</f>
        <v>RDG</v>
      </c>
      <c r="F190" s="4" t="str" cm="1">
        <f t="array" aca="1" ref="F190" ca="1">+_FV(D190,"Setor")</f>
        <v>Software &amp; IT Services</v>
      </c>
      <c r="G190" s="11">
        <v>46057</v>
      </c>
      <c r="H190" s="4">
        <v>7.2</v>
      </c>
      <c r="I190" s="7" cm="1">
        <f t="array" aca="1" ref="I190" ca="1">+_FV(D190,"Preço")</f>
        <v>6.95</v>
      </c>
      <c r="J190" s="8">
        <f t="shared" ca="1" si="2"/>
        <v>-3.472222222222221E-2</v>
      </c>
      <c r="K190" s="4">
        <v>640</v>
      </c>
      <c r="L190" s="4" t="s">
        <v>280</v>
      </c>
      <c r="M190" s="4" t="s">
        <v>25</v>
      </c>
      <c r="N190" s="4"/>
      <c r="O190" s="4"/>
    </row>
    <row r="191" spans="3:15" x14ac:dyDescent="0.2">
      <c r="C191" t="s">
        <v>1005</v>
      </c>
      <c r="D191" t="e" vm="192">
        <v>#VALUE!</v>
      </c>
      <c r="E191" s="4" t="str" cm="1">
        <f t="array" aca="1" ref="E191" ca="1">+_FV(D191,"Símbolo do ticker",TRUE)</f>
        <v>BST</v>
      </c>
      <c r="F191" s="4" t="str" cm="1">
        <f t="array" aca="1" ref="F191" ca="1">+_FV(D191,"Setor")</f>
        <v>Biotechnology &amp; Medical Research</v>
      </c>
      <c r="G191" s="11">
        <v>46057</v>
      </c>
      <c r="H191" s="4">
        <v>0.20100000000000001</v>
      </c>
      <c r="I191" s="7" cm="1">
        <f t="array" aca="1" ref="I191" ca="1">+_FV(D191,"Preço")</f>
        <v>0.19900000000000001</v>
      </c>
      <c r="J191" s="8">
        <f t="shared" ca="1" si="2"/>
        <v>-9.9502487562188602E-3</v>
      </c>
      <c r="K191" s="4" t="s">
        <v>1006</v>
      </c>
      <c r="L191" s="4" t="s">
        <v>1007</v>
      </c>
      <c r="M191" s="4" t="s">
        <v>281</v>
      </c>
      <c r="N191" s="4" t="s">
        <v>1008</v>
      </c>
      <c r="O191" s="4" t="s">
        <v>1009</v>
      </c>
    </row>
    <row r="192" spans="3:15" x14ac:dyDescent="0.2">
      <c r="C192" t="s">
        <v>1010</v>
      </c>
      <c r="D192" t="e" vm="193">
        <v>#VALUE!</v>
      </c>
      <c r="E192" s="4" t="str" cm="1">
        <f t="array" aca="1" ref="E192" ca="1">+_FV(D192,"Símbolo do ticker",TRUE)</f>
        <v>DOMO</v>
      </c>
      <c r="F192" s="4" t="str" cm="1">
        <f t="array" aca="1" ref="F192" ca="1">+_FV(D192,"Setor")</f>
        <v>Residential &amp; Commercial REIT</v>
      </c>
      <c r="G192" s="11">
        <v>46057</v>
      </c>
      <c r="H192" s="4">
        <v>1.21</v>
      </c>
      <c r="I192" s="7" cm="1">
        <f t="array" aca="1" ref="I192" ca="1">+_FV(D192,"Preço")</f>
        <v>1.21</v>
      </c>
      <c r="J192" s="8">
        <f t="shared" ca="1" si="2"/>
        <v>0</v>
      </c>
      <c r="K192" s="4" t="s">
        <v>282</v>
      </c>
      <c r="L192" s="4" t="s">
        <v>283</v>
      </c>
      <c r="M192" s="4" t="s">
        <v>284</v>
      </c>
      <c r="N192" s="4"/>
      <c r="O192" s="4" t="s">
        <v>850</v>
      </c>
    </row>
    <row r="193" spans="3:15" x14ac:dyDescent="0.2">
      <c r="C193" t="s">
        <v>1011</v>
      </c>
      <c r="D193" t="e" vm="194">
        <v>#VALUE!</v>
      </c>
      <c r="E193" s="4" t="str" cm="1">
        <f t="array" aca="1" ref="E193" ca="1">+_FV(D193,"Símbolo do ticker",TRUE)</f>
        <v>SAI.B</v>
      </c>
      <c r="F193" s="4" t="str" cm="1">
        <f t="array" aca="1" ref="F193" ca="1">+_FV(D193,"Setor")</f>
        <v>Healthcare Equipment &amp; Supplies</v>
      </c>
      <c r="G193" s="11">
        <v>46057</v>
      </c>
      <c r="H193" s="4">
        <v>0.17499999999999999</v>
      </c>
      <c r="I193" s="7" cm="1">
        <f t="array" aca="1" ref="I193" ca="1">+_FV(D193,"Preço")</f>
        <v>0.17499999999999999</v>
      </c>
      <c r="J193" s="8">
        <f t="shared" ca="1" si="2"/>
        <v>0</v>
      </c>
      <c r="K193" s="4" t="s">
        <v>1012</v>
      </c>
      <c r="L193" s="4" t="s">
        <v>1013</v>
      </c>
      <c r="M193" s="4" t="s">
        <v>286</v>
      </c>
      <c r="N193" s="4" t="s">
        <v>1014</v>
      </c>
      <c r="O193" s="4" t="s">
        <v>371</v>
      </c>
    </row>
    <row r="194" spans="3:15" x14ac:dyDescent="0.2">
      <c r="C194" t="s">
        <v>1011</v>
      </c>
      <c r="D194" t="e" vm="194">
        <v>#VALUE!</v>
      </c>
      <c r="E194" s="4" t="str" cm="1">
        <f t="array" aca="1" ref="E194" ca="1">+_FV(D194,"Símbolo do ticker",TRUE)</f>
        <v>SAI.B</v>
      </c>
      <c r="F194" s="4" t="str" cm="1">
        <f t="array" aca="1" ref="F194" ca="1">+_FV(D194,"Setor")</f>
        <v>Healthcare Equipment &amp; Supplies</v>
      </c>
      <c r="G194" s="11">
        <v>46057</v>
      </c>
      <c r="H194" s="4">
        <v>0.17499999999999999</v>
      </c>
      <c r="I194" s="7" cm="1">
        <f t="array" aca="1" ref="I194" ca="1">+_FV(D194,"Preço")</f>
        <v>0.17499999999999999</v>
      </c>
      <c r="J194" s="8">
        <f t="shared" ca="1" si="2"/>
        <v>0</v>
      </c>
      <c r="K194" s="4" t="s">
        <v>1015</v>
      </c>
      <c r="L194" s="4" t="s">
        <v>1013</v>
      </c>
      <c r="M194" s="4" t="s">
        <v>286</v>
      </c>
      <c r="N194" s="4" t="s">
        <v>1014</v>
      </c>
      <c r="O194" s="4" t="s">
        <v>371</v>
      </c>
    </row>
    <row r="195" spans="3:15" x14ac:dyDescent="0.2">
      <c r="C195" t="s">
        <v>1016</v>
      </c>
      <c r="D195" t="e" vm="195">
        <v>#VALUE!</v>
      </c>
      <c r="E195" s="4" t="str" cm="1">
        <f t="array" aca="1" ref="E195" ca="1">+_FV(D195,"Símbolo do ticker",TRUE)</f>
        <v>ELZ</v>
      </c>
      <c r="F195" s="4" t="str" cm="1">
        <f t="array" aca="1" ref="F195" ca="1">+_FV(D195,"Setor")</f>
        <v>Metals &amp; Mining</v>
      </c>
      <c r="G195" s="11">
        <v>46057</v>
      </c>
      <c r="H195" s="4">
        <v>9.3200000000000005E-2</v>
      </c>
      <c r="I195" s="7" cm="1">
        <f t="array" aca="1" ref="I195" ca="1">+_FV(D195,"Preço")</f>
        <v>9.3799999999999994E-2</v>
      </c>
      <c r="J195" s="8">
        <f t="shared" ref="J195:J212" ca="1" si="3">+I195/H195-1</f>
        <v>6.4377682403431447E-3</v>
      </c>
      <c r="K195" s="4" t="s">
        <v>1017</v>
      </c>
      <c r="L195" s="4" t="s">
        <v>1018</v>
      </c>
      <c r="M195" s="4" t="s">
        <v>285</v>
      </c>
      <c r="N195" s="4" t="s">
        <v>1019</v>
      </c>
      <c r="O195" s="4" t="s">
        <v>347</v>
      </c>
    </row>
    <row r="196" spans="3:15" x14ac:dyDescent="0.2">
      <c r="C196" t="s">
        <v>1020</v>
      </c>
      <c r="D196" t="e" vm="196">
        <v>#VALUE!</v>
      </c>
      <c r="E196" s="4" t="str" cm="1">
        <f t="array" aca="1" ref="E196" ca="1">+_FV(D196,"Símbolo do ticker",TRUE)</f>
        <v>RIO</v>
      </c>
      <c r="F196" s="4" t="str" cm="1">
        <f t="array" aca="1" ref="F196" ca="1">+_FV(D196,"Setor")</f>
        <v>Beverages</v>
      </c>
      <c r="G196" s="11">
        <v>46057</v>
      </c>
      <c r="H196" s="4">
        <v>2.331</v>
      </c>
      <c r="I196" s="7" cm="1">
        <f t="array" aca="1" ref="I196" ca="1">+_FV(D196,"Preço")</f>
        <v>2.37</v>
      </c>
      <c r="J196" s="8">
        <f t="shared" ca="1" si="3"/>
        <v>1.6731016731016846E-2</v>
      </c>
      <c r="K196" s="4" t="s">
        <v>1021</v>
      </c>
      <c r="L196" s="4" t="s">
        <v>1022</v>
      </c>
      <c r="M196" s="4" t="s">
        <v>110</v>
      </c>
      <c r="N196" s="4" t="s">
        <v>1023</v>
      </c>
      <c r="O196" s="4"/>
    </row>
    <row r="197" spans="3:15" x14ac:dyDescent="0.2">
      <c r="C197" t="s">
        <v>1024</v>
      </c>
      <c r="D197" t="e" vm="197">
        <v>#VALUE!</v>
      </c>
      <c r="E197" s="4" t="str" cm="1">
        <f t="array" aca="1" ref="E197" ca="1">+_FV(D197,"Símbolo do ticker",TRUE)</f>
        <v>YGO2</v>
      </c>
      <c r="F197" s="4" t="str" cm="1">
        <f t="array" aca="1" ref="F197" ca="1">+_FV(D197,"Setor")</f>
        <v>Residential &amp; Commercial REIT</v>
      </c>
      <c r="G197" s="11">
        <v>46057</v>
      </c>
      <c r="H197" s="4">
        <v>1.65</v>
      </c>
      <c r="I197" s="7" cm="1">
        <f t="array" aca="1" ref="I197" ca="1">+_FV(D197,"Preço")</f>
        <v>1.65</v>
      </c>
      <c r="J197" s="8">
        <f t="shared" ca="1" si="3"/>
        <v>0</v>
      </c>
      <c r="K197" s="4">
        <v>49</v>
      </c>
      <c r="L197" s="4" t="s">
        <v>287</v>
      </c>
      <c r="M197" s="4" t="s">
        <v>25</v>
      </c>
      <c r="N197" s="4"/>
      <c r="O197" s="4"/>
    </row>
    <row r="198" spans="3:15" x14ac:dyDescent="0.2">
      <c r="C198" t="s">
        <v>1025</v>
      </c>
      <c r="D198" t="e" vm="198">
        <v>#VALUE!</v>
      </c>
      <c r="E198" s="4" t="str" cm="1">
        <f t="array" aca="1" ref="E198" ca="1">+_FV(D198,"Símbolo do ticker",TRUE)</f>
        <v>YEIS</v>
      </c>
      <c r="F198" s="4" t="str" cm="1">
        <f t="array" aca="1" ref="F198" ca="1">+_FV(D198,"Setor")</f>
        <v>Residential &amp; Commercial REIT</v>
      </c>
      <c r="G198" s="11">
        <v>46057</v>
      </c>
      <c r="H198" s="4">
        <v>1.24</v>
      </c>
      <c r="I198" s="7" cm="1">
        <f t="array" aca="1" ref="I198" ca="1">+_FV(D198,"Preço")</f>
        <v>0.93</v>
      </c>
      <c r="J198" s="8">
        <f t="shared" ca="1" si="3"/>
        <v>-0.25</v>
      </c>
      <c r="K198" s="4" t="s">
        <v>288</v>
      </c>
      <c r="L198" s="4" t="s">
        <v>289</v>
      </c>
      <c r="M198" s="4" t="s">
        <v>290</v>
      </c>
      <c r="N198" s="4"/>
      <c r="O198" s="4" t="s">
        <v>965</v>
      </c>
    </row>
    <row r="199" spans="3:15" x14ac:dyDescent="0.2">
      <c r="C199" t="s">
        <v>1026</v>
      </c>
      <c r="D199" t="e" vm="199">
        <v>#VALUE!</v>
      </c>
      <c r="E199" s="4" t="str" cm="1">
        <f t="array" aca="1" ref="E199" ca="1">+_FV(D199,"Símbolo do ticker",TRUE)</f>
        <v>SCCMM</v>
      </c>
      <c r="F199" s="4" t="str" cm="1">
        <f t="array" aca="1" ref="F199" ca="1">+_FV(D199,"Setor")</f>
        <v>Telecommunications Services</v>
      </c>
      <c r="G199" s="11">
        <v>46057</v>
      </c>
      <c r="H199" s="4">
        <v>1.64</v>
      </c>
      <c r="I199" s="7" cm="1">
        <f t="array" aca="1" ref="I199" ca="1">+_FV(D199,"Preço")</f>
        <v>1.64</v>
      </c>
      <c r="J199" s="8">
        <f t="shared" ca="1" si="3"/>
        <v>0</v>
      </c>
      <c r="K199" s="4">
        <v>463</v>
      </c>
      <c r="L199" s="4" t="s">
        <v>291</v>
      </c>
      <c r="M199" s="4" t="s">
        <v>292</v>
      </c>
      <c r="N199" s="4" t="s">
        <v>1027</v>
      </c>
      <c r="O199" s="4" t="s">
        <v>842</v>
      </c>
    </row>
    <row r="200" spans="3:15" x14ac:dyDescent="0.2">
      <c r="C200" t="s">
        <v>1028</v>
      </c>
      <c r="D200" t="e" vm="200">
        <v>#VALUE!</v>
      </c>
      <c r="E200" s="4" t="str" cm="1">
        <f t="array" aca="1" ref="E200" ca="1">+_FV(D200,"Símbolo do ticker",TRUE)</f>
        <v>SCBTT</v>
      </c>
      <c r="F200" s="4" t="e" cm="1" vm="138">
        <f t="array" ref="F200">+_FV(D200,"Setor")</f>
        <v>#VALUE!</v>
      </c>
      <c r="G200" s="11">
        <v>46057</v>
      </c>
      <c r="H200" s="4">
        <v>4.5999999999999996</v>
      </c>
      <c r="I200" s="7" cm="1">
        <f t="array" aca="1" ref="I200" ca="1">+_FV(D200,"Preço")</f>
        <v>4.5999999999999996</v>
      </c>
      <c r="J200" s="8">
        <f t="shared" ca="1" si="3"/>
        <v>0</v>
      </c>
      <c r="K200" s="4">
        <v>110</v>
      </c>
      <c r="L200" s="4" t="s">
        <v>293</v>
      </c>
      <c r="M200" s="4" t="s">
        <v>25</v>
      </c>
      <c r="N200" s="4"/>
      <c r="O200" s="4"/>
    </row>
    <row r="201" spans="3:15" x14ac:dyDescent="0.2">
      <c r="C201" t="s">
        <v>1029</v>
      </c>
      <c r="D201" t="e" vm="201">
        <v>#VALUE!</v>
      </c>
      <c r="E201" s="4" t="str" cm="1">
        <f t="array" aca="1" ref="E201" ca="1">+_FV(D201,"Símbolo do ticker",TRUE)</f>
        <v>KOM</v>
      </c>
      <c r="F201" s="4" t="str" cm="1">
        <f t="array" aca="1" ref="F201" ca="1">+_FV(D201,"Setor")</f>
        <v>Chemicals</v>
      </c>
      <c r="G201" s="11">
        <v>46057</v>
      </c>
      <c r="H201" s="4">
        <v>0.78500000000000003</v>
      </c>
      <c r="I201" s="7" cm="1">
        <f t="array" aca="1" ref="I201" ca="1">+_FV(D201,"Preço")</f>
        <v>0.78500000000000003</v>
      </c>
      <c r="J201" s="8">
        <f t="shared" ca="1" si="3"/>
        <v>0</v>
      </c>
      <c r="K201" s="4" t="s">
        <v>1030</v>
      </c>
      <c r="L201" s="4" t="s">
        <v>1031</v>
      </c>
      <c r="M201" s="4" t="s">
        <v>294</v>
      </c>
      <c r="N201" s="4" t="s">
        <v>1032</v>
      </c>
      <c r="O201" s="4" t="s">
        <v>1033</v>
      </c>
    </row>
    <row r="202" spans="3:15" x14ac:dyDescent="0.2">
      <c r="C202" t="s">
        <v>1034</v>
      </c>
      <c r="D202" t="e" vm="202">
        <v>#VALUE!</v>
      </c>
      <c r="E202" s="4" t="str" cm="1">
        <f t="array" aca="1" ref="E202" ca="1">+_FV(D202,"Símbolo do ticker",TRUE)</f>
        <v>RBT</v>
      </c>
      <c r="F202" s="4" t="str" cm="1">
        <f t="array" aca="1" ref="F202" ca="1">+_FV(D202,"Setor")</f>
        <v>Machinery, Equipment &amp; Components</v>
      </c>
      <c r="G202" s="11">
        <v>46057</v>
      </c>
      <c r="H202" s="4">
        <v>3.1</v>
      </c>
      <c r="I202" s="7" cm="1">
        <f t="array" aca="1" ref="I202" ca="1">+_FV(D202,"Preço")</f>
        <v>3.1</v>
      </c>
      <c r="J202" s="8">
        <f t="shared" ca="1" si="3"/>
        <v>0</v>
      </c>
      <c r="K202" s="4" t="s">
        <v>295</v>
      </c>
      <c r="L202" s="4" t="s">
        <v>296</v>
      </c>
      <c r="M202" s="4" t="s">
        <v>297</v>
      </c>
      <c r="N202" s="4" t="s">
        <v>1035</v>
      </c>
      <c r="O202" s="4" t="s">
        <v>779</v>
      </c>
    </row>
    <row r="203" spans="3:15" x14ac:dyDescent="0.2">
      <c r="C203" t="s">
        <v>1036</v>
      </c>
      <c r="D203" t="e" vm="203">
        <v>#VALUE!</v>
      </c>
      <c r="E203" s="4" t="str" cm="1">
        <f t="array" aca="1" ref="E203" ca="1">+_FV(D203,"Símbolo do ticker",TRUE)</f>
        <v>RSS</v>
      </c>
      <c r="F203" s="4" t="str" cm="1">
        <f t="array" aca="1" ref="F203" ca="1">+_FV(D203,"Setor")</f>
        <v>Professional &amp; Commercial Services</v>
      </c>
      <c r="G203" s="11">
        <v>46057</v>
      </c>
      <c r="H203" s="4">
        <v>0.75</v>
      </c>
      <c r="I203" s="7" cm="1">
        <f t="array" aca="1" ref="I203" ca="1">+_FV(D203,"Preço")</f>
        <v>0.75</v>
      </c>
      <c r="J203" s="8">
        <f t="shared" ca="1" si="3"/>
        <v>0</v>
      </c>
      <c r="K203" s="4" t="s">
        <v>1037</v>
      </c>
      <c r="L203" s="4" t="s">
        <v>298</v>
      </c>
      <c r="M203" s="4" t="s">
        <v>25</v>
      </c>
      <c r="N203" s="4"/>
      <c r="O203" s="4"/>
    </row>
    <row r="204" spans="3:15" x14ac:dyDescent="0.2">
      <c r="C204" t="s">
        <v>1038</v>
      </c>
      <c r="D204" t="e" vm="204">
        <v>#VALUE!</v>
      </c>
      <c r="E204" s="4" t="str" cm="1">
        <f t="array" aca="1" ref="E204" ca="1">+_FV(D204,"Símbolo do ticker",TRUE)</f>
        <v>VANA</v>
      </c>
      <c r="F204" s="4" t="str" cm="1">
        <f t="array" aca="1" ref="F204" ca="1">+_FV(D204,"Setor")</f>
        <v>Hotels &amp; Entertainment Services</v>
      </c>
      <c r="G204" s="11">
        <v>46057</v>
      </c>
      <c r="H204" s="4">
        <v>0.11</v>
      </c>
      <c r="I204" s="7" cm="1">
        <f t="array" aca="1" ref="I204" ca="1">+_FV(D204,"Preço")</f>
        <v>0.122</v>
      </c>
      <c r="J204" s="8">
        <f t="shared" ca="1" si="3"/>
        <v>0.10909090909090913</v>
      </c>
      <c r="K204" s="4" t="s">
        <v>1039</v>
      </c>
      <c r="L204" s="4" t="s">
        <v>1040</v>
      </c>
      <c r="M204" s="4" t="s">
        <v>25</v>
      </c>
      <c r="N204" s="4"/>
      <c r="O204" s="4"/>
    </row>
    <row r="205" spans="3:15" x14ac:dyDescent="0.2">
      <c r="C205" t="s">
        <v>1041</v>
      </c>
      <c r="D205" t="e" vm="205">
        <v>#VALUE!</v>
      </c>
      <c r="E205" s="4" t="str" cm="1">
        <f t="array" aca="1" ref="E205" ca="1">+_FV(D205,"Símbolo do ticker",TRUE)</f>
        <v>PVA</v>
      </c>
      <c r="F205" s="4" t="str" cm="1">
        <f t="array" aca="1" ref="F205" ca="1">+_FV(D205,"Setor")</f>
        <v>Food &amp; Tobacco</v>
      </c>
      <c r="G205" s="11">
        <v>46057</v>
      </c>
      <c r="H205" s="4">
        <v>0.26800000000000002</v>
      </c>
      <c r="I205" s="7" cm="1">
        <f t="array" aca="1" ref="I205" ca="1">+_FV(D205,"Preço")</f>
        <v>0.28000000000000003</v>
      </c>
      <c r="J205" s="8">
        <f t="shared" ca="1" si="3"/>
        <v>4.4776119402985204E-2</v>
      </c>
      <c r="K205" s="4" t="s">
        <v>1042</v>
      </c>
      <c r="L205" s="4" t="s">
        <v>1043</v>
      </c>
      <c r="M205" s="4" t="s">
        <v>111</v>
      </c>
      <c r="N205" s="4" t="s">
        <v>1044</v>
      </c>
      <c r="O205" s="4" t="s">
        <v>1045</v>
      </c>
    </row>
    <row r="206" spans="3:15" x14ac:dyDescent="0.2">
      <c r="C206" t="s">
        <v>1046</v>
      </c>
      <c r="D206" t="e" vm="206">
        <v>#VALUE!</v>
      </c>
      <c r="E206" s="4" t="str" cm="1">
        <f t="array" aca="1" ref="E206" ca="1">+_FV(D206,"Símbolo do ticker",TRUE)</f>
        <v>HAN</v>
      </c>
      <c r="F206" s="4" t="str" cm="1">
        <f t="array" aca="1" ref="F206" ca="1">+_FV(D206,"Setor")</f>
        <v>Diversified Retail</v>
      </c>
      <c r="G206" s="11">
        <v>46057</v>
      </c>
      <c r="H206" s="4">
        <v>0.17399999999999999</v>
      </c>
      <c r="I206" s="7" cm="1">
        <f t="array" aca="1" ref="I206" ca="1">+_FV(D206,"Preço")</f>
        <v>0.17599999999999999</v>
      </c>
      <c r="J206" s="8">
        <f t="shared" ca="1" si="3"/>
        <v>1.1494252873563315E-2</v>
      </c>
      <c r="K206" s="4" t="s">
        <v>1047</v>
      </c>
      <c r="L206" s="4" t="s">
        <v>299</v>
      </c>
      <c r="M206" s="4" t="s">
        <v>300</v>
      </c>
      <c r="N206" s="4" t="s">
        <v>1048</v>
      </c>
      <c r="O206" s="4" t="s">
        <v>972</v>
      </c>
    </row>
    <row r="207" spans="3:15" x14ac:dyDescent="0.2">
      <c r="C207" t="s">
        <v>301</v>
      </c>
      <c r="D207" t="e" vm="207">
        <v>#VALUE!</v>
      </c>
      <c r="E207" s="4" t="str" cm="1">
        <f t="array" aca="1" ref="E207" ca="1">+_FV(D207,"Símbolo do ticker",TRUE)</f>
        <v>SCASM</v>
      </c>
      <c r="F207" s="4" t="e" cm="1" vm="138">
        <f t="array" ref="F207">+_FV(D207,"Setor")</f>
        <v>#VALUE!</v>
      </c>
      <c r="G207" s="11">
        <v>46057</v>
      </c>
      <c r="H207" s="4" t="e" vm="73">
        <v>#VALUE!</v>
      </c>
      <c r="I207" s="7" t="e" cm="1" vm="73">
        <f t="array" ref="I207">+_FV(D207,"Preço")</f>
        <v>#VALUE!</v>
      </c>
      <c r="J207" s="8" t="e" vm="74">
        <f t="shared" si="3"/>
        <v>#VALUE!</v>
      </c>
      <c r="K207" s="4">
        <v>0</v>
      </c>
      <c r="L207" s="4" t="s">
        <v>302</v>
      </c>
      <c r="M207" s="4" t="s">
        <v>25</v>
      </c>
      <c r="N207" s="4"/>
      <c r="O207" s="4"/>
    </row>
    <row r="208" spans="3:15" x14ac:dyDescent="0.2">
      <c r="C208" t="s">
        <v>1049</v>
      </c>
      <c r="D208" t="e" vm="208">
        <v>#VALUE!</v>
      </c>
      <c r="E208" s="4" t="str" cm="1">
        <f t="array" aca="1" ref="E208" ca="1">+_FV(D208,"Símbolo do ticker",TRUE)</f>
        <v>YTRA</v>
      </c>
      <c r="F208" s="4" t="str" cm="1">
        <f t="array" aca="1" ref="F208" ca="1">+_FV(D208,"Setor")</f>
        <v>Residential &amp; Commercial REIT</v>
      </c>
      <c r="G208" s="11">
        <v>46057</v>
      </c>
      <c r="H208" s="4">
        <v>0.36399999999999999</v>
      </c>
      <c r="I208" s="7" cm="1">
        <f t="array" aca="1" ref="I208" ca="1">+_FV(D208,"Preço")</f>
        <v>0.33600000000000002</v>
      </c>
      <c r="J208" s="8">
        <f t="shared" ca="1" si="3"/>
        <v>-7.6923076923076872E-2</v>
      </c>
      <c r="K208" s="4" t="s">
        <v>1050</v>
      </c>
      <c r="L208" s="4" t="s">
        <v>303</v>
      </c>
      <c r="M208" s="4" t="s">
        <v>304</v>
      </c>
      <c r="N208" s="4" t="s">
        <v>1051</v>
      </c>
      <c r="O208" s="4" t="s">
        <v>1045</v>
      </c>
    </row>
    <row r="209" spans="3:15" x14ac:dyDescent="0.2">
      <c r="C209" t="s">
        <v>1052</v>
      </c>
      <c r="D209" t="e" vm="209">
        <v>#VALUE!</v>
      </c>
      <c r="E209" s="4" t="str" cm="1">
        <f t="array" aca="1" ref="E209" ca="1">+_FV(D209,"Símbolo do ticker",TRUE)</f>
        <v>SPH</v>
      </c>
      <c r="F209" s="4" t="str" cm="1">
        <f t="array" aca="1" ref="F209" ca="1">+_FV(D209,"Setor")</f>
        <v>Investment Banking &amp; Investment Services</v>
      </c>
      <c r="G209" s="11">
        <v>46057</v>
      </c>
      <c r="H209" s="4">
        <v>0.245</v>
      </c>
      <c r="I209" s="7" cm="1">
        <f t="array" aca="1" ref="I209" ca="1">+_FV(D209,"Preço")</f>
        <v>0.24</v>
      </c>
      <c r="J209" s="8">
        <f t="shared" ca="1" si="3"/>
        <v>-2.0408163265306145E-2</v>
      </c>
      <c r="K209" s="4" t="s">
        <v>1053</v>
      </c>
      <c r="L209" s="4" t="s">
        <v>305</v>
      </c>
      <c r="M209" s="4" t="s">
        <v>306</v>
      </c>
      <c r="N209" s="4" t="s">
        <v>1054</v>
      </c>
      <c r="O209" s="4" t="s">
        <v>666</v>
      </c>
    </row>
    <row r="210" spans="3:15" x14ac:dyDescent="0.2">
      <c r="C210" t="s">
        <v>1055</v>
      </c>
      <c r="D210" t="e" vm="210">
        <v>#VALUE!</v>
      </c>
      <c r="E210" s="4" t="str" cm="1">
        <f t="array" aca="1" ref="E210" ca="1">+_FV(D210,"Símbolo do ticker",TRUE)</f>
        <v>CITY</v>
      </c>
      <c r="F210" s="4" t="e" cm="1" vm="138">
        <f t="array" ref="F210">+_FV(D210,"Setor")</f>
        <v>#VALUE!</v>
      </c>
      <c r="G210" s="11">
        <v>46057</v>
      </c>
      <c r="H210" s="4">
        <v>5.7599999999999998E-2</v>
      </c>
      <c r="I210" s="7" cm="1">
        <f t="array" aca="1" ref="I210" ca="1">+_FV(D210,"Preço")</f>
        <v>5.0999999999999997E-2</v>
      </c>
      <c r="J210" s="8">
        <f t="shared" ca="1" si="3"/>
        <v>-0.11458333333333337</v>
      </c>
      <c r="K210" s="4" t="s">
        <v>104</v>
      </c>
      <c r="L210" s="4" t="s">
        <v>1056</v>
      </c>
      <c r="M210" s="4" t="s">
        <v>25</v>
      </c>
      <c r="N210" s="4"/>
      <c r="O210" s="4"/>
    </row>
    <row r="211" spans="3:15" x14ac:dyDescent="0.2">
      <c r="C211" t="s">
        <v>1057</v>
      </c>
      <c r="D211" t="e" vm="211">
        <v>#VALUE!</v>
      </c>
      <c r="E211" s="4" t="str" cm="1">
        <f t="array" aca="1" ref="E211" ca="1">+_FV(D211,"Símbolo do ticker",TRUE)</f>
        <v>EEP</v>
      </c>
      <c r="F211" s="4" t="str" cm="1">
        <f t="array" aca="1" ref="F211" ca="1">+_FV(D211,"Setor")</f>
        <v>Healthcare Providers &amp; Services</v>
      </c>
      <c r="G211" s="11">
        <v>46057</v>
      </c>
      <c r="H211" s="4">
        <v>0.34</v>
      </c>
      <c r="I211" s="7" cm="1">
        <f t="array" aca="1" ref="I211" ca="1">+_FV(D211,"Preço")</f>
        <v>0.34</v>
      </c>
      <c r="J211" s="8">
        <f t="shared" ca="1" si="3"/>
        <v>0</v>
      </c>
      <c r="K211" s="4">
        <v>188</v>
      </c>
      <c r="L211" s="4" t="s">
        <v>307</v>
      </c>
      <c r="M211" s="4" t="s">
        <v>308</v>
      </c>
      <c r="N211" s="4" t="s">
        <v>1058</v>
      </c>
      <c r="O211" s="4" t="s">
        <v>1059</v>
      </c>
    </row>
    <row r="212" spans="3:15" x14ac:dyDescent="0.2">
      <c r="C212" t="s">
        <v>1060</v>
      </c>
      <c r="D212" t="e" vm="212">
        <v>#VALUE!</v>
      </c>
      <c r="E212" s="4" t="str" cm="1">
        <f t="array" aca="1" ref="E212" ca="1">+_FV(D212,"Símbolo do ticker",TRUE)</f>
        <v>SCSS</v>
      </c>
      <c r="F212" s="4" t="e" cm="1" vm="138">
        <f t="array" ref="F212">+_FV(D212,"Setor")</f>
        <v>#VALUE!</v>
      </c>
      <c r="G212" s="11">
        <v>46057</v>
      </c>
      <c r="H212" s="4">
        <v>4.9000000000000004</v>
      </c>
      <c r="I212" s="7" cm="1">
        <f t="array" aca="1" ref="I212" ca="1">+_FV(D212,"Preço")</f>
        <v>4.9000000000000004</v>
      </c>
      <c r="J212" s="8">
        <f t="shared" ca="1" si="3"/>
        <v>0</v>
      </c>
      <c r="K212" s="4">
        <v>593</v>
      </c>
      <c r="L212" s="4">
        <v>0</v>
      </c>
      <c r="M212" s="4" t="s">
        <v>25</v>
      </c>
      <c r="N212" s="4"/>
      <c r="O212" s="4"/>
    </row>
    <row r="213" spans="3:15" x14ac:dyDescent="0.2">
      <c r="E213" t="s">
        <v>1075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8"/>
  <sheetViews>
    <sheetView workbookViewId="0">
      <selection activeCell="B36" sqref="B36"/>
    </sheetView>
  </sheetViews>
  <sheetFormatPr defaultColWidth="9" defaultRowHeight="15" x14ac:dyDescent="0.25"/>
  <cols>
    <col min="1" max="1" width="9" style="1"/>
    <col min="2" max="2" width="32.5" style="1" customWidth="1"/>
    <col min="3" max="3" width="12.25" style="1" customWidth="1"/>
    <col min="4" max="4" width="19.125" style="1" customWidth="1"/>
    <col min="5" max="5" width="31.875" style="1" customWidth="1"/>
    <col min="6" max="8" width="9" style="1"/>
    <col min="9" max="9" width="12.75" style="1" customWidth="1"/>
    <col min="10" max="10" width="18" style="1" customWidth="1"/>
    <col min="11" max="11" width="14.375" style="1" customWidth="1"/>
    <col min="12" max="16384" width="9" style="1"/>
  </cols>
  <sheetData>
    <row r="2" spans="1:15" x14ac:dyDescent="0.25">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25">
      <c r="A3">
        <v>7</v>
      </c>
      <c r="B3" t="s">
        <v>314</v>
      </c>
      <c r="C3" s="9">
        <v>46057</v>
      </c>
      <c r="D3" t="s">
        <v>318</v>
      </c>
      <c r="E3" t="e" vm="1">
        <v>#VALUE!</v>
      </c>
      <c r="F3" s="4" t="str" cm="1">
        <f t="array" aca="1" ref="F3" ca="1">+_FV(E3,"Símbolo do ticker",TRUE)</f>
        <v>ITX</v>
      </c>
      <c r="G3" s="4">
        <v>56.6</v>
      </c>
      <c r="H3" s="7" cm="1">
        <f t="array" aca="1" ref="H3" ca="1">+_FV(E3,"Preço")</f>
        <v>57.14</v>
      </c>
      <c r="I3" s="8">
        <f t="shared" ref="I3:I15" ca="1" si="0">+H3/G3-1</f>
        <v>9.5406360424028502E-3</v>
      </c>
      <c r="J3" s="4" t="s">
        <v>20</v>
      </c>
      <c r="K3" s="4" t="s">
        <v>319</v>
      </c>
      <c r="L3" s="4" t="s">
        <v>21</v>
      </c>
      <c r="M3" s="4" t="s">
        <v>320</v>
      </c>
      <c r="N3" s="4" t="s">
        <v>321</v>
      </c>
    </row>
    <row r="4" spans="1:15" customFormat="1" ht="14.25" x14ac:dyDescent="0.2">
      <c r="A4">
        <v>8</v>
      </c>
      <c r="B4" t="s">
        <v>1080</v>
      </c>
      <c r="C4" s="9">
        <v>46057</v>
      </c>
      <c r="D4" t="s">
        <v>376</v>
      </c>
      <c r="E4" t="e" vm="13">
        <v>#VALUE!</v>
      </c>
      <c r="F4" s="4" t="str" cm="1">
        <f t="array" aca="1" ref="F4" ca="1">+_FV(E4,"Símbolo do ticker",TRUE)</f>
        <v>AMS</v>
      </c>
      <c r="G4" s="4">
        <v>53.5</v>
      </c>
      <c r="H4" s="7" cm="1">
        <f t="array" aca="1" ref="H4" ca="1">+_FV(E4,"Preço")</f>
        <v>52.14</v>
      </c>
      <c r="I4" s="8">
        <f t="shared" ca="1" si="0"/>
        <v>-2.5420560747663523E-2</v>
      </c>
      <c r="J4" s="4" t="s">
        <v>377</v>
      </c>
      <c r="K4" s="4" t="s">
        <v>378</v>
      </c>
      <c r="L4" s="4" t="s">
        <v>30</v>
      </c>
      <c r="M4" s="4" t="s">
        <v>379</v>
      </c>
      <c r="N4" s="4" t="s">
        <v>380</v>
      </c>
    </row>
    <row r="5" spans="1:15" customFormat="1" ht="14.25" x14ac:dyDescent="0.2">
      <c r="A5">
        <v>7</v>
      </c>
      <c r="B5" t="s">
        <v>1081</v>
      </c>
      <c r="C5" s="9">
        <v>46057</v>
      </c>
      <c r="D5" t="s">
        <v>381</v>
      </c>
      <c r="E5" t="e" vm="14">
        <v>#VALUE!</v>
      </c>
      <c r="F5" s="4" t="str" cm="1">
        <f t="array" aca="1" ref="F5" ca="1">+_FV(E5,"Símbolo do ticker",TRUE)</f>
        <v>IAG</v>
      </c>
      <c r="G5" s="4">
        <v>4.9980000000000002</v>
      </c>
      <c r="H5" s="7" cm="1">
        <f t="array" aca="1" ref="H5" ca="1">+_FV(E5,"Preço")</f>
        <v>5.0419999999999998</v>
      </c>
      <c r="I5" s="8">
        <f t="shared" ca="1" si="0"/>
        <v>8.8035214085633307E-3</v>
      </c>
      <c r="J5" s="4" t="s">
        <v>382</v>
      </c>
      <c r="K5" s="4" t="s">
        <v>383</v>
      </c>
      <c r="L5" s="4" t="s">
        <v>384</v>
      </c>
      <c r="M5" s="4" t="s">
        <v>385</v>
      </c>
      <c r="N5" s="4" t="s">
        <v>386</v>
      </c>
    </row>
    <row r="6" spans="1:15" customFormat="1" ht="14.25" x14ac:dyDescent="0.2">
      <c r="A6">
        <v>6</v>
      </c>
      <c r="B6" t="s">
        <v>311</v>
      </c>
      <c r="C6" s="9">
        <v>46057</v>
      </c>
      <c r="D6" t="s">
        <v>397</v>
      </c>
      <c r="E6" t="e" vm="17">
        <v>#VALUE!</v>
      </c>
      <c r="F6" s="4" t="str" cm="1">
        <f t="array" aca="1" ref="F6" ca="1">+_FV(E6,"Símbolo do ticker",TRUE)</f>
        <v>CLNX</v>
      </c>
      <c r="G6" s="4">
        <v>27.73</v>
      </c>
      <c r="H6" s="7" cm="1">
        <f t="array" aca="1" ref="H6" ca="1">+_FV(E6,"Preço")</f>
        <v>27.44</v>
      </c>
      <c r="I6" s="8">
        <f t="shared" ca="1" si="0"/>
        <v>-1.0457987738910934E-2</v>
      </c>
      <c r="J6" s="4" t="s">
        <v>398</v>
      </c>
      <c r="K6" s="4" t="s">
        <v>399</v>
      </c>
      <c r="L6" s="4" t="s">
        <v>57</v>
      </c>
      <c r="M6" s="4" t="s">
        <v>400</v>
      </c>
      <c r="N6" s="4" t="s">
        <v>401</v>
      </c>
    </row>
    <row r="7" spans="1:15" customFormat="1" ht="14.25" x14ac:dyDescent="0.2">
      <c r="A7">
        <v>5</v>
      </c>
      <c r="B7" t="s">
        <v>1062</v>
      </c>
      <c r="C7" s="9">
        <v>46057</v>
      </c>
      <c r="D7" t="s">
        <v>414</v>
      </c>
      <c r="E7" t="e" vm="21">
        <v>#VALUE!</v>
      </c>
      <c r="F7" s="4" t="str" cm="1">
        <f t="array" aca="1" ref="F7" ca="1">+_FV(E7,"Símbolo do ticker",TRUE)</f>
        <v>ANA</v>
      </c>
      <c r="G7" s="4">
        <v>182.3</v>
      </c>
      <c r="H7" s="7" cm="1">
        <f t="array" aca="1" ref="H7" ca="1">+_FV(E7,"Preço")</f>
        <v>184.6</v>
      </c>
      <c r="I7" s="8">
        <f t="shared" ca="1" si="0"/>
        <v>1.2616566099835413E-2</v>
      </c>
      <c r="J7" s="4" t="s">
        <v>415</v>
      </c>
      <c r="K7" s="4" t="s">
        <v>416</v>
      </c>
      <c r="L7" s="4" t="s">
        <v>37</v>
      </c>
      <c r="M7" s="4" t="s">
        <v>417</v>
      </c>
      <c r="N7" s="4" t="s">
        <v>418</v>
      </c>
    </row>
    <row r="8" spans="1:15" customFormat="1" ht="14.25" x14ac:dyDescent="0.2">
      <c r="A8">
        <v>9</v>
      </c>
      <c r="B8" t="s">
        <v>1077</v>
      </c>
      <c r="C8" s="9">
        <v>46057</v>
      </c>
      <c r="D8" t="s">
        <v>419</v>
      </c>
      <c r="E8" t="e" vm="22">
        <v>#VALUE!</v>
      </c>
      <c r="F8" s="4" t="str" cm="1">
        <f t="array" aca="1" ref="F8" ca="1">+_FV(E8,"Símbolo do ticker",TRUE)</f>
        <v>PUIG</v>
      </c>
      <c r="G8" s="4">
        <v>17.309999999999999</v>
      </c>
      <c r="H8" s="7" cm="1">
        <f t="array" aca="1" ref="H8" ca="1">+_FV(E8,"Preço")</f>
        <v>16.55</v>
      </c>
      <c r="I8" s="8">
        <f t="shared" ca="1" si="0"/>
        <v>-4.3905257076834125E-2</v>
      </c>
      <c r="J8" s="4" t="s">
        <v>420</v>
      </c>
      <c r="K8" s="4" t="s">
        <v>421</v>
      </c>
      <c r="L8" s="4" t="s">
        <v>116</v>
      </c>
      <c r="M8" s="4" t="s">
        <v>422</v>
      </c>
      <c r="N8" s="4" t="s">
        <v>423</v>
      </c>
    </row>
    <row r="9" spans="1:15" customFormat="1" ht="14.25" x14ac:dyDescent="0.2">
      <c r="A9">
        <v>7</v>
      </c>
      <c r="B9" t="s">
        <v>1078</v>
      </c>
      <c r="C9" s="9">
        <v>46057</v>
      </c>
      <c r="D9" t="s">
        <v>459</v>
      </c>
      <c r="E9" t="e" vm="32">
        <v>#VALUE!</v>
      </c>
      <c r="F9" s="4" t="str" cm="1">
        <f t="array" aca="1" ref="F9" ca="1">+_FV(E9,"Símbolo do ticker",TRUE)</f>
        <v>LOG</v>
      </c>
      <c r="G9" s="4">
        <v>31.76</v>
      </c>
      <c r="H9" s="7" cm="1">
        <f t="array" aca="1" ref="H9" ca="1">+_FV(E9,"Preço")</f>
        <v>33.520000000000003</v>
      </c>
      <c r="I9" s="8">
        <f t="shared" ca="1" si="0"/>
        <v>5.5415617128463435E-2</v>
      </c>
      <c r="J9" s="4" t="s">
        <v>460</v>
      </c>
      <c r="K9" s="4" t="s">
        <v>461</v>
      </c>
      <c r="L9" s="4" t="s">
        <v>122</v>
      </c>
      <c r="M9" s="4" t="s">
        <v>462</v>
      </c>
      <c r="N9" s="4" t="s">
        <v>463</v>
      </c>
    </row>
    <row r="10" spans="1:15" customFormat="1" ht="14.25" x14ac:dyDescent="0.2">
      <c r="A10">
        <v>8</v>
      </c>
      <c r="B10" t="s">
        <v>1079</v>
      </c>
      <c r="C10" s="9">
        <v>46057</v>
      </c>
      <c r="D10" t="s">
        <v>492</v>
      </c>
      <c r="E10" t="e" vm="40">
        <v>#VALUE!</v>
      </c>
      <c r="F10" s="4" t="str" cm="1">
        <f t="array" aca="1" ref="F10" ca="1">+_FV(E10,"Símbolo do ticker",TRUE)</f>
        <v>VID</v>
      </c>
      <c r="G10" s="4">
        <v>88.3</v>
      </c>
      <c r="H10" s="7" cm="1">
        <f t="array" aca="1" ref="H10" ca="1">+_FV(E10,"Preço")</f>
        <v>86.8</v>
      </c>
      <c r="I10" s="8">
        <f t="shared" ca="1" si="0"/>
        <v>-1.6987542468856143E-2</v>
      </c>
      <c r="J10" s="4" t="s">
        <v>493</v>
      </c>
      <c r="K10" s="4" t="s">
        <v>494</v>
      </c>
      <c r="L10" s="4" t="s">
        <v>50</v>
      </c>
      <c r="M10" s="4" t="s">
        <v>495</v>
      </c>
      <c r="N10" s="4" t="s">
        <v>496</v>
      </c>
    </row>
    <row r="11" spans="1:15" customFormat="1" ht="14.25" x14ac:dyDescent="0.2">
      <c r="A11">
        <v>7</v>
      </c>
      <c r="B11" t="s">
        <v>313</v>
      </c>
      <c r="C11" s="9">
        <v>46057</v>
      </c>
      <c r="D11" t="s">
        <v>513</v>
      </c>
      <c r="E11" t="e" vm="45">
        <v>#VALUE!</v>
      </c>
      <c r="F11" s="4" t="str" cm="1">
        <f t="array" aca="1" ref="F11" ca="1">+_FV(E11,"Símbolo do ticker",TRUE)</f>
        <v>VIS</v>
      </c>
      <c r="G11" s="4">
        <v>56.3</v>
      </c>
      <c r="H11" s="7" cm="1">
        <f t="array" aca="1" ref="H11" ca="1">+_FV(E11,"Preço")</f>
        <v>55.7</v>
      </c>
      <c r="I11" s="8">
        <f t="shared" ca="1" si="0"/>
        <v>-1.0657193605683735E-2</v>
      </c>
      <c r="J11" s="4" t="s">
        <v>514</v>
      </c>
      <c r="K11" s="4" t="s">
        <v>515</v>
      </c>
      <c r="L11" s="4" t="s">
        <v>55</v>
      </c>
      <c r="M11" s="4" t="s">
        <v>516</v>
      </c>
      <c r="N11" s="4" t="s">
        <v>517</v>
      </c>
    </row>
    <row r="12" spans="1:15" customFormat="1" ht="14.25" x14ac:dyDescent="0.2">
      <c r="A12">
        <v>8</v>
      </c>
      <c r="B12" t="s">
        <v>1065</v>
      </c>
      <c r="C12" s="9">
        <v>46057</v>
      </c>
      <c r="D12" t="s">
        <v>679</v>
      </c>
      <c r="E12" t="e" vm="92">
        <v>#VALUE!</v>
      </c>
      <c r="F12" s="4" t="str" cm="1">
        <f t="array" aca="1" ref="F12" ca="1">+_FV(E12,"Símbolo do ticker",TRUE)</f>
        <v>EDR</v>
      </c>
      <c r="G12" s="4">
        <v>3.355</v>
      </c>
      <c r="H12" s="7" cm="1">
        <f t="array" aca="1" ref="H12" ca="1">+_FV(E12,"Preço")</f>
        <v>3.25</v>
      </c>
      <c r="I12" s="8">
        <f t="shared" ca="1" si="0"/>
        <v>-3.1296572280178792E-2</v>
      </c>
      <c r="J12" s="4" t="s">
        <v>680</v>
      </c>
      <c r="K12" s="4" t="s">
        <v>681</v>
      </c>
      <c r="L12" s="4" t="s">
        <v>158</v>
      </c>
      <c r="M12" s="4" t="s">
        <v>682</v>
      </c>
      <c r="N12" s="4" t="s">
        <v>683</v>
      </c>
    </row>
    <row r="13" spans="1:15" customFormat="1" ht="14.25" x14ac:dyDescent="0.2">
      <c r="A13">
        <v>9</v>
      </c>
      <c r="B13" t="s">
        <v>1066</v>
      </c>
      <c r="C13" s="9">
        <v>46057</v>
      </c>
      <c r="D13" t="s">
        <v>766</v>
      </c>
      <c r="E13" t="e" vm="112">
        <v>#VALUE!</v>
      </c>
      <c r="F13" s="4" t="str" cm="1">
        <f t="array" aca="1" ref="F13" ca="1">+_FV(E13,"Símbolo do ticker",TRUE)</f>
        <v>AZK</v>
      </c>
      <c r="G13" s="4">
        <v>8.66</v>
      </c>
      <c r="H13" s="7" cm="1">
        <f t="array" aca="1" ref="H13" ca="1">+_FV(E13,"Preço")</f>
        <v>8.56</v>
      </c>
      <c r="I13" s="8">
        <f t="shared" ca="1" si="0"/>
        <v>-1.1547344110854452E-2</v>
      </c>
      <c r="J13" s="4" t="s">
        <v>767</v>
      </c>
      <c r="K13" s="4" t="s">
        <v>768</v>
      </c>
      <c r="L13" s="4" t="s">
        <v>93</v>
      </c>
      <c r="M13" s="4" t="s">
        <v>769</v>
      </c>
      <c r="N13" s="4" t="s">
        <v>770</v>
      </c>
    </row>
    <row r="14" spans="1:15" x14ac:dyDescent="0.25">
      <c r="A14" s="1">
        <v>10</v>
      </c>
      <c r="B14" s="1" t="s">
        <v>1083</v>
      </c>
      <c r="C14" s="13">
        <v>46057</v>
      </c>
      <c r="D14" s="1" t="s">
        <v>814</v>
      </c>
      <c r="E14" s="1" t="e" vm="127">
        <v>#VALUE!</v>
      </c>
      <c r="F14" s="3" t="str" cm="1">
        <f t="array" aca="1" ref="F14" ca="1">+_FV(E14,"Símbolo do ticker",TRUE)</f>
        <v>NEA</v>
      </c>
      <c r="G14" s="3">
        <v>9.68</v>
      </c>
      <c r="H14" s="5" cm="1">
        <f t="array" aca="1" ref="H14" ca="1">+_FV(E14,"Preço")</f>
        <v>9.9</v>
      </c>
      <c r="I14" s="6">
        <f t="shared" ca="1" si="0"/>
        <v>2.2727272727272707E-2</v>
      </c>
      <c r="J14" s="3" t="s">
        <v>815</v>
      </c>
      <c r="K14" s="3" t="s">
        <v>816</v>
      </c>
      <c r="L14" s="3" t="s">
        <v>97</v>
      </c>
      <c r="M14" s="3" t="s">
        <v>817</v>
      </c>
      <c r="N14" s="3" t="s">
        <v>688</v>
      </c>
    </row>
    <row r="15" spans="1:15" customFormat="1" ht="14.25" x14ac:dyDescent="0.2">
      <c r="A15">
        <v>7</v>
      </c>
      <c r="B15" t="s">
        <v>1082</v>
      </c>
      <c r="C15" s="9">
        <v>46057</v>
      </c>
      <c r="D15" t="s">
        <v>880</v>
      </c>
      <c r="E15" t="e" vm="150">
        <v>#VALUE!</v>
      </c>
      <c r="F15" s="4" t="str" cm="1">
        <f t="array" aca="1" ref="F15" ca="1">+_FV(E15,"Símbolo do ticker",TRUE)</f>
        <v>SCO</v>
      </c>
      <c r="G15" s="4">
        <v>7.15</v>
      </c>
      <c r="H15" s="7" cm="1">
        <f t="array" aca="1" ref="H15" ca="1">+_FV(E15,"Preço")</f>
        <v>6.8</v>
      </c>
      <c r="I15" s="8">
        <f t="shared" ca="1" si="0"/>
        <v>-4.895104895104907E-2</v>
      </c>
      <c r="J15" s="4" t="s">
        <v>881</v>
      </c>
      <c r="K15" s="4" t="s">
        <v>230</v>
      </c>
      <c r="L15" s="4" t="s">
        <v>25</v>
      </c>
      <c r="M15" s="4"/>
      <c r="N15" s="4"/>
    </row>
    <row r="18" spans="1:2" x14ac:dyDescent="0.25">
      <c r="A18" s="1" t="s">
        <v>1075</v>
      </c>
      <c r="B18" s="1" t="s">
        <v>1075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A84A9-4F8F-444C-BCCE-8A9013E66D32}">
  <dimension ref="A1:A260"/>
  <sheetViews>
    <sheetView workbookViewId="0"/>
  </sheetViews>
  <sheetFormatPr defaultRowHeight="14.25" x14ac:dyDescent="0.2"/>
  <sheetData>
    <row r="1" spans="1:1" x14ac:dyDescent="0.2">
      <c r="A1" t="s">
        <v>1084</v>
      </c>
    </row>
    <row r="2" spans="1:1" x14ac:dyDescent="0.2">
      <c r="A2" t="s">
        <v>1085</v>
      </c>
    </row>
    <row r="3" spans="1:1" x14ac:dyDescent="0.2">
      <c r="A3" t="s">
        <v>1086</v>
      </c>
    </row>
    <row r="4" spans="1:1" x14ac:dyDescent="0.2">
      <c r="A4" t="s">
        <v>1087</v>
      </c>
    </row>
    <row r="5" spans="1:1" x14ac:dyDescent="0.2">
      <c r="A5" t="s">
        <v>1088</v>
      </c>
    </row>
    <row r="6" spans="1:1" x14ac:dyDescent="0.2">
      <c r="A6" t="s">
        <v>1089</v>
      </c>
    </row>
    <row r="7" spans="1:1" x14ac:dyDescent="0.2">
      <c r="A7" t="s">
        <v>1090</v>
      </c>
    </row>
    <row r="8" spans="1:1" x14ac:dyDescent="0.2">
      <c r="A8" t="s">
        <v>1091</v>
      </c>
    </row>
    <row r="9" spans="1:1" x14ac:dyDescent="0.2">
      <c r="A9" t="s">
        <v>1092</v>
      </c>
    </row>
    <row r="10" spans="1:1" x14ac:dyDescent="0.2">
      <c r="A10" t="s">
        <v>1093</v>
      </c>
    </row>
    <row r="11" spans="1:1" x14ac:dyDescent="0.2">
      <c r="A11" t="s">
        <v>1094</v>
      </c>
    </row>
    <row r="12" spans="1:1" x14ac:dyDescent="0.2">
      <c r="A12" t="s">
        <v>1095</v>
      </c>
    </row>
    <row r="13" spans="1:1" x14ac:dyDescent="0.2">
      <c r="A13" t="s">
        <v>1096</v>
      </c>
    </row>
    <row r="14" spans="1:1" x14ac:dyDescent="0.2">
      <c r="A14" t="s">
        <v>1097</v>
      </c>
    </row>
    <row r="15" spans="1:1" x14ac:dyDescent="0.2">
      <c r="A15" t="s">
        <v>1098</v>
      </c>
    </row>
    <row r="16" spans="1:1" x14ac:dyDescent="0.2">
      <c r="A16" t="s">
        <v>1099</v>
      </c>
    </row>
    <row r="17" spans="1:1" x14ac:dyDescent="0.2">
      <c r="A17" t="s">
        <v>1100</v>
      </c>
    </row>
    <row r="18" spans="1:1" x14ac:dyDescent="0.2">
      <c r="A18" t="s">
        <v>1101</v>
      </c>
    </row>
    <row r="19" spans="1:1" x14ac:dyDescent="0.2">
      <c r="A19" t="s">
        <v>1102</v>
      </c>
    </row>
    <row r="20" spans="1:1" x14ac:dyDescent="0.2">
      <c r="A20" t="s">
        <v>1103</v>
      </c>
    </row>
    <row r="21" spans="1:1" x14ac:dyDescent="0.2">
      <c r="A21" t="s">
        <v>1104</v>
      </c>
    </row>
    <row r="22" spans="1:1" x14ac:dyDescent="0.2">
      <c r="A22" t="s">
        <v>1105</v>
      </c>
    </row>
    <row r="23" spans="1:1" x14ac:dyDescent="0.2">
      <c r="A23" t="s">
        <v>1106</v>
      </c>
    </row>
    <row r="24" spans="1:1" x14ac:dyDescent="0.2">
      <c r="A24" t="s">
        <v>1107</v>
      </c>
    </row>
    <row r="25" spans="1:1" x14ac:dyDescent="0.2">
      <c r="A25" t="s">
        <v>1108</v>
      </c>
    </row>
    <row r="26" spans="1:1" x14ac:dyDescent="0.2">
      <c r="A26" t="s">
        <v>1109</v>
      </c>
    </row>
    <row r="27" spans="1:1" x14ac:dyDescent="0.2">
      <c r="A27" t="s">
        <v>1110</v>
      </c>
    </row>
    <row r="28" spans="1:1" x14ac:dyDescent="0.2">
      <c r="A28" t="s">
        <v>1111</v>
      </c>
    </row>
    <row r="29" spans="1:1" x14ac:dyDescent="0.2">
      <c r="A29" t="s">
        <v>1112</v>
      </c>
    </row>
    <row r="30" spans="1:1" x14ac:dyDescent="0.2">
      <c r="A30" t="s">
        <v>1113</v>
      </c>
    </row>
    <row r="31" spans="1:1" x14ac:dyDescent="0.2">
      <c r="A31" t="s">
        <v>1114</v>
      </c>
    </row>
    <row r="32" spans="1:1" x14ac:dyDescent="0.2">
      <c r="A32" t="s">
        <v>1115</v>
      </c>
    </row>
    <row r="33" spans="1:1" x14ac:dyDescent="0.2">
      <c r="A33" t="s">
        <v>1116</v>
      </c>
    </row>
    <row r="34" spans="1:1" x14ac:dyDescent="0.2">
      <c r="A34" t="s">
        <v>1117</v>
      </c>
    </row>
    <row r="35" spans="1:1" x14ac:dyDescent="0.2">
      <c r="A35" t="s">
        <v>1118</v>
      </c>
    </row>
    <row r="36" spans="1:1" x14ac:dyDescent="0.2">
      <c r="A36" t="s">
        <v>1119</v>
      </c>
    </row>
    <row r="37" spans="1:1" x14ac:dyDescent="0.2">
      <c r="A37" t="s">
        <v>1120</v>
      </c>
    </row>
    <row r="38" spans="1:1" x14ac:dyDescent="0.2">
      <c r="A38" t="s">
        <v>1121</v>
      </c>
    </row>
    <row r="39" spans="1:1" x14ac:dyDescent="0.2">
      <c r="A39" t="s">
        <v>1122</v>
      </c>
    </row>
    <row r="40" spans="1:1" x14ac:dyDescent="0.2">
      <c r="A40" t="s">
        <v>1123</v>
      </c>
    </row>
    <row r="41" spans="1:1" x14ac:dyDescent="0.2">
      <c r="A41" t="s">
        <v>1124</v>
      </c>
    </row>
    <row r="42" spans="1:1" x14ac:dyDescent="0.2">
      <c r="A42" t="s">
        <v>1125</v>
      </c>
    </row>
    <row r="43" spans="1:1" x14ac:dyDescent="0.2">
      <c r="A43" t="s">
        <v>1126</v>
      </c>
    </row>
    <row r="44" spans="1:1" x14ac:dyDescent="0.2">
      <c r="A44" t="s">
        <v>1127</v>
      </c>
    </row>
    <row r="45" spans="1:1" x14ac:dyDescent="0.2">
      <c r="A45" t="s">
        <v>1128</v>
      </c>
    </row>
    <row r="46" spans="1:1" x14ac:dyDescent="0.2">
      <c r="A46" t="s">
        <v>1129</v>
      </c>
    </row>
    <row r="47" spans="1:1" x14ac:dyDescent="0.2">
      <c r="A47" t="s">
        <v>1130</v>
      </c>
    </row>
    <row r="48" spans="1:1" x14ac:dyDescent="0.2">
      <c r="A48" t="s">
        <v>1131</v>
      </c>
    </row>
    <row r="49" spans="1:1" x14ac:dyDescent="0.2">
      <c r="A49" t="s">
        <v>1132</v>
      </c>
    </row>
    <row r="50" spans="1:1" x14ac:dyDescent="0.2">
      <c r="A50" t="s">
        <v>1133</v>
      </c>
    </row>
    <row r="51" spans="1:1" x14ac:dyDescent="0.2">
      <c r="A51" t="s">
        <v>1134</v>
      </c>
    </row>
    <row r="52" spans="1:1" x14ac:dyDescent="0.2">
      <c r="A52" t="s">
        <v>1135</v>
      </c>
    </row>
    <row r="53" spans="1:1" x14ac:dyDescent="0.2">
      <c r="A53" t="s">
        <v>1136</v>
      </c>
    </row>
    <row r="54" spans="1:1" x14ac:dyDescent="0.2">
      <c r="A54" t="s">
        <v>1137</v>
      </c>
    </row>
    <row r="55" spans="1:1" x14ac:dyDescent="0.2">
      <c r="A55" t="s">
        <v>1138</v>
      </c>
    </row>
    <row r="56" spans="1:1" x14ac:dyDescent="0.2">
      <c r="A56" t="s">
        <v>1139</v>
      </c>
    </row>
    <row r="57" spans="1:1" x14ac:dyDescent="0.2">
      <c r="A57" t="s">
        <v>1140</v>
      </c>
    </row>
    <row r="58" spans="1:1" x14ac:dyDescent="0.2">
      <c r="A58" t="s">
        <v>1141</v>
      </c>
    </row>
    <row r="59" spans="1:1" x14ac:dyDescent="0.2">
      <c r="A59" t="s">
        <v>1142</v>
      </c>
    </row>
    <row r="60" spans="1:1" x14ac:dyDescent="0.2">
      <c r="A60" t="s">
        <v>1143</v>
      </c>
    </row>
    <row r="61" spans="1:1" x14ac:dyDescent="0.2">
      <c r="A61" t="s">
        <v>1144</v>
      </c>
    </row>
    <row r="62" spans="1:1" x14ac:dyDescent="0.2">
      <c r="A62" t="s">
        <v>1145</v>
      </c>
    </row>
    <row r="63" spans="1:1" x14ac:dyDescent="0.2">
      <c r="A63" t="s">
        <v>1146</v>
      </c>
    </row>
    <row r="64" spans="1:1" x14ac:dyDescent="0.2">
      <c r="A64" t="s">
        <v>1147</v>
      </c>
    </row>
    <row r="65" spans="1:1" x14ac:dyDescent="0.2">
      <c r="A65" t="s">
        <v>1148</v>
      </c>
    </row>
    <row r="66" spans="1:1" x14ac:dyDescent="0.2">
      <c r="A66" t="s">
        <v>1149</v>
      </c>
    </row>
    <row r="67" spans="1:1" x14ac:dyDescent="0.2">
      <c r="A67" t="s">
        <v>1150</v>
      </c>
    </row>
    <row r="68" spans="1:1" x14ac:dyDescent="0.2">
      <c r="A68" t="s">
        <v>1151</v>
      </c>
    </row>
    <row r="69" spans="1:1" x14ac:dyDescent="0.2">
      <c r="A69" t="s">
        <v>1152</v>
      </c>
    </row>
    <row r="70" spans="1:1" x14ac:dyDescent="0.2">
      <c r="A70" t="s">
        <v>1153</v>
      </c>
    </row>
    <row r="71" spans="1:1" x14ac:dyDescent="0.2">
      <c r="A71" t="s">
        <v>1154</v>
      </c>
    </row>
    <row r="72" spans="1:1" x14ac:dyDescent="0.2">
      <c r="A72" t="s">
        <v>1155</v>
      </c>
    </row>
    <row r="73" spans="1:1" x14ac:dyDescent="0.2">
      <c r="A73" t="s">
        <v>1156</v>
      </c>
    </row>
    <row r="74" spans="1:1" x14ac:dyDescent="0.2">
      <c r="A74" t="s">
        <v>1157</v>
      </c>
    </row>
    <row r="75" spans="1:1" x14ac:dyDescent="0.2">
      <c r="A75" t="s">
        <v>1158</v>
      </c>
    </row>
    <row r="76" spans="1:1" x14ac:dyDescent="0.2">
      <c r="A76" t="s">
        <v>1159</v>
      </c>
    </row>
    <row r="77" spans="1:1" x14ac:dyDescent="0.2">
      <c r="A77" t="s">
        <v>1160</v>
      </c>
    </row>
    <row r="78" spans="1:1" x14ac:dyDescent="0.2">
      <c r="A78" t="s">
        <v>1161</v>
      </c>
    </row>
    <row r="79" spans="1:1" x14ac:dyDescent="0.2">
      <c r="A79" t="s">
        <v>1162</v>
      </c>
    </row>
    <row r="80" spans="1:1" x14ac:dyDescent="0.2">
      <c r="A80" t="s">
        <v>1163</v>
      </c>
    </row>
    <row r="81" spans="1:1" x14ac:dyDescent="0.2">
      <c r="A81" t="s">
        <v>1164</v>
      </c>
    </row>
    <row r="82" spans="1:1" x14ac:dyDescent="0.2">
      <c r="A82" t="s">
        <v>1165</v>
      </c>
    </row>
    <row r="83" spans="1:1" x14ac:dyDescent="0.2">
      <c r="A83" t="s">
        <v>1166</v>
      </c>
    </row>
    <row r="84" spans="1:1" x14ac:dyDescent="0.2">
      <c r="A84" t="s">
        <v>1167</v>
      </c>
    </row>
    <row r="85" spans="1:1" x14ac:dyDescent="0.2">
      <c r="A85" t="s">
        <v>1168</v>
      </c>
    </row>
    <row r="86" spans="1:1" x14ac:dyDescent="0.2">
      <c r="A86" t="s">
        <v>1169</v>
      </c>
    </row>
    <row r="87" spans="1:1" x14ac:dyDescent="0.2">
      <c r="A87" t="s">
        <v>1170</v>
      </c>
    </row>
    <row r="88" spans="1:1" x14ac:dyDescent="0.2">
      <c r="A88" t="s">
        <v>1171</v>
      </c>
    </row>
    <row r="89" spans="1:1" x14ac:dyDescent="0.2">
      <c r="A89" t="s">
        <v>1172</v>
      </c>
    </row>
    <row r="90" spans="1:1" x14ac:dyDescent="0.2">
      <c r="A90" t="s">
        <v>1173</v>
      </c>
    </row>
    <row r="91" spans="1:1" x14ac:dyDescent="0.2">
      <c r="A91" t="s">
        <v>1174</v>
      </c>
    </row>
    <row r="92" spans="1:1" x14ac:dyDescent="0.2">
      <c r="A92" t="s">
        <v>1175</v>
      </c>
    </row>
    <row r="93" spans="1:1" x14ac:dyDescent="0.2">
      <c r="A93" t="s">
        <v>1176</v>
      </c>
    </row>
    <row r="94" spans="1:1" x14ac:dyDescent="0.2">
      <c r="A94" t="s">
        <v>1177</v>
      </c>
    </row>
    <row r="95" spans="1:1" x14ac:dyDescent="0.2">
      <c r="A95" t="s">
        <v>1178</v>
      </c>
    </row>
    <row r="96" spans="1:1" x14ac:dyDescent="0.2">
      <c r="A96" t="s">
        <v>1179</v>
      </c>
    </row>
    <row r="97" spans="1:1" x14ac:dyDescent="0.2">
      <c r="A97" t="s">
        <v>1180</v>
      </c>
    </row>
    <row r="98" spans="1:1" x14ac:dyDescent="0.2">
      <c r="A98" t="s">
        <v>1181</v>
      </c>
    </row>
    <row r="99" spans="1:1" x14ac:dyDescent="0.2">
      <c r="A99" t="s">
        <v>1182</v>
      </c>
    </row>
    <row r="100" spans="1:1" x14ac:dyDescent="0.2">
      <c r="A100" t="s">
        <v>1183</v>
      </c>
    </row>
    <row r="101" spans="1:1" x14ac:dyDescent="0.2">
      <c r="A101" t="s">
        <v>1184</v>
      </c>
    </row>
    <row r="102" spans="1:1" x14ac:dyDescent="0.2">
      <c r="A102" t="s">
        <v>1185</v>
      </c>
    </row>
    <row r="103" spans="1:1" x14ac:dyDescent="0.2">
      <c r="A103" t="s">
        <v>1186</v>
      </c>
    </row>
    <row r="104" spans="1:1" x14ac:dyDescent="0.2">
      <c r="A104" t="s">
        <v>1187</v>
      </c>
    </row>
    <row r="105" spans="1:1" x14ac:dyDescent="0.2">
      <c r="A105" t="s">
        <v>1188</v>
      </c>
    </row>
    <row r="106" spans="1:1" x14ac:dyDescent="0.2">
      <c r="A106" t="s">
        <v>1189</v>
      </c>
    </row>
    <row r="107" spans="1:1" x14ac:dyDescent="0.2">
      <c r="A107" t="s">
        <v>1190</v>
      </c>
    </row>
    <row r="108" spans="1:1" x14ac:dyDescent="0.2">
      <c r="A108" t="s">
        <v>1191</v>
      </c>
    </row>
    <row r="109" spans="1:1" x14ac:dyDescent="0.2">
      <c r="A109" t="s">
        <v>1192</v>
      </c>
    </row>
    <row r="110" spans="1:1" x14ac:dyDescent="0.2">
      <c r="A110" t="s">
        <v>1193</v>
      </c>
    </row>
    <row r="111" spans="1:1" x14ac:dyDescent="0.2">
      <c r="A111" t="s">
        <v>1194</v>
      </c>
    </row>
    <row r="112" spans="1:1" x14ac:dyDescent="0.2">
      <c r="A112" t="s">
        <v>1195</v>
      </c>
    </row>
    <row r="113" spans="1:1" x14ac:dyDescent="0.2">
      <c r="A113" t="s">
        <v>1196</v>
      </c>
    </row>
    <row r="114" spans="1:1" x14ac:dyDescent="0.2">
      <c r="A114" t="s">
        <v>1197</v>
      </c>
    </row>
    <row r="115" spans="1:1" x14ac:dyDescent="0.2">
      <c r="A115" t="s">
        <v>1198</v>
      </c>
    </row>
    <row r="116" spans="1:1" x14ac:dyDescent="0.2">
      <c r="A116" t="s">
        <v>1199</v>
      </c>
    </row>
    <row r="117" spans="1:1" x14ac:dyDescent="0.2">
      <c r="A117" t="s">
        <v>1200</v>
      </c>
    </row>
    <row r="118" spans="1:1" x14ac:dyDescent="0.2">
      <c r="A118" t="s">
        <v>1201</v>
      </c>
    </row>
    <row r="119" spans="1:1" x14ac:dyDescent="0.2">
      <c r="A119" t="s">
        <v>1202</v>
      </c>
    </row>
    <row r="120" spans="1:1" x14ac:dyDescent="0.2">
      <c r="A120" t="s">
        <v>1203</v>
      </c>
    </row>
    <row r="121" spans="1:1" x14ac:dyDescent="0.2">
      <c r="A121" t="s">
        <v>1204</v>
      </c>
    </row>
    <row r="122" spans="1:1" x14ac:dyDescent="0.2">
      <c r="A122" t="s">
        <v>1205</v>
      </c>
    </row>
    <row r="123" spans="1:1" x14ac:dyDescent="0.2">
      <c r="A123" t="s">
        <v>1206</v>
      </c>
    </row>
    <row r="124" spans="1:1" x14ac:dyDescent="0.2">
      <c r="A124" t="s">
        <v>1207</v>
      </c>
    </row>
    <row r="125" spans="1:1" x14ac:dyDescent="0.2">
      <c r="A125" t="s">
        <v>1208</v>
      </c>
    </row>
    <row r="126" spans="1:1" x14ac:dyDescent="0.2">
      <c r="A126" t="s">
        <v>1209</v>
      </c>
    </row>
    <row r="127" spans="1:1" x14ac:dyDescent="0.2">
      <c r="A127" t="s">
        <v>1210</v>
      </c>
    </row>
    <row r="128" spans="1:1" x14ac:dyDescent="0.2">
      <c r="A128" t="s">
        <v>1211</v>
      </c>
    </row>
    <row r="129" spans="1:1" x14ac:dyDescent="0.2">
      <c r="A129" t="s">
        <v>1212</v>
      </c>
    </row>
    <row r="130" spans="1:1" x14ac:dyDescent="0.2">
      <c r="A130" t="s">
        <v>1213</v>
      </c>
    </row>
    <row r="131" spans="1:1" x14ac:dyDescent="0.2">
      <c r="A131" t="s">
        <v>1214</v>
      </c>
    </row>
    <row r="132" spans="1:1" x14ac:dyDescent="0.2">
      <c r="A132" t="s">
        <v>1215</v>
      </c>
    </row>
    <row r="133" spans="1:1" x14ac:dyDescent="0.2">
      <c r="A133" t="s">
        <v>1216</v>
      </c>
    </row>
    <row r="134" spans="1:1" x14ac:dyDescent="0.2">
      <c r="A134" t="s">
        <v>1217</v>
      </c>
    </row>
    <row r="135" spans="1:1" x14ac:dyDescent="0.2">
      <c r="A135" t="s">
        <v>1218</v>
      </c>
    </row>
    <row r="136" spans="1:1" x14ac:dyDescent="0.2">
      <c r="A136" t="s">
        <v>1219</v>
      </c>
    </row>
    <row r="137" spans="1:1" x14ac:dyDescent="0.2">
      <c r="A137" t="s">
        <v>1220</v>
      </c>
    </row>
    <row r="138" spans="1:1" x14ac:dyDescent="0.2">
      <c r="A138" t="s">
        <v>1221</v>
      </c>
    </row>
    <row r="139" spans="1:1" x14ac:dyDescent="0.2">
      <c r="A139" t="s">
        <v>1222</v>
      </c>
    </row>
    <row r="140" spans="1:1" x14ac:dyDescent="0.2">
      <c r="A140" t="s">
        <v>1223</v>
      </c>
    </row>
    <row r="141" spans="1:1" x14ac:dyDescent="0.2">
      <c r="A141" t="s">
        <v>1224</v>
      </c>
    </row>
    <row r="142" spans="1:1" x14ac:dyDescent="0.2">
      <c r="A142" t="s">
        <v>1225</v>
      </c>
    </row>
    <row r="143" spans="1:1" x14ac:dyDescent="0.2">
      <c r="A143" t="s">
        <v>1226</v>
      </c>
    </row>
    <row r="144" spans="1:1" x14ac:dyDescent="0.2">
      <c r="A144" t="s">
        <v>1227</v>
      </c>
    </row>
    <row r="145" spans="1:1" x14ac:dyDescent="0.2">
      <c r="A145" t="s">
        <v>1228</v>
      </c>
    </row>
    <row r="146" spans="1:1" x14ac:dyDescent="0.2">
      <c r="A146" t="s">
        <v>1229</v>
      </c>
    </row>
    <row r="147" spans="1:1" x14ac:dyDescent="0.2">
      <c r="A147" t="s">
        <v>1230</v>
      </c>
    </row>
    <row r="148" spans="1:1" x14ac:dyDescent="0.2">
      <c r="A148" t="s">
        <v>1231</v>
      </c>
    </row>
    <row r="149" spans="1:1" x14ac:dyDescent="0.2">
      <c r="A149" t="s">
        <v>1232</v>
      </c>
    </row>
    <row r="150" spans="1:1" x14ac:dyDescent="0.2">
      <c r="A150" t="s">
        <v>1233</v>
      </c>
    </row>
    <row r="151" spans="1:1" x14ac:dyDescent="0.2">
      <c r="A151" t="s">
        <v>1234</v>
      </c>
    </row>
    <row r="152" spans="1:1" x14ac:dyDescent="0.2">
      <c r="A152" t="s">
        <v>1235</v>
      </c>
    </row>
    <row r="153" spans="1:1" x14ac:dyDescent="0.2">
      <c r="A153" t="s">
        <v>1236</v>
      </c>
    </row>
    <row r="154" spans="1:1" x14ac:dyDescent="0.2">
      <c r="A154" t="s">
        <v>1237</v>
      </c>
    </row>
    <row r="155" spans="1:1" x14ac:dyDescent="0.2">
      <c r="A155" t="s">
        <v>1238</v>
      </c>
    </row>
    <row r="156" spans="1:1" x14ac:dyDescent="0.2">
      <c r="A156" t="s">
        <v>1239</v>
      </c>
    </row>
    <row r="157" spans="1:1" x14ac:dyDescent="0.2">
      <c r="A157" t="s">
        <v>1240</v>
      </c>
    </row>
    <row r="158" spans="1:1" x14ac:dyDescent="0.2">
      <c r="A158" t="s">
        <v>1241</v>
      </c>
    </row>
    <row r="159" spans="1:1" x14ac:dyDescent="0.2">
      <c r="A159" t="s">
        <v>1242</v>
      </c>
    </row>
    <row r="160" spans="1:1" x14ac:dyDescent="0.2">
      <c r="A160" t="s">
        <v>1243</v>
      </c>
    </row>
    <row r="161" spans="1:1" x14ac:dyDescent="0.2">
      <c r="A161" t="s">
        <v>1244</v>
      </c>
    </row>
    <row r="162" spans="1:1" x14ac:dyDescent="0.2">
      <c r="A162" t="s">
        <v>1245</v>
      </c>
    </row>
    <row r="163" spans="1:1" x14ac:dyDescent="0.2">
      <c r="A163" t="s">
        <v>1246</v>
      </c>
    </row>
    <row r="164" spans="1:1" x14ac:dyDescent="0.2">
      <c r="A164" t="s">
        <v>1247</v>
      </c>
    </row>
    <row r="165" spans="1:1" x14ac:dyDescent="0.2">
      <c r="A165" t="s">
        <v>1248</v>
      </c>
    </row>
    <row r="166" spans="1:1" x14ac:dyDescent="0.2">
      <c r="A166" t="s">
        <v>1249</v>
      </c>
    </row>
    <row r="167" spans="1:1" x14ac:dyDescent="0.2">
      <c r="A167" t="s">
        <v>1250</v>
      </c>
    </row>
    <row r="168" spans="1:1" x14ac:dyDescent="0.2">
      <c r="A168" t="s">
        <v>1251</v>
      </c>
    </row>
    <row r="169" spans="1:1" x14ac:dyDescent="0.2">
      <c r="A169" t="s">
        <v>1252</v>
      </c>
    </row>
    <row r="170" spans="1:1" x14ac:dyDescent="0.2">
      <c r="A170" t="s">
        <v>1253</v>
      </c>
    </row>
    <row r="171" spans="1:1" x14ac:dyDescent="0.2">
      <c r="A171" t="s">
        <v>1254</v>
      </c>
    </row>
    <row r="172" spans="1:1" x14ac:dyDescent="0.2">
      <c r="A172" t="s">
        <v>1255</v>
      </c>
    </row>
    <row r="173" spans="1:1" x14ac:dyDescent="0.2">
      <c r="A173" t="s">
        <v>1256</v>
      </c>
    </row>
    <row r="174" spans="1:1" x14ac:dyDescent="0.2">
      <c r="A174" t="s">
        <v>1257</v>
      </c>
    </row>
    <row r="175" spans="1:1" x14ac:dyDescent="0.2">
      <c r="A175" t="s">
        <v>1258</v>
      </c>
    </row>
    <row r="176" spans="1:1" x14ac:dyDescent="0.2">
      <c r="A176" t="s">
        <v>1259</v>
      </c>
    </row>
    <row r="177" spans="1:1" x14ac:dyDescent="0.2">
      <c r="A177" t="s">
        <v>1260</v>
      </c>
    </row>
    <row r="178" spans="1:1" x14ac:dyDescent="0.2">
      <c r="A178" t="s">
        <v>1261</v>
      </c>
    </row>
    <row r="179" spans="1:1" x14ac:dyDescent="0.2">
      <c r="A179" t="s">
        <v>1262</v>
      </c>
    </row>
    <row r="180" spans="1:1" x14ac:dyDescent="0.2">
      <c r="A180" t="s">
        <v>1263</v>
      </c>
    </row>
    <row r="181" spans="1:1" x14ac:dyDescent="0.2">
      <c r="A181" t="s">
        <v>1264</v>
      </c>
    </row>
    <row r="182" spans="1:1" x14ac:dyDescent="0.2">
      <c r="A182" t="s">
        <v>1265</v>
      </c>
    </row>
    <row r="183" spans="1:1" x14ac:dyDescent="0.2">
      <c r="A183" t="s">
        <v>1266</v>
      </c>
    </row>
    <row r="184" spans="1:1" x14ac:dyDescent="0.2">
      <c r="A184" t="s">
        <v>1267</v>
      </c>
    </row>
    <row r="185" spans="1:1" x14ac:dyDescent="0.2">
      <c r="A185" t="s">
        <v>1268</v>
      </c>
    </row>
    <row r="186" spans="1:1" x14ac:dyDescent="0.2">
      <c r="A186" t="s">
        <v>1269</v>
      </c>
    </row>
    <row r="187" spans="1:1" x14ac:dyDescent="0.2">
      <c r="A187" t="s">
        <v>1270</v>
      </c>
    </row>
    <row r="188" spans="1:1" x14ac:dyDescent="0.2">
      <c r="A188" t="s">
        <v>1271</v>
      </c>
    </row>
    <row r="189" spans="1:1" x14ac:dyDescent="0.2">
      <c r="A189" t="s">
        <v>1272</v>
      </c>
    </row>
    <row r="190" spans="1:1" x14ac:dyDescent="0.2">
      <c r="A190" t="s">
        <v>1273</v>
      </c>
    </row>
    <row r="191" spans="1:1" x14ac:dyDescent="0.2">
      <c r="A191" t="s">
        <v>1274</v>
      </c>
    </row>
    <row r="192" spans="1:1" x14ac:dyDescent="0.2">
      <c r="A192" t="s">
        <v>1275</v>
      </c>
    </row>
    <row r="193" spans="1:1" x14ac:dyDescent="0.2">
      <c r="A193" t="s">
        <v>1276</v>
      </c>
    </row>
    <row r="194" spans="1:1" x14ac:dyDescent="0.2">
      <c r="A194" t="s">
        <v>1277</v>
      </c>
    </row>
    <row r="195" spans="1:1" x14ac:dyDescent="0.2">
      <c r="A195" t="s">
        <v>1278</v>
      </c>
    </row>
    <row r="196" spans="1:1" x14ac:dyDescent="0.2">
      <c r="A196" t="s">
        <v>1279</v>
      </c>
    </row>
    <row r="197" spans="1:1" x14ac:dyDescent="0.2">
      <c r="A197" t="s">
        <v>1280</v>
      </c>
    </row>
    <row r="198" spans="1:1" x14ac:dyDescent="0.2">
      <c r="A198" t="s">
        <v>1281</v>
      </c>
    </row>
    <row r="199" spans="1:1" x14ac:dyDescent="0.2">
      <c r="A199" t="s">
        <v>1282</v>
      </c>
    </row>
    <row r="200" spans="1:1" x14ac:dyDescent="0.2">
      <c r="A200" t="s">
        <v>1283</v>
      </c>
    </row>
    <row r="201" spans="1:1" x14ac:dyDescent="0.2">
      <c r="A201" t="s">
        <v>1284</v>
      </c>
    </row>
    <row r="202" spans="1:1" x14ac:dyDescent="0.2">
      <c r="A202" t="s">
        <v>1285</v>
      </c>
    </row>
    <row r="203" spans="1:1" x14ac:dyDescent="0.2">
      <c r="A203" t="s">
        <v>1286</v>
      </c>
    </row>
    <row r="204" spans="1:1" x14ac:dyDescent="0.2">
      <c r="A204" t="s">
        <v>1287</v>
      </c>
    </row>
    <row r="205" spans="1:1" x14ac:dyDescent="0.2">
      <c r="A205" t="s">
        <v>1288</v>
      </c>
    </row>
    <row r="206" spans="1:1" x14ac:dyDescent="0.2">
      <c r="A206" t="s">
        <v>1289</v>
      </c>
    </row>
    <row r="207" spans="1:1" x14ac:dyDescent="0.2">
      <c r="A207" t="s">
        <v>1290</v>
      </c>
    </row>
    <row r="208" spans="1:1" x14ac:dyDescent="0.2">
      <c r="A208" t="s">
        <v>1291</v>
      </c>
    </row>
    <row r="209" spans="1:1" x14ac:dyDescent="0.2">
      <c r="A209" t="s">
        <v>1292</v>
      </c>
    </row>
    <row r="210" spans="1:1" x14ac:dyDescent="0.2">
      <c r="A210" t="s">
        <v>1293</v>
      </c>
    </row>
    <row r="211" spans="1:1" x14ac:dyDescent="0.2">
      <c r="A211" t="s">
        <v>1294</v>
      </c>
    </row>
    <row r="212" spans="1:1" x14ac:dyDescent="0.2">
      <c r="A212" t="s">
        <v>1295</v>
      </c>
    </row>
    <row r="213" spans="1:1" x14ac:dyDescent="0.2">
      <c r="A213" t="s">
        <v>1296</v>
      </c>
    </row>
    <row r="214" spans="1:1" x14ac:dyDescent="0.2">
      <c r="A214" t="s">
        <v>1297</v>
      </c>
    </row>
    <row r="215" spans="1:1" x14ac:dyDescent="0.2">
      <c r="A215" t="s">
        <v>1298</v>
      </c>
    </row>
    <row r="216" spans="1:1" x14ac:dyDescent="0.2">
      <c r="A216" t="s">
        <v>1299</v>
      </c>
    </row>
    <row r="217" spans="1:1" x14ac:dyDescent="0.2">
      <c r="A217" t="s">
        <v>1300</v>
      </c>
    </row>
    <row r="218" spans="1:1" x14ac:dyDescent="0.2">
      <c r="A218" t="s">
        <v>1301</v>
      </c>
    </row>
    <row r="219" spans="1:1" x14ac:dyDescent="0.2">
      <c r="A219" t="s">
        <v>1302</v>
      </c>
    </row>
    <row r="220" spans="1:1" x14ac:dyDescent="0.2">
      <c r="A220" t="s">
        <v>1303</v>
      </c>
    </row>
    <row r="221" spans="1:1" x14ac:dyDescent="0.2">
      <c r="A221" t="s">
        <v>1304</v>
      </c>
    </row>
    <row r="222" spans="1:1" x14ac:dyDescent="0.2">
      <c r="A222" t="s">
        <v>1305</v>
      </c>
    </row>
    <row r="223" spans="1:1" x14ac:dyDescent="0.2">
      <c r="A223" t="s">
        <v>1306</v>
      </c>
    </row>
    <row r="224" spans="1:1" x14ac:dyDescent="0.2">
      <c r="A224" t="s">
        <v>1307</v>
      </c>
    </row>
    <row r="225" spans="1:1" x14ac:dyDescent="0.2">
      <c r="A225" t="s">
        <v>1308</v>
      </c>
    </row>
    <row r="226" spans="1:1" x14ac:dyDescent="0.2">
      <c r="A226" t="s">
        <v>1309</v>
      </c>
    </row>
    <row r="227" spans="1:1" x14ac:dyDescent="0.2">
      <c r="A227" t="s">
        <v>1310</v>
      </c>
    </row>
    <row r="228" spans="1:1" x14ac:dyDescent="0.2">
      <c r="A228" t="s">
        <v>1311</v>
      </c>
    </row>
    <row r="229" spans="1:1" x14ac:dyDescent="0.2">
      <c r="A229" t="s">
        <v>1312</v>
      </c>
    </row>
    <row r="230" spans="1:1" x14ac:dyDescent="0.2">
      <c r="A230" t="s">
        <v>1313</v>
      </c>
    </row>
    <row r="231" spans="1:1" x14ac:dyDescent="0.2">
      <c r="A231" t="s">
        <v>1314</v>
      </c>
    </row>
    <row r="232" spans="1:1" x14ac:dyDescent="0.2">
      <c r="A232" t="s">
        <v>1315</v>
      </c>
    </row>
    <row r="233" spans="1:1" x14ac:dyDescent="0.2">
      <c r="A233" t="s">
        <v>1316</v>
      </c>
    </row>
    <row r="234" spans="1:1" x14ac:dyDescent="0.2">
      <c r="A234" t="s">
        <v>1317</v>
      </c>
    </row>
    <row r="235" spans="1:1" x14ac:dyDescent="0.2">
      <c r="A235" t="s">
        <v>1318</v>
      </c>
    </row>
    <row r="236" spans="1:1" x14ac:dyDescent="0.2">
      <c r="A236" t="s">
        <v>1319</v>
      </c>
    </row>
    <row r="237" spans="1:1" x14ac:dyDescent="0.2">
      <c r="A237" t="s">
        <v>1320</v>
      </c>
    </row>
    <row r="238" spans="1:1" x14ac:dyDescent="0.2">
      <c r="A238" t="s">
        <v>1321</v>
      </c>
    </row>
    <row r="239" spans="1:1" x14ac:dyDescent="0.2">
      <c r="A239" t="s">
        <v>1322</v>
      </c>
    </row>
    <row r="240" spans="1:1" x14ac:dyDescent="0.2">
      <c r="A240" t="s">
        <v>1323</v>
      </c>
    </row>
    <row r="241" spans="1:1" x14ac:dyDescent="0.2">
      <c r="A241" t="s">
        <v>1324</v>
      </c>
    </row>
    <row r="242" spans="1:1" x14ac:dyDescent="0.2">
      <c r="A242" t="s">
        <v>1325</v>
      </c>
    </row>
    <row r="243" spans="1:1" x14ac:dyDescent="0.2">
      <c r="A243" t="s">
        <v>1326</v>
      </c>
    </row>
    <row r="244" spans="1:1" x14ac:dyDescent="0.2">
      <c r="A244" t="s">
        <v>1327</v>
      </c>
    </row>
    <row r="245" spans="1:1" x14ac:dyDescent="0.2">
      <c r="A245" t="s">
        <v>1328</v>
      </c>
    </row>
    <row r="246" spans="1:1" x14ac:dyDescent="0.2">
      <c r="A246" t="s">
        <v>1329</v>
      </c>
    </row>
    <row r="247" spans="1:1" x14ac:dyDescent="0.2">
      <c r="A247" t="s">
        <v>1330</v>
      </c>
    </row>
    <row r="248" spans="1:1" x14ac:dyDescent="0.2">
      <c r="A248" t="s">
        <v>1331</v>
      </c>
    </row>
    <row r="249" spans="1:1" x14ac:dyDescent="0.2">
      <c r="A249" t="s">
        <v>1332</v>
      </c>
    </row>
    <row r="250" spans="1:1" x14ac:dyDescent="0.2">
      <c r="A250" t="s">
        <v>1333</v>
      </c>
    </row>
    <row r="251" spans="1:1" x14ac:dyDescent="0.2">
      <c r="A251" t="s">
        <v>1334</v>
      </c>
    </row>
    <row r="252" spans="1:1" x14ac:dyDescent="0.2">
      <c r="A252" t="s">
        <v>1335</v>
      </c>
    </row>
    <row r="253" spans="1:1" x14ac:dyDescent="0.2">
      <c r="A253" t="s">
        <v>1336</v>
      </c>
    </row>
    <row r="254" spans="1:1" x14ac:dyDescent="0.2">
      <c r="A254" t="s">
        <v>1337</v>
      </c>
    </row>
    <row r="255" spans="1:1" x14ac:dyDescent="0.2">
      <c r="A255" t="s">
        <v>1338</v>
      </c>
    </row>
    <row r="256" spans="1:1" x14ac:dyDescent="0.2">
      <c r="A256" t="s">
        <v>1339</v>
      </c>
    </row>
    <row r="257" spans="1:1" x14ac:dyDescent="0.2">
      <c r="A257" t="s">
        <v>1340</v>
      </c>
    </row>
    <row r="258" spans="1:1" x14ac:dyDescent="0.2">
      <c r="A258" t="s">
        <v>1341</v>
      </c>
    </row>
    <row r="259" spans="1:1" x14ac:dyDescent="0.2">
      <c r="A259" t="s">
        <v>1342</v>
      </c>
    </row>
    <row r="260" spans="1:1" x14ac:dyDescent="0.2">
      <c r="A260" t="s">
        <v>1343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3</vt:i4>
      </vt:variant>
    </vt:vector>
  </HeadingPairs>
  <TitlesOfParts>
    <vt:vector size="3" baseType="lpstr">
      <vt:lpstr>main</vt:lpstr>
      <vt:lpstr>screen</vt: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2026-02-06T17:15:03Z</dcterms:modified>
</cp:coreProperties>
</file>