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360" documentId="8_{EEE271CE-0DDE-446A-B0F2-724DFD600B7F}" xr6:coauthVersionLast="47" xr6:coauthVersionMax="47" xr10:uidLastSave="{BC4CC813-FA2E-46F2-AB11-D5AB0203D277}"/>
  <bookViews>
    <workbookView xWindow="-120" yWindow="-120" windowWidth="29040" windowHeight="15720" xr2:uid="{38C9F446-E5BD-4F6C-9507-166900CC716D}"/>
  </bookViews>
  <sheets>
    <sheet name="main" sheetId="1" r:id="rId1"/>
    <sheet name="scree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5" i="1" l="1" a="1"/>
  <c r="H45" i="1" s="1"/>
  <c r="H44" i="1" a="1"/>
  <c r="H44" i="1" s="1"/>
  <c r="H43" i="1" a="1"/>
  <c r="H43" i="1" s="1"/>
  <c r="H42" i="1" a="1"/>
  <c r="H42" i="1" s="1"/>
  <c r="H41" i="1" a="1"/>
  <c r="H41" i="1" s="1"/>
  <c r="H40" i="1" a="1"/>
  <c r="H40" i="1" s="1"/>
  <c r="H39" i="1" a="1"/>
  <c r="H39" i="1" s="1"/>
  <c r="H38" i="1" a="1"/>
  <c r="H38" i="1" s="1"/>
  <c r="H37" i="1" a="1"/>
  <c r="H37" i="1" s="1"/>
  <c r="H36" i="1" a="1"/>
  <c r="H36" i="1" s="1"/>
  <c r="H35" i="1" a="1"/>
  <c r="H35" i="1" s="1"/>
  <c r="H34" i="1" a="1"/>
  <c r="H34" i="1" s="1"/>
  <c r="H33" i="1" a="1"/>
  <c r="H33" i="1" s="1"/>
  <c r="H32" i="1" a="1"/>
  <c r="H32" i="1" s="1"/>
  <c r="H31" i="1" a="1"/>
  <c r="H31" i="1" s="1"/>
  <c r="H30" i="1" a="1"/>
  <c r="H30" i="1" s="1"/>
  <c r="H29" i="1" a="1"/>
  <c r="H29" i="1" s="1"/>
  <c r="H28" i="1" a="1"/>
  <c r="H28" i="1" s="1"/>
  <c r="H27" i="1" a="1"/>
  <c r="H27" i="1" s="1"/>
  <c r="H26" i="1" a="1"/>
  <c r="H26" i="1" s="1"/>
  <c r="H25" i="1" a="1"/>
  <c r="H25" i="1" s="1"/>
  <c r="H24" i="1" a="1"/>
  <c r="H24" i="1" s="1"/>
  <c r="H23" i="1" a="1"/>
  <c r="H23" i="1" s="1"/>
  <c r="H22" i="1" a="1"/>
  <c r="H22" i="1" s="1"/>
  <c r="H21" i="1" a="1"/>
  <c r="H21" i="1" s="1"/>
  <c r="H20" i="1" a="1"/>
  <c r="H20" i="1" s="1"/>
  <c r="H19" i="1" a="1"/>
  <c r="H19" i="1" s="1"/>
  <c r="H18" i="1" a="1"/>
  <c r="H18" i="1" s="1"/>
  <c r="H17" i="1" a="1"/>
  <c r="H17" i="1" s="1"/>
  <c r="H16" i="1" a="1"/>
  <c r="H16" i="1" s="1"/>
  <c r="H15" i="1" a="1"/>
  <c r="H15" i="1" s="1"/>
  <c r="H14" i="1" a="1"/>
  <c r="H14" i="1" s="1"/>
  <c r="H13" i="1" a="1"/>
  <c r="H13" i="1" s="1"/>
  <c r="H12" i="1" a="1"/>
  <c r="H12" i="1" s="1"/>
  <c r="H11" i="1" a="1"/>
  <c r="H11" i="1" s="1"/>
  <c r="H10" i="1" a="1"/>
  <c r="H10" i="1" s="1"/>
  <c r="H9" i="1" a="1"/>
  <c r="H9" i="1" s="1"/>
  <c r="H8" i="1" a="1"/>
  <c r="H8" i="1" s="1"/>
  <c r="H7" i="1" a="1"/>
  <c r="H7" i="1" s="1"/>
  <c r="H6" i="1" a="1"/>
  <c r="H6" i="1" s="1"/>
  <c r="H5" i="1" a="1"/>
  <c r="H5" i="1" s="1"/>
  <c r="H4" i="1" a="1"/>
  <c r="H4" i="1" s="1"/>
  <c r="H3" i="1" a="1"/>
  <c r="H3" i="1" s="1"/>
  <c r="K8" i="2" a="1"/>
  <c r="K8" i="2" s="1"/>
  <c r="L8" i="2" s="1"/>
  <c r="K7" i="2" a="1"/>
  <c r="K7" i="2" s="1"/>
  <c r="L7" i="2" s="1"/>
  <c r="K6" i="2" a="1"/>
  <c r="K6" i="2" s="1"/>
  <c r="L6" i="2" s="1"/>
  <c r="K5" i="2" a="1"/>
  <c r="K5" i="2" s="1"/>
  <c r="L5" i="2" s="1"/>
  <c r="K4" i="2" a="1"/>
  <c r="K4" i="2" s="1"/>
  <c r="L4" i="2" s="1"/>
  <c r="L3" i="2"/>
  <c r="L45" i="1" a="1"/>
  <c r="L45" i="1" s="1"/>
  <c r="M45" i="1" s="1"/>
  <c r="L44" i="1" a="1"/>
  <c r="L44" i="1" s="1"/>
  <c r="M44" i="1" s="1"/>
  <c r="L43" i="1" a="1"/>
  <c r="L43" i="1" s="1"/>
  <c r="M43" i="1" s="1"/>
  <c r="L42" i="1" a="1"/>
  <c r="L42" i="1" s="1"/>
  <c r="M42" i="1" s="1"/>
  <c r="L41" i="1" a="1"/>
  <c r="L41" i="1" s="1"/>
  <c r="M41" i="1" s="1"/>
  <c r="L40" i="1" a="1"/>
  <c r="L40" i="1" s="1"/>
  <c r="M40" i="1" s="1"/>
  <c r="L39" i="1" a="1"/>
  <c r="L39" i="1" s="1"/>
  <c r="M39" i="1" s="1"/>
  <c r="L38" i="1" a="1"/>
  <c r="L38" i="1" s="1"/>
  <c r="M38" i="1" s="1"/>
  <c r="L37" i="1" a="1"/>
  <c r="L37" i="1" s="1"/>
  <c r="M37" i="1" s="1"/>
  <c r="L36" i="1" a="1"/>
  <c r="L36" i="1" s="1"/>
  <c r="M36" i="1" s="1"/>
  <c r="L35" i="1" a="1"/>
  <c r="L35" i="1" s="1"/>
  <c r="M35" i="1" s="1"/>
  <c r="L34" i="1" a="1"/>
  <c r="L34" i="1" s="1"/>
  <c r="M34" i="1" s="1"/>
  <c r="L33" i="1" a="1"/>
  <c r="L33" i="1" s="1"/>
  <c r="M33" i="1" s="1"/>
  <c r="L32" i="1" a="1"/>
  <c r="L32" i="1" s="1"/>
  <c r="M32" i="1" s="1"/>
  <c r="L31" i="1" a="1"/>
  <c r="L31" i="1" s="1"/>
  <c r="M31" i="1" s="1"/>
  <c r="L30" i="1" a="1"/>
  <c r="L30" i="1" s="1"/>
  <c r="M30" i="1" s="1"/>
  <c r="L29" i="1" a="1"/>
  <c r="L29" i="1" s="1"/>
  <c r="M29" i="1" s="1"/>
  <c r="L28" i="1" a="1"/>
  <c r="L28" i="1" s="1"/>
  <c r="M28" i="1" s="1"/>
  <c r="L27" i="1" a="1"/>
  <c r="L27" i="1" s="1"/>
  <c r="M27" i="1" s="1"/>
  <c r="L26" i="1" a="1"/>
  <c r="L26" i="1" s="1"/>
  <c r="M26" i="1" s="1"/>
  <c r="L25" i="1" a="1"/>
  <c r="L25" i="1" s="1"/>
  <c r="M25" i="1" s="1"/>
  <c r="L24" i="1" a="1"/>
  <c r="L24" i="1" s="1"/>
  <c r="M24" i="1" s="1"/>
  <c r="L23" i="1" a="1"/>
  <c r="L23" i="1" s="1"/>
  <c r="M23" i="1" s="1"/>
  <c r="L22" i="1" a="1"/>
  <c r="L22" i="1" s="1"/>
  <c r="M22" i="1" s="1"/>
  <c r="L21" i="1" a="1"/>
  <c r="L21" i="1" s="1"/>
  <c r="M21" i="1" s="1"/>
  <c r="L20" i="1" a="1"/>
  <c r="L20" i="1" s="1"/>
  <c r="M20" i="1" s="1"/>
  <c r="L19" i="1" a="1"/>
  <c r="L19" i="1" s="1"/>
  <c r="M19" i="1" s="1"/>
  <c r="L18" i="1" a="1"/>
  <c r="L18" i="1" s="1"/>
  <c r="M18" i="1" s="1"/>
  <c r="L17" i="1" a="1"/>
  <c r="L17" i="1" s="1"/>
  <c r="M17" i="1" s="1"/>
  <c r="L16" i="1" a="1"/>
  <c r="L16" i="1" s="1"/>
  <c r="M16" i="1" s="1"/>
  <c r="L15" i="1" a="1"/>
  <c r="L15" i="1" s="1"/>
  <c r="M15" i="1" s="1"/>
  <c r="L14" i="1" a="1"/>
  <c r="L14" i="1" s="1"/>
  <c r="M14" i="1" s="1"/>
  <c r="L13" i="1" a="1"/>
  <c r="L13" i="1" s="1"/>
  <c r="M13" i="1" s="1"/>
  <c r="L12" i="1" a="1"/>
  <c r="L12" i="1" s="1"/>
  <c r="M12" i="1" s="1"/>
  <c r="L11" i="1" a="1"/>
  <c r="L11" i="1" s="1"/>
  <c r="M11" i="1" s="1"/>
  <c r="L10" i="1" a="1"/>
  <c r="L10" i="1" s="1"/>
  <c r="M10" i="1" s="1"/>
  <c r="L9" i="1" a="1"/>
  <c r="L9" i="1" s="1"/>
  <c r="M9" i="1" s="1"/>
  <c r="L8" i="1" a="1"/>
  <c r="L8" i="1" s="1"/>
  <c r="M8" i="1" s="1"/>
  <c r="L7" i="1" a="1"/>
  <c r="L7" i="1" s="1"/>
  <c r="M7" i="1" s="1"/>
  <c r="L6" i="1" a="1"/>
  <c r="L6" i="1" s="1"/>
  <c r="M6" i="1" s="1"/>
  <c r="L5" i="1" a="1"/>
  <c r="L5" i="1" s="1"/>
  <c r="M5" i="1" s="1"/>
  <c r="L4" i="1" a="1"/>
  <c r="L4" i="1" s="1"/>
  <c r="M4" i="1" s="1"/>
  <c r="L3" i="1" a="1"/>
  <c r="L3" i="1" s="1"/>
  <c r="M3"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1">
    <bk>
      <extLst>
        <ext uri="{3e2802c4-a4d2-4d8b-9148-e3be6c30e623}">
          <xlrd:rvb i="2"/>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10"/>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futureMetadata>
  <cellMetadata count="1">
    <bk>
      <rc t="1" v="0"/>
    </bk>
  </cellMetadata>
  <valueMetadata count="3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valueMetadata>
</metadata>
</file>

<file path=xl/sharedStrings.xml><?xml version="1.0" encoding="utf-8"?>
<sst xmlns="http://schemas.openxmlformats.org/spreadsheetml/2006/main" count="289" uniqueCount="147">
  <si>
    <t>Name</t>
  </si>
  <si>
    <t>ISIN</t>
  </si>
  <si>
    <t>Symbol</t>
  </si>
  <si>
    <t>Currency</t>
  </si>
  <si>
    <t>Turnover</t>
  </si>
  <si>
    <t>30/01/2026</t>
  </si>
  <si>
    <t>PTALT0AE0002</t>
  </si>
  <si>
    <t>ALTR</t>
  </si>
  <si>
    <t>EUR</t>
  </si>
  <si>
    <t>PTCAP0AM0017</t>
  </si>
  <si>
    <t>MLARR</t>
  </si>
  <si>
    <t>-</t>
  </si>
  <si>
    <t>ATRIUM BIRE SIGI</t>
  </si>
  <si>
    <t>PTTBI0AM0006</t>
  </si>
  <si>
    <t>MLATR</t>
  </si>
  <si>
    <t>PTBCP0AM0015</t>
  </si>
  <si>
    <t>BCP</t>
  </si>
  <si>
    <t>PTSLB0AM0010</t>
  </si>
  <si>
    <t>SLBEN</t>
  </si>
  <si>
    <t>MLCIA</t>
  </si>
  <si>
    <t>PTIAG0AM0005</t>
  </si>
  <si>
    <t>PTCDU0AE0003</t>
  </si>
  <si>
    <t>CDU</t>
  </si>
  <si>
    <t>PTCOR0AE0006</t>
  </si>
  <si>
    <t>COR</t>
  </si>
  <si>
    <t>PTCTT0AM0001</t>
  </si>
  <si>
    <t>CTT</t>
  </si>
  <si>
    <t>PTEDP0AM0009</t>
  </si>
  <si>
    <t>EDP</t>
  </si>
  <si>
    <t>PTESO0AM0000</t>
  </si>
  <si>
    <t>ESON</t>
  </si>
  <si>
    <t>PTFNV1AM0002</t>
  </si>
  <si>
    <t>MLFMV</t>
  </si>
  <si>
    <t>PTFXD0AM0018</t>
  </si>
  <si>
    <t>FLEXD</t>
  </si>
  <si>
    <t>PTFCP0AM0008</t>
  </si>
  <si>
    <t>FCP</t>
  </si>
  <si>
    <t>GALP ENERGIA-NOM</t>
  </si>
  <si>
    <t>PTGAL0AM0009</t>
  </si>
  <si>
    <t>GALP</t>
  </si>
  <si>
    <t>PTPAD0AM0007</t>
  </si>
  <si>
    <t>GLINT</t>
  </si>
  <si>
    <t>IBERSOL,SGPS</t>
  </si>
  <si>
    <t>PTIBS0AM0008</t>
  </si>
  <si>
    <t>IBS</t>
  </si>
  <si>
    <t>PTIPR0AM0000</t>
  </si>
  <si>
    <t>IPR</t>
  </si>
  <si>
    <t>PTJMT0AE0001</t>
  </si>
  <si>
    <t>JMT</t>
  </si>
  <si>
    <t>PTMFR0AM0003</t>
  </si>
  <si>
    <t>MAR</t>
  </si>
  <si>
    <t>PTGMC0AM0003</t>
  </si>
  <si>
    <t>MCP</t>
  </si>
  <si>
    <t>MONUMENTAL RES</t>
  </si>
  <si>
    <t>PTMNN0AE0006</t>
  </si>
  <si>
    <t>MLMR</t>
  </si>
  <si>
    <t>PTMEN0AE0005</t>
  </si>
  <si>
    <t>EGL</t>
  </si>
  <si>
    <t>PTZON0AM0006</t>
  </si>
  <si>
    <t>NOS</t>
  </si>
  <si>
    <t>PTNBA0AM0006</t>
  </si>
  <si>
    <t>NBA</t>
  </si>
  <si>
    <t>MLORE</t>
  </si>
  <si>
    <t>PTOTP0AM0004</t>
  </si>
  <si>
    <t>PTPTC0AM0009</t>
  </si>
  <si>
    <t>PHR</t>
  </si>
  <si>
    <t>RAIZE</t>
  </si>
  <si>
    <t>PTRIZ0AM0009</t>
  </si>
  <si>
    <t>MLRZE</t>
  </si>
  <si>
    <t>PTFRV0AE0004</t>
  </si>
  <si>
    <t>RAM</t>
  </si>
  <si>
    <t>PTREL0AM0008</t>
  </si>
  <si>
    <t>RENE</t>
  </si>
  <si>
    <t>S.CLUBE BRAGA</t>
  </si>
  <si>
    <t>PTSCB0AM0001</t>
  </si>
  <si>
    <t>SCB</t>
  </si>
  <si>
    <t>PTDGL0AM0003</t>
  </si>
  <si>
    <t>ALSMB</t>
  </si>
  <si>
    <t>PTSEM0AM0004</t>
  </si>
  <si>
    <t>SEM</t>
  </si>
  <si>
    <t>PTSON0AM0001</t>
  </si>
  <si>
    <t>SON</t>
  </si>
  <si>
    <t>PTSCP0AM0001</t>
  </si>
  <si>
    <t>SCP</t>
  </si>
  <si>
    <t>PTTD10AM0000</t>
  </si>
  <si>
    <t>TDSA</t>
  </si>
  <si>
    <t>PTPTI0AM0006</t>
  </si>
  <si>
    <t>NVG</t>
  </si>
  <si>
    <t>PTSCT0AP0018</t>
  </si>
  <si>
    <t>SCT</t>
  </si>
  <si>
    <t>PTVAA0AM0019</t>
  </si>
  <si>
    <t>VAF</t>
  </si>
  <si>
    <t>VILA DOS NUMEROS</t>
  </si>
  <si>
    <t>PTVUO0AM0000</t>
  </si>
  <si>
    <t>MLVDN</t>
  </si>
  <si>
    <t>Volume</t>
  </si>
  <si>
    <t>Closing Price</t>
  </si>
  <si>
    <t>Closing Price DateTime</t>
  </si>
  <si>
    <t>ALTRI SGPS</t>
  </si>
  <si>
    <t>ARRABIDASHOPPING</t>
  </si>
  <si>
    <t>AZOREAN TECH</t>
  </si>
  <si>
    <t>PTAZR0AM0006</t>
  </si>
  <si>
    <t>MLAAT</t>
  </si>
  <si>
    <t>B.COM.PORTUGUES</t>
  </si>
  <si>
    <t>BENFICA</t>
  </si>
  <si>
    <t>CIAGEST - SIGI S.A</t>
  </si>
  <si>
    <t>CONDURIL</t>
  </si>
  <si>
    <t>CORTICEIRA AMORIM</t>
  </si>
  <si>
    <t>CTT CORREIOS PORT</t>
  </si>
  <si>
    <t>ESTORIL SOL N</t>
  </si>
  <si>
    <t>FARMINVESTE</t>
  </si>
  <si>
    <t>FLEXDEAL</t>
  </si>
  <si>
    <t>FUT.CLUBE PORTO</t>
  </si>
  <si>
    <t>GENTLEMENS EQUITY</t>
  </si>
  <si>
    <t>PTGVE1AE0009</t>
  </si>
  <si>
    <t>MLGEQ</t>
  </si>
  <si>
    <t>GLINTT</t>
  </si>
  <si>
    <t>IMPRESA,SGPS</t>
  </si>
  <si>
    <t>J.MARTINS,SGPS</t>
  </si>
  <si>
    <t>MARTIFER</t>
  </si>
  <si>
    <t>MEDIA CAPITAL</t>
  </si>
  <si>
    <t>MOTA ENGIL</t>
  </si>
  <si>
    <t>NOS, SGPS</t>
  </si>
  <si>
    <t>NOVABASE,SGPS</t>
  </si>
  <si>
    <t>OLIMPO REAL ESTATE</t>
  </si>
  <si>
    <t>PHAROL</t>
  </si>
  <si>
    <t>RAMADA</t>
  </si>
  <si>
    <t>REN</t>
  </si>
  <si>
    <t>2RENE</t>
  </si>
  <si>
    <t>SAMBA DIGITAL</t>
  </si>
  <si>
    <t>SEMAPA</t>
  </si>
  <si>
    <t>SONAE</t>
  </si>
  <si>
    <t>SPORTING</t>
  </si>
  <si>
    <t>TEIXEIRA DUARTE</t>
  </si>
  <si>
    <t>THE NAVIGATOR COMP</t>
  </si>
  <si>
    <t>TOYOTA CAETANO</t>
  </si>
  <si>
    <t>VAA VISTA ALEGRE</t>
  </si>
  <si>
    <t>Company Name</t>
  </si>
  <si>
    <t>Current Price</t>
  </si>
  <si>
    <t>Ratio</t>
  </si>
  <si>
    <t>raize</t>
  </si>
  <si>
    <t>CLUBE BRAGA</t>
  </si>
  <si>
    <t>gentlemen</t>
  </si>
  <si>
    <t>FARMAINVEST</t>
  </si>
  <si>
    <t>Atrium</t>
  </si>
  <si>
    <t>MC</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</si>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</sst>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2]\ * #,##0.00_);_([$€-2]\ * \(#,##0.00\);_([$€-2]\ * &quot;-&quot;??_);_(@_)"/>
    <numFmt numFmtId="166" formatCode="_([$€-2]\ * #,##0_);_([$€-2]\ * \(#,##0\);_([$€-2]\ * &quot;-&quot;_);_(@_)"/>
  </numFmts>
  <fonts count="5" x14ac:knownFonts="1">
    <font>
      <sz val="11"/>
      <color theme="1"/>
      <name val="Arial"/>
      <family val="2"/>
    </font>
    <font>
      <b/>
      <sz val="11"/>
      <color theme="1"/>
      <name val="Arial"/>
      <family val="2"/>
    </font>
    <font>
      <sz val="11"/>
      <color rgb="FF000000"/>
      <name val="Calibri"/>
      <family val="2"/>
    </font>
    <font>
      <b/>
      <sz val="11"/>
      <color rgb="FF000000"/>
      <name val="Arial"/>
      <family val="2"/>
    </font>
    <font>
      <sz val="11"/>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0">
    <xf numFmtId="0" fontId="0" fillId="0" borderId="0" xfId="0"/>
    <xf numFmtId="0" fontId="1" fillId="0" borderId="0" xfId="0" applyFont="1"/>
    <xf numFmtId="164" fontId="1" fillId="0" borderId="0" xfId="0" applyNumberFormat="1" applyFont="1"/>
    <xf numFmtId="9" fontId="1" fillId="0" borderId="0" xfId="0" applyNumberFormat="1" applyFont="1"/>
    <xf numFmtId="164" fontId="0" fillId="0" borderId="0" xfId="0" applyNumberFormat="1"/>
    <xf numFmtId="9" fontId="0" fillId="0" borderId="0" xfId="0" applyNumberFormat="1"/>
    <xf numFmtId="0" fontId="3" fillId="0" borderId="0" xfId="1" applyFont="1"/>
    <xf numFmtId="0" fontId="4" fillId="0" borderId="0" xfId="1" applyFont="1"/>
    <xf numFmtId="3" fontId="4" fillId="0" borderId="0" xfId="1" applyNumberFormat="1" applyFont="1"/>
    <xf numFmtId="166" fontId="4" fillId="0" borderId="0" xfId="1" applyNumberFormat="1" applyFont="1"/>
  </cellXfs>
  <cellStyles count="2">
    <cellStyle name="Normal" xfId="0" builtinId="0"/>
    <cellStyle name="Normal 2" xfId="1" xr:uid="{052941D8-E549-4B6E-B6A6-8E2DDF1ED3A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84">
  <rv s="0">
    <v>https://www.bing.com/financeapi/forcetrigger?t=alwjz2&amp;q=XLIS%3aALTR&amp;form=skydnc</v>
    <v>Learn more on Bing</v>
  </rv>
  <rv s="1">
    <v>pt-BR</v>
    <v>alwjz2</v>
    <v>268435456</v>
    <v>1</v>
    <v>Da plataforma Refinitiv</v>
    <v>0</v>
    <v>1</v>
    <v>ALTRI, S.G.P.S., S.A. (XLIS:ALTR)</v>
    <v>3</v>
    <v>4</v>
    <v>Finance</v>
    <v>5</v>
    <v>6.56</v>
    <v>4.24</v>
    <v>XLIS</v>
    <v>205131700</v>
    <v>4.92</v>
    <v>2005</v>
    <v>4.8449999999999998</v>
    <v>0.31929999999999997</v>
    <v>Euronext Lisbon</v>
    <v>938477400</v>
    <v>A Altri, SGPS, S.A. é uma holding sediada em Portugal com atividade principalmente na produção de pasta de papel branqueada de eucalipto. A Empresa tem presença igualmente na área da energia elétrica a partir de fontes florestais renováveis, nomeadamente a partir de cogeração industrial de licor negro e biomassa. Além disso, ocupa-se da atividade de gestão de investimentos. A Empresa opera através de várias subsidiárias, com atividade na produção e venda de pasta de papel, tais como Caima - Indústria de Celulose, S.A., Celbi - Celulose da Beira Industrial, S.A. e Celtejo - Empresa de Celulose do Tejo, S.A., assim como de várias subsidiárias ocupadas com a gestão de recursos florestais, incluindo a Altri Florestal, S.A., bem como a empresa comum da EDP Bioeléctrica, entre outras.</v>
    <v>XLIS</v>
    <v>4.8550000000000004</v>
    <v>828</v>
    <v>46134.420960648145</v>
    <v>0</v>
    <v>223140</v>
    <v>EUR</v>
    <v>ALTRI, S.G.P.S., S.A.</v>
    <v>ALTRI, S.G.P.S., S.A.</v>
    <v>47.120899999999999</v>
    <v>4.8650000000000002</v>
    <v>4.91</v>
    <v>Rua Manuel Pinto de Azevedo, 818, PORTO, 4100-320 PT</v>
    <v>Paper &amp; Forest Products</v>
    <v>ALTR</v>
    <v>Ações</v>
    <v>ALTRI, S.G.P.S., S.A. (XLIS:ALTR)</v>
    <v>5.5E-2</v>
    <v>1.1329000000000001E-2</v>
    <v>103483</v>
  </rv>
  <rv s="2">
    <v>1</v>
  </rv>
  <rv s="3">
    <v>pt-BR</v>
    <v>c8mstc</v>
    <v>268435456</v>
    <v>1</v>
    <v>Da plataforma Refinitiv</v>
    <v>6</v>
    <v>7</v>
    <v>Arrabidashopping</v>
    <v>8</v>
    <v>9</v>
    <v>Finance</v>
    <v>10</v>
    <v>83824850.219999999</v>
    <v>0</v>
    <v>55.075099999999999</v>
    <v>46112</v>
    <v>46134.103135462501</v>
    <v>EUR</v>
    <v>Arrabidashopping</v>
    <v>PT</v>
    <v>53.401499999999999</v>
    <v>6.3919000000000004E-2</v>
    <v>-3.0388000000000002E-2</v>
    <v>-1.79E-10</v>
    <v>1.0322E-2</v>
    <v>-1.6600999999999998E-2</v>
    <v>0</v>
    <v>-1.6600999999999998E-2</v>
    <v>c1847</v>
    <v>Fundo Mútuo</v>
    <v>Arrabidashopping</v>
    <v>-1.6736</v>
    <v>-3.0388000000000002E-2</v>
  </rv>
  <rv s="2">
    <v>3</v>
  </rv>
  <rv s="4">
    <v>12</v>
    <v>Capitalização de mercado</v>
    <v>0</v>
  </rv>
  <rv s="4">
    <v>12</v>
    <v>Preço</v>
    <v>0</v>
  </rv>
  <rv s="5">
    <v>12</v>
    <v>1</v>
  </rv>
  <rv s="0">
    <v>https://www.bing.com/financeapi/forcetrigger?t=alwk2w&amp;q=XLIS%3aBCP&amp;form=skydnc</v>
    <v>Learn more on Bing</v>
  </rv>
  <rv s="1">
    <v>pt-BR</v>
    <v>alwk2w</v>
    <v>268435456</v>
    <v>1</v>
    <v>Da plataforma Refinitiv</v>
    <v>0</v>
    <v>1</v>
    <v>Banco Comercial Português, S.A. (XLIS:BCP)</v>
    <v>3</v>
    <v>4</v>
    <v>Finance</v>
    <v>5</v>
    <v>0.95</v>
    <v>0.54</v>
    <v>XLIS</v>
    <v>14804630000</v>
    <v>0.89200000000000002</v>
    <v>1985</v>
    <v>0.87939999999999996</v>
    <v>0.85040000000000004</v>
    <v>Euronext Lisbon</v>
    <v>13149470000</v>
    <v>O Banco Comercial Português SA (o Banco) é um banco privado com sediado em Portugal. Os segmentos de negócios do Banco incluem Banca de Retalho, Empresas, Banco Corporativo e de Investimento, Banca Privada, Portfólio de negócios secundários, Negócios estrangeiros e outros. Os segmentos de Banca de Retalho incluem a Rede de Retalho do Millennium BCP e ActivoBank. O segmento de Empresas e Bancos Corporativos de Investimento inclui empresas da rede do Millennium BCP, Divisão de Recuperação Especializada, Divisão de Negócios Imobiliários, Interfundos, Redes Corporativas e de Grandes Empresas do Millennium BCP, Banca de Investimento, e Divisão Internacional. O segmento de Banca Privada inclui Redes Privadas Bancárias do Millennium BCP (Portugal), do Millennium Banque Privee (Switzerland) e do Millennium BCP Bank &amp; Trust (Ilhas Caimão). O segmento de negócios estrangeiros inclui o Banco Internacional de Moçambique, o Banco Millennium Angola e o Millennium Banque Privee (Switzerland).</v>
    <v>XLIS</v>
    <v>0.87839999999999996</v>
    <v>15747</v>
    <v>46134.422731481478</v>
    <v>8</v>
    <v>58873840</v>
    <v>EUR</v>
    <v>Banco Comercial Português, S.A.</v>
    <v>Banco Comercial Português, S.A.</v>
    <v>10.3972</v>
    <v>0.88539999999999996</v>
    <v>0.87960000000000005</v>
    <v>Praca D. Joao I, n 28, PORTO, 4000-295 PT</v>
    <v>Banking Services</v>
    <v>BCP</v>
    <v>Ações</v>
    <v>Banco Comercial Português, S.A. (XLIS:BCP)</v>
    <v>1.1999999999999999E-3</v>
    <v>1.366E-3</v>
    <v>14116366</v>
  </rv>
  <rv s="2">
    <v>9</v>
  </rv>
  <rv s="6">
    <v>pt-BR</v>
    <v>ceslvh</v>
    <v>268435456</v>
    <v>1</v>
    <v>1</v>
    <v>Da plataforma Refinitiv</v>
    <v>11</v>
    <v>12</v>
    <v>CONDURIL - ENGENHARIA, S.A. (OTCM:CNDEF)</v>
    <v>13</v>
    <v>14</v>
    <v>Finance</v>
    <v>15</v>
    <v>77.099999999999994</v>
    <v>77.099999999999994</v>
    <v>OTCM</v>
    <v>2200000</v>
    <v>1959</v>
    <v>0.79169999999999996</v>
    <v>OTC Markets</v>
    <v>A CONDURIL - Engenharia, S. A., anteriormente Conduril Construtora Duriense, S.A., é uma empresa sediada em Portugal com atividade no setor da engenharia civil. A Empresa está envolvida na construção de uma gama de obras públicas e privadas, como barragens, pontes, autoestradas, estradas, saneamento, edifícios residenciais e comerciais, bem como na construção de obras hidráulicas, águas subterrâneas e obras geotécnicas. Além de Portugal, a Empresa realiza as suas atividades em países como Angola, Moçambique, Botsuana, Cabo Verde, Espanha e Marrocos. Em 31 de dezembro de 2011, a empresa tinha seis subsidiárias: Conduril - Gestão de Concessões de Infraestruturas, S.A., Edirio - Construções, S.A., Metis Engenharia, S.A., ENOP - Engenharia e Obras Públicas, Lda, Mabalane-Inertes, Lda e 4M Propriedades, S.A.</v>
    <v>OTCM</v>
    <v>2180</v>
    <v>46101.5625</v>
    <v>USD</v>
    <v>CONDURIL - ENGENHARIA, S.A.</v>
    <v>CONDURIL - ENGENHARIA, S.A.</v>
    <v>0</v>
    <v>Av. Eng. Duarte Pacheco, 1835, ERMESINDE, 4445-416 PT</v>
    <v>Construction &amp; Engineering</v>
    <v>CNDEF</v>
    <v>Ações</v>
    <v>CONDURIL - ENGENHARIA, S.A. (OTCM:CNDEF)</v>
    <v>132</v>
  </rv>
  <rv s="2">
    <v>11</v>
  </rv>
  <rv s="0">
    <v>https://www.bing.com/financeapi/forcetrigger?t=alwkk2&amp;q=XLIS%3aCOR&amp;form=skydnc</v>
    <v>Learn more on Bing</v>
  </rv>
  <rv s="1">
    <v>pt-BR</v>
    <v>alwkk2</v>
    <v>268435456</v>
    <v>1</v>
    <v>Da plataforma Refinitiv</v>
    <v>0</v>
    <v>1</v>
    <v>Corticeira Amorim, S.G.P.S., S.A. (XLIS:COR)</v>
    <v>3</v>
    <v>4</v>
    <v>Finance</v>
    <v>5</v>
    <v>8.52</v>
    <v>6.04</v>
    <v>XLIS</v>
    <v>133000000</v>
    <v>6.62</v>
    <v>1963</v>
    <v>6.57</v>
    <v>0.4708</v>
    <v>Euronext Lisbon</v>
    <v>911050000</v>
    <v>A Corticeira Amorim SGPS, S.A. (Corticeira Amorim) é uma holding com sede em Portugal que se dedica à indústria de cortiça. A Empresa organiza as suas atividades em cinco áreas comerciais: matérias-primas, rolhas de cortiça, revestimentos, compósitos de cortiça e isolamentos. Na área das matérias-primas, a Empresa ocupa-se da compra, armazenamento e preparação inicial da cortiça. A área das rolhas de cortiça produz e fornece vários tipos de tampas de garrafas, principalmente para a indústria vinícola. A área dos revestimentos ocupa-se da produção de laminados à base de cortiça. As áreas dos compósitos de cortiça e dos isolamentos produzem produtos de isolamento térmico, acústico e anti-vibração, entre outros. A Empresa e as suas subsidiárias operam em Portugal, Espanha, Tunísia, Estados Unidos, Austrália, Alemanha, China, Itália, Argentina, França e Holanda, entre outros. A Empresa é uma subsidiária da Amorim Capital SGPS, SA.</v>
    <v>XLIS</v>
    <v>6.58</v>
    <v>4849</v>
    <v>46134.420370370368</v>
    <v>13</v>
    <v>126980</v>
    <v>EUR</v>
    <v>Corticeira Amorim, S.G.P.S., S.A.</v>
    <v>Corticeira Amorim, S.G.P.S., S.A.</v>
    <v>15.837300000000001</v>
    <v>6.58</v>
    <v>6.62</v>
    <v>Rua Comendador Americo Ferreira Amorim, N 380, Apartado 20, Mozelos, AVEIRO, 4536-902 PT</v>
    <v>Paper &amp; Forest Products</v>
    <v>COR</v>
    <v>Ações</v>
    <v>Corticeira Amorim, S.G.P.S., S.A. (XLIS:COR)</v>
    <v>0.04</v>
    <v>6.0790000000000002E-3</v>
    <v>24557</v>
  </rv>
  <rv s="2">
    <v>14</v>
  </rv>
  <rv s="0">
    <v>https://www.bing.com/financeapi/forcetrigger?t=alwksm&amp;q=XLIS%3aCTT&amp;form=skydnc</v>
    <v>Learn more on Bing</v>
  </rv>
  <rv s="1">
    <v>pt-BR</v>
    <v>alwksm</v>
    <v>268435456</v>
    <v>1</v>
    <v>Da plataforma Refinitiv</v>
    <v>0</v>
    <v>1</v>
    <v>CTT Correios de Portugal, S.A. (XLIS:CTT)</v>
    <v>3</v>
    <v>4</v>
    <v>Finance</v>
    <v>5</v>
    <v>8.14</v>
    <v>5.63</v>
    <v>XLIS</v>
    <v>133820000</v>
    <v>6.585</v>
    <v>1969</v>
    <v>6.4349999999999996</v>
    <v>0.47699999999999998</v>
    <v>Euronext Lisbon</v>
    <v>975547800</v>
    <v>A CTT - Correios de Portugal, S.A. é uma empresa sediada em Portugal, com atividade principalmente na prestação de serviços de correio. As atividades da Empresa estão estruturadas em quatro segmentos comerciais: correio, expresso e encomendas, serviços financeiros e Banco CCT. O segmento do correio opera estações de correios, bem como ofertas de serviços postais para clientes empresariais, distribuição de materiais publicitários e soluções de comunicação postal, entre outros. O segmento expresso e encomendas disponibiliza serviços de entregas postais, bem como correio urgente de distribuição de encomendas sob as marcas comerciais CTT Expresso, Tourline e Corre. O segmento dos serviços financeiros sob a marca comercial PayShop oferece o processamento de pagamentos através de uma rede nacional de agentes, tais como supermercados, lojas e quiosques de tabaco. O segmento Banco CCT inclui a atividade da banca de retalho. A Empresa opera em Portugal, Espanha e Moçambique.</v>
    <v>XLIS</v>
    <v>6.46</v>
    <v>14048</v>
    <v>46134.421886574077</v>
    <v>16</v>
    <v>431360</v>
    <v>EUR</v>
    <v>CTT Correios de Portugal, S.A.</v>
    <v>CTT Correios de Portugal, S.A.</v>
    <v>17.0121</v>
    <v>6.47</v>
    <v>6.4850000000000003</v>
    <v>Avenida dos Combatentes, n 43, 14 piso, LISBOA, 1643-001 PT</v>
    <v>Freight &amp; Logistics Services</v>
    <v>CTT</v>
    <v>Ações</v>
    <v>CTT Correios de Portugal, S.A. (XLIS:CTT)</v>
    <v>2.5000000000000001E-2</v>
    <v>3.8700000000000002E-3</v>
    <v>117391</v>
  </rv>
  <rv s="2">
    <v>17</v>
  </rv>
  <rv s="0">
    <v>https://www.bing.com/financeapi/forcetrigger?t=alwkyc&amp;q=XLIS%3aEDP&amp;form=skydnc</v>
    <v>Learn more on Bing</v>
  </rv>
  <rv s="1">
    <v>pt-BR</v>
    <v>alwkyc</v>
    <v>268435456</v>
    <v>1</v>
    <v>Da plataforma Refinitiv</v>
    <v>0</v>
    <v>1</v>
    <v>EDP, S.A. (XLIS:EDP)</v>
    <v>3</v>
    <v>4</v>
    <v>Finance</v>
    <v>5</v>
    <v>4.7699999999999996</v>
    <v>3.19</v>
    <v>XLIS</v>
    <v>4184021000</v>
    <v>4.4450000000000003</v>
    <v>1976</v>
    <v>4.4039999999999999</v>
    <v>1.0765</v>
    <v>Euronext Lisbon</v>
    <v>17150300000</v>
    <v>A EDP SA, antiga EDP Energias de Portugal SA, é uma holding sediada no Brasil que opera através das suas subsidiárias. Os negócios do Grupo estão focados na geração, transmissão, distribuição e fornecimento de eletricidade e fornecimento de gás. Além disso, o Grupo também atua em áreas afins, como engenharia, testes laboratoriais, formação profissional, serviços de energia e gestão imobiliária. As atividades da EDP dividem-se em dois segmentos de negócio: Energias renováveis, Clientes e Gestão de Energia, que corresponde à atividade de geração de eletricidade a partir de fontes renováveis, principalmente hidroelétrica, eólica e solar; e Redes, que correspondem às atividades de distribuição e transmissão de eletricidade.</v>
    <v>XLIS</v>
    <v>4.41</v>
    <v>11858</v>
    <v>46134.422777777778</v>
    <v>19</v>
    <v>10321800</v>
    <v>EUR</v>
    <v>EDP, S.A.</v>
    <v>EDP, S.A.</v>
    <v>15.773199999999999</v>
    <v>4.4269999999999996</v>
    <v>4.4370000000000003</v>
    <v>Avenida 24 de Julho, n 12, LISBOA, 1249-300 PT</v>
    <v>Electrical Utilities &amp; IPPs</v>
    <v>EDP</v>
    <v>Ações</v>
    <v>EDP, S.A. (XLIS:EDP)</v>
    <v>2.7E-2</v>
    <v>6.1219999999999998E-3</v>
    <v>641558</v>
  </rv>
  <rv s="2">
    <v>20</v>
  </rv>
  <rv s="0">
    <v>https://www.bing.com/financeapi/forcetrigger?t=boey1h&amp;q=XLIS%3aFLEXD&amp;form=skydnc</v>
    <v>Learn more on Bing</v>
  </rv>
  <rv s="7">
    <v>pt-BR</v>
    <v>boey1h</v>
    <v>268435456</v>
    <v>1</v>
    <v>Da plataforma Refinitiv</v>
    <v>16</v>
    <v>17</v>
    <v>FLEXDEAL – Sociedade de Investimento Mobiliário para Fomento da Economia, S.A. (XLIS:FLEXD)</v>
    <v>3</v>
    <v>18</v>
    <v>Finance</v>
    <v>5</v>
    <v>5</v>
    <v>4.3</v>
    <v>XLIS</v>
    <v>3717050</v>
    <v>4.72</v>
    <v>2014</v>
    <v>4.72</v>
    <v>Euronext Lisbon</v>
    <v>18585270</v>
    <v>A Flexdeal A SIMFE SA é uma empresa de investimento sediada em Portugal. A Companhia pretende investir em pequenas e médias empresas nacionais e estrangeiras como alternativa financeira aos bancos e de acordo com as leis em vigor.</v>
    <v>XLIS</v>
    <v>4.3</v>
    <v>27</v>
    <v>46121.666666666664</v>
    <v>22</v>
    <v>EUR</v>
    <v>FLEXDEAL – Sociedade de Investimento Mobiliário para Fomento da Economia, S.A.</v>
    <v>FLEXDEAL – Sociedade de Investimento Mobiliário para Fomento da Economia, S.A.</v>
    <v>32.021700000000003</v>
    <v>4.72</v>
    <v>4.72</v>
    <v>Rua Dr. Francisco Torres N.78, BARCELOS, BRAGA, 4750-160 PT</v>
    <v>Investment Banking &amp; Investment Services</v>
    <v>FLEXD</v>
    <v>Ações</v>
    <v>FLEXDEAL – Sociedade de Investimento Mobiliário para Fomento da Economia, S.A. (XLIS:FLEXD)</v>
    <v>0.42</v>
    <v>9.7673999999999997E-2</v>
    <v>50</v>
  </rv>
  <rv s="2">
    <v>23</v>
  </rv>
  <rv s="0">
    <v>https://www.bing.com/financeapi/forcetrigger?t=alwlgh&amp;q=XLIS%3aGALP&amp;form=skydnc</v>
    <v>Learn more on Bing</v>
  </rv>
  <rv s="1">
    <v>pt-BR</v>
    <v>alwlgh</v>
    <v>268435456</v>
    <v>1</v>
    <v>Da plataforma Refinitiv</v>
    <v>0</v>
    <v>1</v>
    <v>Galp Energia, SGPS, S.A. (XLIS:GALP)</v>
    <v>3</v>
    <v>4</v>
    <v>Finance</v>
    <v>5</v>
    <v>22.26</v>
    <v>13.3</v>
    <v>XLIS</v>
    <v>678943400</v>
    <v>19.45</v>
    <v>1999</v>
    <v>18.96</v>
    <v>0.47039999999999998</v>
    <v>Euronext Lisbon</v>
    <v>11203150000</v>
    <v>A Galp Energia, SGPS, S.A. é uma holding sediada em Portugal com atividade na indústria do petróleo e do gás. As atividades da Galp estão estruturadas em três áreas comerciais: exploração e produção; refinação e marketing; gás e energia. No segmento da exploração e produção, a Empresa explora, desenvolve e produz óleo e gás natural, operando em aproximadamente 40 projetos em todo o mundo. No segmento da distribuição e refinação, a Galp Energia, SGPS, S.A. ocupa-se da operação em refinarias de petróleo e gás para a produção de gasolina, bem como do marketing de petróleo. A Empresa opera duas refinarias em Portugal. No segmento do gás e da energia, a Galp Energia, SGPS, S.A. ocupa-se principalmente da distribuição e comercialização de gás natural, bem como na produção e venda de eletricidade.</v>
    <v>XLIS</v>
    <v>19.13</v>
    <v>7095</v>
    <v>46134.422731481478</v>
    <v>25</v>
    <v>3432780</v>
    <v>EUR</v>
    <v>Galp Energia, SGPS, S.A.</v>
    <v>Galp Energia, SGPS, S.A.</v>
    <v>12.9948</v>
    <v>19.12</v>
    <v>19.335000000000001</v>
    <v>Avenida da India, 8, LISBOA, LISBOA, 1349-065 PT</v>
    <v>Oil &amp; Gas</v>
    <v>GALP</v>
    <v>Ações</v>
    <v>Galp Energia, SGPS, S.A. (XLIS:GALP)</v>
    <v>0.20499999999999999</v>
    <v>1.0716000000000002E-2</v>
    <v>350688</v>
  </rv>
  <rv s="2">
    <v>26</v>
  </rv>
  <rv s="0">
    <v>https://www.bing.com/financeapi/forcetrigger?t=alwljc&amp;q=XLIS%3aGLINT&amp;form=skydnc</v>
    <v>Learn more on Bing</v>
  </rv>
  <rv s="8">
    <v>pt-BR</v>
    <v>alwljc</v>
    <v>268435456</v>
    <v>1</v>
    <v>Da plataforma Refinitiv</v>
    <v>19</v>
    <v>20</v>
    <v>GLINTT GLOBAL, S.A. (XLIS:GLINT)</v>
    <v>3</v>
    <v>21</v>
    <v>Finance</v>
    <v>5</v>
    <v>2.16</v>
    <v>0.51</v>
    <v>XLIS</v>
    <v>86962870</v>
    <v>1.22</v>
    <v>1.22</v>
    <v>0.75209999999999999</v>
    <v>Euronext Lisbon</v>
    <v>126965800</v>
    <v>A Glintt Global SA, anteriormente a Glintt Global Intelligent Technologies SA é uma empresa de serviços informáticos sediada em Portugal. Opera através de duas sub-marcas, a Glintt Life e a Glintt Next. A Glintt Life opera no mercado global de cuidados de saúde e dedica-se a revolucionar os cuidados de saúde através da inovação digital. Cria soluções de ponta que melhoram o atendimento ao paciente, garantem uma interoperabilidade eficiente e capacita os profissionais de saúde. A Glintt Next é uma consultoria de tecnologia multissetorial. Especializa-se no desenvolvimento de aplicações personalizadas. Desde a criação de aplicações Web interativas e móveis, o foco da Glintt Next está na gestão robusta de aplicações, garantindo que as empresas se mantenham ligadas e competitivas.</v>
    <v>XLIS</v>
    <v>1.22</v>
    <v>1302</v>
    <v>46133.666666666664</v>
    <v>28</v>
    <v>35060</v>
    <v>EUR</v>
    <v>GLINTT GLOBAL, S.A.</v>
    <v>GLINTT GLOBAL, S.A.</v>
    <v>14.8599</v>
    <v>1.22</v>
    <v>1.22</v>
    <v>Beloura Office Park - Edf.10, Quinta da Beloura, SINTRA, PORTUGAL-NA, 2710-693 PT</v>
    <v>Software &amp; IT Services</v>
    <v>GLINT</v>
    <v>Ações</v>
    <v>GLINTT GLOBAL, S.A. (XLIS:GLINT)</v>
    <v>0</v>
    <v>0</v>
    <v>2000</v>
  </rv>
  <rv s="2">
    <v>29</v>
  </rv>
  <rv s="0">
    <v>https://www.bing.com/financeapi/forcetrigger?t=alwlp2&amp;q=XLIS%3aIBS&amp;form=skydnc</v>
    <v>Learn more on Bing</v>
  </rv>
  <rv s="1">
    <v>pt-BR</v>
    <v>alwlp2</v>
    <v>268435456</v>
    <v>1</v>
    <v>Da plataforma Refinitiv</v>
    <v>0</v>
    <v>1</v>
    <v>Ibersol, SGPS, SA. (XLIS:IBS)</v>
    <v>3</v>
    <v>4</v>
    <v>Finance</v>
    <v>5</v>
    <v>12.52</v>
    <v>8.9</v>
    <v>XLIS</v>
    <v>40899130</v>
    <v>12.4</v>
    <v>1985</v>
    <v>12</v>
    <v>0.34229999999999999</v>
    <v>Euronext Lisbon</v>
    <v>405719300</v>
    <v>A Ibersol, SGPS, SA. é uma empresa sediada em Portugal, com atividade principalmente na restauração. Tem atividade em Portugal e Espanha. A Empresa organiza as suas atividades em seis áreas comerciais: restaurantes e entregas; balcões; viagens; quiosques de café; catering; e concessões. Na área dos restaurantes e das entregas, ocupa-se da exploração de cadeias de restaurantes, sob as marcas comerciais Pizza Hut, Pasta Caffe e Pizza Movil. Na área dos balcões, opera cadeias de restaurantes sob a imagem comercial KFC, O Kilo, Burger King e Pans, bem como sob as marcas comerciais The Eat-Out Group. A área das viagens inclui a prestação de serviços de alimentação nas autoestradas e aeroportos. A área dos quiosques de café consiste em retalhistas de café sob a marca comercial Delta. Na área do catering, ocupa-se da preparação de refeições. A área das concessões inclui a gestão de concessões para prestação de serviços de alimentação nalguns locais em Portugal, tais como o Museu de Serralves e a Casa da Música, entre outros.</v>
    <v>XLIS</v>
    <v>12</v>
    <v>8471</v>
    <v>46134.394872685189</v>
    <v>31</v>
    <v>22890</v>
    <v>EUR</v>
    <v>Ibersol, SGPS, SA.</v>
    <v>Ibersol, SGPS, SA.</v>
    <v>36.5075</v>
    <v>12.4</v>
    <v>12</v>
    <v>Edificio Peninsula Praca do Bom Sucesso, 105 A 159 - 9, NaN, PORTO, PORTO, 4150-146 PT</v>
    <v>Hotels &amp; Entertainment Services</v>
    <v>IBS</v>
    <v>Ações</v>
    <v>Ibersol, SGPS, SA. (XLIS:IBS)</v>
    <v>0</v>
    <v>0</v>
    <v>7752</v>
  </rv>
  <rv s="2">
    <v>32</v>
  </rv>
  <rv s="0">
    <v>https://www.bing.com/financeapi/forcetrigger?t=alwlxm&amp;q=XLIS%3aIPR&amp;form=skydnc</v>
    <v>Learn more on Bing</v>
  </rv>
  <rv s="1">
    <v>pt-BR</v>
    <v>alwlxm</v>
    <v>268435456</v>
    <v>1</v>
    <v>Da plataforma Refinitiv</v>
    <v>0</v>
    <v>1</v>
    <v>IMPRESA-Sociedade Gestora de Participações Sociais, S. A. (XLIS:IPR)</v>
    <v>3</v>
    <v>4</v>
    <v>Finance</v>
    <v>5</v>
    <v>0.33</v>
    <v>0.1</v>
    <v>XLIS</v>
    <v>168000000</v>
    <v>0.18260000000000001</v>
    <v>1990</v>
    <v>0.18099999999999999</v>
    <v>0.69650000000000001</v>
    <v>Euronext Lisbon</v>
    <v>33600000</v>
    <v>A IMPRESA - SOCIEDADE GESTORA DE PARTICIPAÇÕES SOCIAIS, S.A. (Impresa SGPS SA) é uma holding sediada em Portugal envolvida na indústria de média, com interesses abrangendo a transmissão de televisão e publicação de jornais, entre outros. A Empresa divide o seu negócio em três segmentos principais: segmento de Televisão, que inclui produção de vídeo e operação de canais de televisão privados em Portugal, como a SIC, SIC Noticias, SIC Radical e SIC Internacional; segmento de Publicações, que atua na publicação de jornais, incluindo o Expresso e o segmento Outros, que inclui atividades no setor imobiliário, soluções multimédia e soluções tecnológicas de localização geográfica. A Empresa opera uma plataforma online, Impresa Media Criativa, que reúne todas as suas lojas criativas. As subsidiárias da Empresa incluem a Impresa Publishing SA, SIC - Sociedade Independente de Comunicação SA, Impresa Digital Produção Multimédia Lda e Impresa Serviços Sociedade Unipessoal Lda, entre outras.</v>
    <v>XLIS</v>
    <v>0.18379999999999999</v>
    <v>906</v>
    <v>46134.420960648145</v>
    <v>34</v>
    <v>149790</v>
    <v>EUR</v>
    <v>IMPRESA-Sociedade Gestora de Participações Sociais, S. A.</v>
    <v>IMPRESA-Sociedade Gestora de Participações Sociais, S. A.</v>
    <v>24.849299999999999</v>
    <v>0.18099999999999999</v>
    <v>0.18140000000000001</v>
    <v>Rua Calvet de Magalhaes, 242, PACO DE ARCOS, LISBOA, 2770-022 PT</v>
    <v>Media &amp; Publishing</v>
    <v>IPR</v>
    <v>Ações</v>
    <v>IMPRESA-Sociedade Gestora de Participações Sociais, S. A. (XLIS:IPR)</v>
    <v>-2.3999999999999998E-3</v>
    <v>-1.3058E-2</v>
    <v>700</v>
  </rv>
  <rv s="2">
    <v>35</v>
  </rv>
  <rv s="0">
    <v>https://www.bing.com/financeapi/forcetrigger?t=alwm1h&amp;q=XLIS%3aJMT&amp;form=skydnc</v>
    <v>Learn more on Bing</v>
  </rv>
  <rv s="8">
    <v>pt-BR</v>
    <v>alwm1h</v>
    <v>268435456</v>
    <v>1</v>
    <v>Da plataforma Refinitiv</v>
    <v>19</v>
    <v>20</v>
    <v>Jerónimo Martins, SGPS, S.A. (XLIS:JMT)</v>
    <v>3</v>
    <v>21</v>
    <v>Finance</v>
    <v>5</v>
    <v>23.28</v>
    <v>19.61</v>
    <v>XLIS</v>
    <v>629293200</v>
    <v>20.64</v>
    <v>20.46</v>
    <v>0.94199999999999995</v>
    <v>Euronext Lisbon</v>
    <v>13202570000</v>
    <v>A Jerónimo Martins, SGPS, S.A. é uma empresa sediada em Portugal, que se desenvolve principalmente dentro do comércio a retalho de alimentos. As atividades da Empresa estão estruturadas em três áreas comerciais: Portugal Retail, que engloba o funcionamento dos supermercados Pingo Doce; Portugal Cash &amp; Carry, que inclui a unidade de negócio grossista Recheio; e Polónia Retail, que opera uma rede de supermercados sob a marca comercial Biedronka. Além disso, está envolvida na operação de farmácias com a imagem comercial Hebe e sob a marca comercial Apteka Na Zdrowie; produção de azeite, óleo de culinária, produtos de higiene pessoal e domésticos, gelados e refrigerantes, entre outros; distribuição e representação de marcas comerciais internacionais, bem como desenvolvimento de projetos no setor da restauração. Opera em vários países, incluindo Polónia, Portugal e Colômbia. A Empresa é uma subsidiária da Sociedade Francisco Manuel dos Santos BV.</v>
    <v>XLIS</v>
    <v>20.62</v>
    <v>139907</v>
    <v>46134.422685185185</v>
    <v>37</v>
    <v>694870</v>
    <v>EUR</v>
    <v>Jerónimo Martins, SGPS, S.A.</v>
    <v>Jerónimo Martins, SGPS, S.A.</v>
    <v>20.074300000000001</v>
    <v>20.64</v>
    <v>20.54</v>
    <v>Rua Actor Antonio Silva, n.7, LISBOA, LISBOA, 1649-033 PT</v>
    <v>Food &amp; Drug Retailing</v>
    <v>JMT</v>
    <v>Ações</v>
    <v>Jerónimo Martins, SGPS, S.A. (XLIS:JMT)</v>
    <v>-0.08</v>
    <v>-3.8800000000000002E-3</v>
    <v>91748</v>
  </rv>
  <rv s="2">
    <v>38</v>
  </rv>
  <rv s="0">
    <v>https://www.bing.com/financeapi/forcetrigger?t=alwmcw&amp;q=XLIS%3aMAR&amp;form=skydnc</v>
    <v>Learn more on Bing</v>
  </rv>
  <rv s="1">
    <v>pt-BR</v>
    <v>alwmcw</v>
    <v>268435456</v>
    <v>1</v>
    <v>Da plataforma Refinitiv</v>
    <v>0</v>
    <v>1</v>
    <v>MARTIFER - S.G.P.S. S.A. (XLIS:MAR)</v>
    <v>3</v>
    <v>4</v>
    <v>Finance</v>
    <v>5</v>
    <v>2.74</v>
    <v>1.76</v>
    <v>XLIS</v>
    <v>100000000</v>
    <v>2.4900000000000002</v>
    <v>2004</v>
    <v>2.4300000000000002</v>
    <v>0.75119999999999998</v>
    <v>Euronext Lisbon</v>
    <v>241000000</v>
    <v>A MARTIFER - S.G.P.S. S.A. é uma holding sediada em Portugal com atividade principalmente no setor da construção e no setor da energia renovável. A Empresa divide o seu negócio em dois segmentos principais: construção metálica e solar. Na área da construção metálica, a Empresa ocupa-se da construção de estruturas de aço, fachadas de vidro e de alumínio, bem como do fabrico de componentes para turbinas eólicas, torres de aço e equipamento para a indústria de petróleo e offshore. A Martifer ocupa-se igualmente da construção de projetos industriais e navais. Na área solar, a Empresa ocupa-se do desenvolvimento de projetos de sistemas fotovoltaicos e instalação de parques de energia solar, bem como da produção e distribuição dos módulos fotovoltaicos. Adicionalmente, a Empresa desenvolve e constrói projetos no setor da energia renovável, incluindo energia eólica e setores do biocombustível.</v>
    <v>XLIS</v>
    <v>2.4300000000000002</v>
    <v>1598</v>
    <v>46133.666666666664</v>
    <v>40</v>
    <v>11030</v>
    <v>EUR</v>
    <v>MARTIFER - S.G.P.S. S.A.</v>
    <v>MARTIFER - S.G.P.S. S.A.</v>
    <v>12.5189</v>
    <v>2.4300000000000002</v>
    <v>2.4900000000000002</v>
    <v>Zona Industrial, Apartado 17, OLIVEIRA DE FRADES, VISEU, 3684-001 PT</v>
    <v>Construction &amp; Engineering</v>
    <v>MAR</v>
    <v>Ações</v>
    <v>MARTIFER - S.G.P.S. S.A. (XLIS:MAR)</v>
    <v>0.06</v>
    <v>2.4691000000000001E-2</v>
    <v>1668</v>
  </rv>
  <rv s="2">
    <v>41</v>
  </rv>
  <rv s="0">
    <v>https://www.bing.com/financeapi/forcetrigger?t=alwmfr&amp;q=XLIS%3aMCP&amp;form=skydnc</v>
    <v>Learn more on Bing</v>
  </rv>
  <rv s="9">
    <v>pt-BR</v>
    <v>alwmfr</v>
    <v>268435456</v>
    <v>1</v>
    <v>Da plataforma Refinitiv</v>
    <v>22</v>
    <v>23</v>
    <v>Grupo Média Capital, SGPS, S.A. (XLIS:MCP)</v>
    <v>3</v>
    <v>24</v>
    <v>Finance</v>
    <v>5</v>
    <v>2</v>
    <v>1.62</v>
    <v>XLIS</v>
    <v>84513180</v>
    <v>1.9</v>
    <v>1.9</v>
    <v>0.73970000000000002</v>
    <v>Euronext Lisbon</v>
    <v>160575000</v>
    <v>O Grupo Media Capital SGPS SA é uma empresa com sede em Portugal que atua na indústria dos media. A empresa opera em Portugal e Espanha. A estrutura adotada pelo Grupo Media Capital compreende três segmentos portáteis: Televisão, produção audiovisual e outros. O segmento de televisão envolve principalmente a transmissão do canal televisivo Televisao Independente (TVI) bem como a transmissão de outros canais de televisão temáticos. O segmento de produção audiovisual refere-se à produção e distribuição audiovisuais de programas de televisão e séries difundidas na Ibéria. O outro segmento inclui a produção e venda de música, a prestação de serviços de agência a artistas e a promoção do evento. A Empresa tem uma subsidiária direta, o Grupo Media Capital Meglo - Media Global, SGPS, SA e várias subsidiárias indirectas, como a CLMC - Multimedia, Unipessoal, Lda.</v>
    <v>XLIS</v>
    <v>1.9</v>
    <v>1106</v>
    <v>46020.708333333336</v>
    <v>43</v>
    <v>EUR</v>
    <v>Grupo Média Capital, SGPS, S.A.</v>
    <v>Grupo Média Capital, SGPS, S.A.</v>
    <v>13.4466</v>
    <v>1.9</v>
    <v>1.9</v>
    <v>Rua Mario Castelhano, 40 Queluz de Baixo, BARCARENA, 2734-502 PT</v>
    <v>Media &amp; Publishing</v>
    <v>MCP</v>
    <v>Ações</v>
    <v>Grupo Média Capital, SGPS, S.A. (XLIS:MCP)</v>
    <v>0</v>
    <v>0</v>
    <v>1</v>
  </rv>
  <rv s="2">
    <v>44</v>
  </rv>
  <rv s="0">
    <v>https://www.bing.com/financeapi/forcetrigger?t=alwl52&amp;q=XLIS%3aEGL&amp;form=skydnc</v>
    <v>Learn more on Bing</v>
  </rv>
  <rv s="1">
    <v>pt-BR</v>
    <v>alwl52</v>
    <v>268435456</v>
    <v>1</v>
    <v>Da plataforma Refinitiv</v>
    <v>0</v>
    <v>1</v>
    <v>Mota-Engil, SGPS, SA (XLIS:EGL)</v>
    <v>3</v>
    <v>4</v>
    <v>Finance</v>
    <v>5</v>
    <v>6.21</v>
    <v>3.18</v>
    <v>XLIS</v>
    <v>306775900</v>
    <v>4.96</v>
    <v>1946</v>
    <v>4.82</v>
    <v>0.67679999999999996</v>
    <v>Euronext Lisbon</v>
    <v>1532039000</v>
    <v>A Mota Engil SGPS SA é uma empresa com sede em Portugal que atua principalmente na indústria da construção. A empresa divide o seu negócio em três segmentos principais: Engenharia e Construção; Ambiente e Serviços e Concessões de Transporte. Na divisão de Engenharia e Construção, realiza várias obras de engenharia, incluindo pontes, ferrovias, portos, aeroportos, barragens, autoestradas, estradas, canais e túneis, entre outros. A divisão Ambiente e Serviços está envolvida na gestão de resíduos sólidos urbanos e industriais; reabilitação de oleodutos e manutenção de edifícios, serviços de arquitetura paisagística, entre outros. A divisão de Concessões de Transporte, operada pela subsidiária da empresa Asendi Group SGPS, está ativa na gestão de autoestradas e vias rápidas. Além disso, a empresa concentra-se em atividades no setor do turismo.</v>
    <v>XLIS</v>
    <v>4.9039999999999999</v>
    <v>51019</v>
    <v>46134.422442129631</v>
    <v>46</v>
    <v>2043600</v>
    <v>EUR</v>
    <v>Mota-Engil, SGPS, SA</v>
    <v>Mota-Engil, SGPS, SA</v>
    <v>11.0482</v>
    <v>4.93</v>
    <v>4.8380000000000001</v>
    <v>Rua do Rego Lameiro, N 38, PORTO, PORTO, 4300-454 PT</v>
    <v>Construction &amp; Engineering</v>
    <v>EGL</v>
    <v>Ações</v>
    <v>Mota-Engil, SGPS, SA (XLIS:EGL)</v>
    <v>-6.6000000000000003E-2</v>
    <v>-1.3458000000000001E-2</v>
    <v>913975</v>
  </rv>
  <rv s="2">
    <v>47</v>
  </rv>
  <rv s="0">
    <v>https://www.bing.com/financeapi/forcetrigger?t=alwmlh&amp;q=XLIS%3aNOS&amp;form=skydnc</v>
    <v>Learn more on Bing</v>
  </rv>
  <rv s="1">
    <v>pt-BR</v>
    <v>alwmlh</v>
    <v>268435456</v>
    <v>1</v>
    <v>Da plataforma Refinitiv</v>
    <v>0</v>
    <v>1</v>
    <v>NOS, SGPS, S.A. (XLIS:NOS)</v>
    <v>3</v>
    <v>4</v>
    <v>Finance</v>
    <v>5</v>
    <v>5.68</v>
    <v>3.51</v>
    <v>XLIS</v>
    <v>515161400</v>
    <v>5.66</v>
    <v>1999</v>
    <v>5.55</v>
    <v>0.45800000000000002</v>
    <v>Euronext Lisbon</v>
    <v>2148223000</v>
    <v>A NOS, SGPS, S.A. conhecida como Zon Optimus SGPS, S.A., é uma empresa sediada em Portugal, com atividade na indústria de radiodifusão e telecomunicações. Foi constituída em resultado de uma fusão entre a ZON Multimedia Serviços de Telecomunicações e Multimédia SGPS, S.A. (ZON) e a Optimus - SGPS, S.A. (OPTIMUS). A Empresa ocupa-se da distribuição de televisão por cabo e satélite; produção de filmes, séries, desporto e canais para crianças e gestão do espaço publicitário nos canais pagos de televisão (TV) e em cinemas. Ocupa-se igualmente do fornecimento de uma gama de serviços de comunicações móveis e com fios, para clientes residenciais e empresariais, incluindo voz, dados, televisão (TV) e serviços de roaming. Além disso, tem atividade no setor audiovisual, que inclui produção de vídeo e de venda, distribuição e exibição cinematográfica, aquisição e negociação de TV paga e direitos de vídeos a pedido. A Empresa é uma subsidiária da ZOPT SGPS, S.A.</v>
    <v>XLIS</v>
    <v>5.5750000000000002</v>
    <v>2464</v>
    <v>46134.422083333331</v>
    <v>49</v>
    <v>703450</v>
    <v>EUR</v>
    <v>NOS, SGPS, S.A.</v>
    <v>NOS, SGPS, S.A.</v>
    <v>11.715199999999999</v>
    <v>5.55</v>
    <v>5.6349999999999998</v>
    <v>Campo Grande Rua Actor Antonio Silva 9, LISBOA, LISBOA, 1600-404 PT</v>
    <v>Telecommunications Services</v>
    <v>NOS</v>
    <v>Ações</v>
    <v>NOS, SGPS, S.A. (XLIS:NOS)</v>
    <v>0.06</v>
    <v>1.0762000000000001E-2</v>
    <v>226093</v>
  </rv>
  <rv s="2">
    <v>50</v>
  </rv>
  <rv s="0">
    <v>https://www.bing.com/financeapi/forcetrigger?t=alwmim&amp;q=XLIS%3aNBA&amp;form=skydnc</v>
    <v>Learn more on Bing</v>
  </rv>
  <rv s="1">
    <v>pt-BR</v>
    <v>alwmim</v>
    <v>268435456</v>
    <v>1</v>
    <v>Da plataforma Refinitiv</v>
    <v>0</v>
    <v>1</v>
    <v>NOVABASE - Sociedade Gestora de Participações Sociais, S.A. (XLIS:NBA)</v>
    <v>3</v>
    <v>4</v>
    <v>Finance</v>
    <v>5</v>
    <v>10.4</v>
    <v>7.2</v>
    <v>XLIS</v>
    <v>38418970</v>
    <v>8.8000000000000007</v>
    <v>1989</v>
    <v>8.8000000000000007</v>
    <v>0.42070000000000002</v>
    <v>Euronext Lisbon</v>
    <v>359217400</v>
    <v>A NOVABASE SGPS, S.A. é uma empresa sediada em Portugal, com atividade no fornecimento de soluções de tecnologia da informação (TI). A Empresa fornece serviços para um leque de setores, incluindo o setor financeiro, administração pública, cuidados de saúde, energia e serviços de utilidade pública, bem como de telecomunicações. As atividades da Empresa estão estruturadas em dois segmentos comerciais: soluções empresariais e capital de risco. O segmento das soluções empresariais fornece tecnologia de TI, gestão e conceção do sistema. O segmento do capital de risco identifica e desenvolve projetos comerciais de informação portuguesa e tecnologias da comunicação (TIC), que estão em desenvolvimento inicial ou expansão e têm potenciais sinergias com a Empresa. Além disso, oferece contratação de TI, que inclui serviços de pessoal para projetos de TI.</v>
    <v>XLIS</v>
    <v>8.86</v>
    <v>1281</v>
    <v>46134.321691272657</v>
    <v>52</v>
    <v>3160</v>
    <v>EUR</v>
    <v>NOVABASE - Sociedade Gestora de Participações Sociais, S.A.</v>
    <v>NOVABASE - Sociedade Gestora de Participações Sociais, S.A.</v>
    <v>58.705800000000004</v>
    <v>8.8000000000000007</v>
    <v>8.8000000000000007</v>
    <v>Av. D. Joao II, n34,, Parque das Nacoes, LISBOA, LISBOA, 1998-031 PT</v>
    <v>Software &amp; IT Services</v>
    <v>NBA</v>
    <v>Ações</v>
    <v>NOVABASE - Sociedade Gestora de Participações Sociais, S.A. (XLIS:NBA)</v>
    <v>-0.06</v>
    <v>-6.7720000000000002E-3</v>
    <v>151</v>
  </rv>
  <rv s="2">
    <v>53</v>
  </rv>
  <rv s="0">
    <v>https://www.bing.com/financeapi/forcetrigger?t=alwnc7&amp;q=XLIS%3aPHR&amp;form=skydnc</v>
    <v>Learn more on Bing</v>
  </rv>
  <rv s="1">
    <v>pt-BR</v>
    <v>alwnc7</v>
    <v>268435456</v>
    <v>1</v>
    <v>Da plataforma Refinitiv</v>
    <v>0</v>
    <v>1</v>
    <v>PHAROL, SGPS S.A. (XLIS:PHR)</v>
    <v>3</v>
    <v>4</v>
    <v>Finance</v>
    <v>5</v>
    <v>0.09</v>
    <v>0.05</v>
    <v>XLIS</v>
    <v>896512500</v>
    <v>7.9000000000000001E-2</v>
    <v>1994</v>
    <v>7.7499999999999999E-2</v>
    <v>0.37459999999999999</v>
    <v>Euronext Lisbon</v>
    <v>62755880</v>
    <v>A PHAROL, SGPS S.A., anteriormente Portugal Telecom, SGPS, S.A., é uma sociedade aberta. Os ativos da PHAROL incluem a Oi, S.A., títulos de dívida da Rio Forte Investments, S.A. (Rio Forte) e a opção de compra da Oi. A Empresa gere o seu interesse, direto e indireto, na Oi, S.A. As subsidiárias da Empresa incluem a Bratel BV, a Bratel Brasil, S.A., a PTB2, S.A. e a Pharol Brasil.</v>
    <v>XLIS</v>
    <v>7.8399999999999997E-2</v>
    <v>11</v>
    <v>46134.41574074074</v>
    <v>55</v>
    <v>1516720</v>
    <v>EUR</v>
    <v>PHAROL, SGPS S.A.</v>
    <v>PHAROL, SGPS S.A.</v>
    <v>37.095199999999998</v>
    <v>7.8200000000000006E-2</v>
    <v>7.7899999999999997E-2</v>
    <v>Rua Gorgel do Amaral, n4, CV Esq, LISBOA, 1250-119 PT</v>
    <v>Telecommunications Services</v>
    <v>PHR</v>
    <v>Ações</v>
    <v>PHAROL, SGPS S.A. (XLIS:PHR)</v>
    <v>-5.0000000000000001E-4</v>
    <v>-6.378E-3</v>
    <v>87906</v>
  </rv>
  <rv s="2">
    <v>56</v>
  </rv>
  <rv s="0">
    <v>https://www.bing.com/financeapi/forcetrigger?t=alwo2w&amp;q=XLIS%3aRAM&amp;form=skydnc</v>
    <v>Learn more on Bing</v>
  </rv>
  <rv s="1">
    <v>pt-BR</v>
    <v>alwo2w</v>
    <v>268435456</v>
    <v>1</v>
    <v>Da plataforma Refinitiv</v>
    <v>0</v>
    <v>1</v>
    <v>RAMADA INVESTIMENTOS E INDÚSTRIA, S.A. (XLIS:RAM)</v>
    <v>3</v>
    <v>4</v>
    <v>Finance</v>
    <v>5</v>
    <v>8.14</v>
    <v>7.02</v>
    <v>XLIS</v>
    <v>25641460</v>
    <v>7.42</v>
    <v>2008</v>
    <v>7.26</v>
    <v>-8.2699999999999996E-2</v>
    <v>Euronext Lisbon</v>
    <v>190259600</v>
    <v>A Ramada Investimentos e Indústria SA, anteriormente denominada F Ramada Investimentos SGPS SA, é uma holding com sede em Portugal que se dedica principalmente à produção e venda de produtos siderúrgicos e sistemas de armazenamento. A empresa divide os seus negócios em três segmentos: Aço, Sistemas de Armazenamento e Imobiliário. O segmento de Aço consiste no processamento a frio de aços e ligas não ferrosas, incluindo trefilação e usinagem de fios; tratamento térmico de componentes e ferramentas de aço, e distribuição e produção de ferramentas de corte e usinagem para metais. O segmento de Sistemas de Armazenamento inclui a fabricação e distribuição de soluções para as atividades de depósito nas indústrias de logística, alimentos, farmacêutica, papel e automóvel, entre outras. No segmento Imobiliário, a empresa está envolvida na gestão dos seus imóveis, bem como no arrendamento de terras para exploração florestal. A empresa opera através de subsidiárias, como a F Ramada Aços e Indústrias SA.</v>
    <v>XLIS</v>
    <v>7.2</v>
    <v>317</v>
    <v>46134.41608170078</v>
    <v>58</v>
    <v>3090</v>
    <v>EUR</v>
    <v>RAMADA INVESTIMENTOS E INDÚSTRIA, S.A.</v>
    <v>RAMADA INVESTIMENTOS E INDÚSTRIA, S.A.</v>
    <v>21.123100000000001</v>
    <v>7.42</v>
    <v>7.26</v>
    <v>Rua Manuel Pinto de Azevedo, 818, PORTO, PORTO, 4100-320 PT</v>
    <v>Metals &amp; Mining</v>
    <v>RAM</v>
    <v>Ações</v>
    <v>RAMADA INVESTIMENTOS E INDÚSTRIA, S.A. (XLIS:RAM)</v>
    <v>0.06</v>
    <v>8.3330000000000001E-3</v>
    <v>748</v>
  </rv>
  <rv s="2">
    <v>59</v>
  </rv>
  <rv s="0">
    <v>https://www.bing.com/financeapi/forcetrigger?t=amg29c&amp;q=BMEX%3aREN&amp;form=skydnc</v>
    <v>Learn more on Bing</v>
  </rv>
  <rv s="1">
    <v>pt-BR</v>
    <v>amg29c</v>
    <v>268435456</v>
    <v>1</v>
    <v>Da plataforma Refinitiv</v>
    <v>0</v>
    <v>1</v>
    <v>Renta Corp Rl Es (BMEX:REN)</v>
    <v>3</v>
    <v>4</v>
    <v>Finance</v>
    <v>5</v>
    <v>0.93799999999999994</v>
    <v>0.67</v>
    <v>BMEX</v>
    <v>32888510</v>
    <v>0.91800000000000004</v>
    <v>2000</v>
    <v>0.90400000000000003</v>
    <v>0.77680000000000005</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0.92</v>
    <v>39</v>
    <v>46134.388070821093</v>
    <v>61</v>
    <v>56940</v>
    <v>EUR</v>
    <v>Renta Corp Rl Es</v>
    <v>Renta Corp Rl Es</v>
    <v>11.8299</v>
    <v>0.90400000000000003</v>
    <v>0.91800000000000004</v>
    <v>Velazquez 24, 3 Izqda, MADRID, MADRID, 28001 ES</v>
    <v>Real Estate Operations</v>
    <v>REN</v>
    <v>Ações</v>
    <v>Renta Corp Rl Es (BMEX:REN)</v>
    <v>-2E-3</v>
    <v>-2.1740000000000002E-3</v>
    <v>1339</v>
  </rv>
  <rv s="2">
    <v>62</v>
  </rv>
  <rv s="10">
    <v>pt-BR</v>
    <v>cflvim</v>
    <v>268435456</v>
    <v>1</v>
    <v>Da plataforma Refinitiv</v>
    <v>25</v>
    <v>26</v>
    <v>Samba Digital, SGPS, S.A. (XLIS:ALSMB)</v>
    <v>13</v>
    <v>27</v>
    <v>Finance</v>
    <v>5</v>
    <v>14.8</v>
    <v>13</v>
    <v>XLIS</v>
    <v>10000000</v>
    <v>14.8</v>
    <v>2022</v>
    <v>14.8</v>
    <v>Euronext Lisbon</v>
    <v>145000000</v>
    <v>A SAMBA Digital SGPS SA é uma holding pública com sede em Portugal que se dedica aos serviços de comunicação nos setores do desporto e do entretenimento que atua como uma agência de marketing. A Companhia, através de suas subsidiárias SAMBA Digital France SAS e SAMBA Digital Inc, realiza operações em publicidade, comunicações interativas, marketing digital, relações públicas e eventos, gestão de redes sociais, etc. As subsidiárias da Companhia têm o objetivo de apoiar clubes, ligas e empresas de apostas na criação de conteúdo e campanhas de marketing para vários grupos com alcance global, como o Paris Saint Germain, a Bundesliga e a Fórmula 1. Além disso, a empresa fornece serviços de tradução e outras agências de desporto digital.</v>
    <v>XLIS</v>
    <v>14.8</v>
    <v>46111.666666666664</v>
    <v>EUR</v>
    <v>Samba Digital, SGPS, S.A.</v>
    <v>Samba Digital, SGPS, S.A.</v>
    <v>0</v>
    <v>14.8</v>
    <v>14.8</v>
    <v>Escritorio 2 Rua Alfredo Lopes, Vilaverde 15 B, LISBOA, LISBOA, 2774-517 PT</v>
    <v>Media &amp; Publishing</v>
    <v>ALSMB</v>
    <v>Ações</v>
    <v>Samba Digital, SGPS, S.A. (XLIS:ALSMB)</v>
    <v>0</v>
    <v>0</v>
    <v>2</v>
  </rv>
  <rv s="2">
    <v>64</v>
  </rv>
  <rv s="0">
    <v>https://www.bing.com/financeapi/forcetrigger?t=alwopr&amp;q=XLIS%3aSEM&amp;form=skydnc</v>
    <v>Learn more on Bing</v>
  </rv>
  <rv s="8">
    <v>pt-BR</v>
    <v>alwopr</v>
    <v>268435456</v>
    <v>1</v>
    <v>Da plataforma Refinitiv</v>
    <v>19</v>
    <v>20</v>
    <v>SEMAPA - SOCIEDADE DE INVESTIMENTO E GESTÃO, SGPS, S.A. (XLIS:SEM)</v>
    <v>3</v>
    <v>21</v>
    <v>Finance</v>
    <v>5</v>
    <v>24.7</v>
    <v>15.64</v>
    <v>XLIS</v>
    <v>81270000</v>
    <v>23</v>
    <v>22.6</v>
    <v>0.67600000000000005</v>
    <v>Euronext Lisbon</v>
    <v>1804194000</v>
    <v>A SEMAPA - SOCIEDADE DE INVESTIMENTO E GESTÃO, SGPS, S.A. é uma holding sediada em Portugal empenhada em três segmentos de atividade: papel e pasta de papel; cimento e derivados, e meio-ambiente. O segmento comercial do papel e pasta de papel, operado pela subsidiária Portucel, S.A., ocupa-se da produção e venda de pasta de celulose e papel, bem como da produção agrícola e de silvicultura. O segmento comercial do cimento e derivados, operado pela subsidiária Secil - Companhia Geral de Cal e Cimento, S.A., desenvolve a sua atividade no fabrico e venda de cimento, betão pronto, argamassas secas pré-preparadas, betão pré-fabricado e cal hidráulica. O segmento comercial do meio-ambiente, operado pela subsidiária ETSA - Investimentos, SGPS, S.A., ocupa-se da recolha, transporte, armazenamento, processamento e recuperação de subprodutos animais, bem como da recolha e reciclagem de óleo de culinária usado. A Empresa, através das suas subsidiárias, opera na Tunísia, Espanha, Angola, Polónia e França, entre outros.</v>
    <v>XLIS</v>
    <v>22.6</v>
    <v>8475</v>
    <v>46134.421655092592</v>
    <v>66</v>
    <v>16240</v>
    <v>EUR</v>
    <v>SEMAPA - SOCIEDADE DE INVESTIMENTO E GESTÃO, SGPS, S.A.</v>
    <v>SEMAPA - SOCIEDADE DE INVESTIMENTO E GESTÃO, SGPS, S.A.</v>
    <v>11.730499999999999</v>
    <v>22.6</v>
    <v>23</v>
    <v>Av. Fontes Pereira de Melo, 14-10, LISBOA, LISBOA, 1050-121 PT</v>
    <v>Paper &amp; Forest Products</v>
    <v>SEM</v>
    <v>Ações</v>
    <v>SEMAPA - SOCIEDADE DE INVESTIMENTO E GESTÃO, SGPS, S.A. (XLIS:SEM)</v>
    <v>0.4</v>
    <v>1.7698999999999999E-2</v>
    <v>9630</v>
  </rv>
  <rv s="2">
    <v>67</v>
  </rv>
  <rv s="0">
    <v>https://www.bing.com/financeapi/forcetrigger?t=alwp27&amp;q=XLIS%3aSON&amp;form=skydnc</v>
    <v>Learn more on Bing</v>
  </rv>
  <rv s="1">
    <v>pt-BR</v>
    <v>alwp27</v>
    <v>268435456</v>
    <v>1</v>
    <v>Da plataforma Refinitiv</v>
    <v>0</v>
    <v>1</v>
    <v>Sonae, SGPS, SA (XLIS:SON)</v>
    <v>3</v>
    <v>4</v>
    <v>Finance</v>
    <v>5</v>
    <v>2.08</v>
    <v>1.04</v>
    <v>XLIS</v>
    <v>2000000000</v>
    <v>1.994</v>
    <v>1959</v>
    <v>1.96</v>
    <v>0.9264</v>
    <v>Euronext Lisbon</v>
    <v>3320000000</v>
    <v>A SONAE - SGPS, S.A. é uma holding sediada em Portugal, que se desenvolve principalmente dentro do comércio a retalho de alimentos. A Empresa divide o seu negócio em seis segmentos: Sonae MC, que se ocupa das vendas a retalho na área alimentar, principalmente através de hipermercados, supermercados e lojas locais alimentares franqueadas; Sonae Sierra, que desenvolve e gere centros comerciais; Sonae SR, que inclui estabelecimentos de comércio a retalho especializados, como por exemplo, lojas de componentes eletrónicos, lojas de artigos de desporto e lojas de moda; Sonae RP, com atividade no sector imobiliário; Sonaecom, que presta serviços integrados de telecomunicações e o Investment Management, que apoia as atividades da Empresa, através da gestão da carteira de ativos. A carteira da Empresa inclui o Continente, Modalfa, Worten, Losan e marcas da Zippy, entre outras. A Empresa opera em aproximadamente 66 países, incluindo Portugal, Espanha, Grécia, Alemanha, Itália, Turquia e Brasil, entre outros.</v>
    <v>XLIS</v>
    <v>1.956</v>
    <v>44478</v>
    <v>46134.422677337498</v>
    <v>69</v>
    <v>1729740</v>
    <v>EUR</v>
    <v>Sonae, SGPS, SA</v>
    <v>Sonae, SGPS, SA</v>
    <v>19.239000000000001</v>
    <v>1.966</v>
    <v>1.972</v>
    <v>Lugar do Espido, Via Norte,, MAIA, 4471-909 PT</v>
    <v>Food &amp; Drug Retailing</v>
    <v>SON</v>
    <v>Ações</v>
    <v>Sonae, SGPS, SA (XLIS:SON)</v>
    <v>1.6E-2</v>
    <v>8.1799999999999998E-3</v>
    <v>701399</v>
  </rv>
  <rv s="2">
    <v>70</v>
  </rv>
  <rv s="0">
    <v>https://www.bing.com/financeapi/forcetrigger?t=alwpgh&amp;q=XLIS%3aTDSA&amp;form=skydnc</v>
    <v>Learn more on Bing</v>
  </rv>
  <rv s="1">
    <v>pt-BR</v>
    <v>alwpgh</v>
    <v>268435456</v>
    <v>1</v>
    <v>Da plataforma Refinitiv</v>
    <v>0</v>
    <v>1</v>
    <v>TEIXEIRA DUARTE, S.A. (XLIS:TDSA)</v>
    <v>3</v>
    <v>4</v>
    <v>Finance</v>
    <v>5</v>
    <v>0.81</v>
    <v>0.16</v>
    <v>XLIS</v>
    <v>420000000</v>
    <v>0.43149999999999999</v>
    <v>2009</v>
    <v>0.42399999999999999</v>
    <v>0.87649999999999995</v>
    <v>Euronext Lisbon</v>
    <v>257040000</v>
    <v>A Teixeira Duarte SA é uma empresa com sede em Portugal e que se dedica principalmente ao setor da construção. As atividades da empresa estão divididas em sete segmentos de negócios: Construção, envolvidos em obras geotécnicas e de reabilitação, construção de edifícios e infraestrutura, bem como engenharia mecânica, entre outros; Concessões e Serviços, que opera autoestradas, unidades de recolha e tratamento de resíduos, administra propriedades e plantas de produção de cimento, entre outras; Mobiliária, que oferece desenvolvimento e gestão de imóveis residenciais, comerciais, de saúde, lazer, industriais e logísticos; Serviços de hotelaria, envolvidos na operação de hotéis e clubes de saúde; Distribuição, que consiste em produtos alimentícios no mercado de vendas e lojas de retalho, bem como na operação de lojas com utensílios domésticos; Energia, que atua na operação de postos de gasolina, distribuição de gás natural e venda de equipamentos de energia solar, entre outros, e Automotiva, que envolve a venda de automóveis e camiões.</v>
    <v>XLIS</v>
    <v>0.42749999999999999</v>
    <v>10530</v>
    <v>46134.422430555554</v>
    <v>72</v>
    <v>4578460</v>
    <v>EUR</v>
    <v>TEIXEIRA DUARTE, S.A.</v>
    <v>TEIXEIRA DUARTE, S.A.</v>
    <v>3.0903999999999998</v>
    <v>0.43</v>
    <v>0.42399999999999999</v>
    <v>Lagoas Park, Edificio 2, PORTO SALVO, 2740-265 PT</v>
    <v>Construction &amp; Engineering</v>
    <v>TDSA</v>
    <v>Ações</v>
    <v>TEIXEIRA DUARTE, S.A. (XLIS:TDSA)</v>
    <v>-3.5000000000000001E-3</v>
    <v>-8.1869999999999998E-3</v>
    <v>761091</v>
  </rv>
  <rv s="2">
    <v>73</v>
  </rv>
  <rv s="0">
    <v>https://www.bing.com/financeapi/forcetrigger?t=alwmoc&amp;q=XLIS%3aNVG&amp;form=skydnc</v>
    <v>Learn more on Bing</v>
  </rv>
  <rv s="1">
    <v>pt-BR</v>
    <v>alwmoc</v>
    <v>268435456</v>
    <v>1</v>
    <v>Da plataforma Refinitiv</v>
    <v>0</v>
    <v>1</v>
    <v>THE NAVIGATOR COMPANY, S.A. (XLIS:NVG)</v>
    <v>3</v>
    <v>4</v>
    <v>Finance</v>
    <v>5</v>
    <v>3.67</v>
    <v>2.89</v>
    <v>XLIS</v>
    <v>711183000</v>
    <v>3.39</v>
    <v>1993</v>
    <v>3.3719999999999999</v>
    <v>0.39810000000000001</v>
    <v>Euronext Lisbon</v>
    <v>2356861000</v>
    <v>THE NAVIGATOR COMPANY, S.A., anteriormente Portucel, S.A., é uma empresa sediada em Portugal, com atividade principalmente nas operações de fabrico do papel. As atividades da Empresa estão estruturadas em quatro segmentos: papel, pasta de papel, energia e silvicultura. O segmento do papel oferece papel não revestido e de escrita. O segmento da pasta de papel fornece pasta branqueada de eucalipto. O segmento da energia produz principalmente energia a partir dos combustíveis de biomassa no processo de cogeração, bem como produz calor para consumo interno. O segmento da silvicultura é responsável pela manutenção de viveiros de eucaliptos. Além disso, a Empresa disponibiliza papel de escritório e papel gráfico sob várias marcas comerciais, tais como a Navigator, Pioneer e Inacopia. A Empresa é uma subsidiária da Semapa - Sociedade de Investimento e Gestão, SGPS, S.A.</v>
    <v>XLIS</v>
    <v>3.3759999999999999</v>
    <v>3919</v>
    <v>46134.421527777777</v>
    <v>75</v>
    <v>699200</v>
    <v>EUR</v>
    <v>THE NAVIGATOR COMPANY, S.A.</v>
    <v>THE NAVIGATOR COMPANY, S.A.</v>
    <v>16.666699999999999</v>
    <v>3.3719999999999999</v>
    <v>3.39</v>
    <v>Peninsula da Mitrena, Sado, NaN, SETUBAL, SETUBAL, 2910-738 PT</v>
    <v>Paper &amp; Forest Products</v>
    <v>NVG</v>
    <v>Ações</v>
    <v>THE NAVIGATOR COMPANY, S.A. (XLIS:NVG)</v>
    <v>1.4E-2</v>
    <v>4.1470000000000005E-3</v>
    <v>41469</v>
  </rv>
  <rv s="2">
    <v>76</v>
  </rv>
  <rv s="0">
    <v>https://www.bing.com/financeapi/forcetrigger?t=alwok2&amp;q=XLIS%3aSCT&amp;form=skydnc</v>
    <v>Learn more on Bing</v>
  </rv>
  <rv s="1">
    <v>pt-BR</v>
    <v>alwok2</v>
    <v>268435456</v>
    <v>1</v>
    <v>Da plataforma Refinitiv</v>
    <v>0</v>
    <v>1</v>
    <v>TOYOTA CAETANO PORTUGAL, S.A. (XLIS:SCT)</v>
    <v>3</v>
    <v>4</v>
    <v>Finance</v>
    <v>5</v>
    <v>7.5</v>
    <v>5.45</v>
    <v>XLIS</v>
    <v>35000000</v>
    <v>7.3</v>
    <v>1946</v>
    <v>7.3</v>
    <v>0.28910000000000002</v>
    <v>Euronext Lisbon</v>
    <v>231000000</v>
    <v>A TOYOTA CAETANO PORTUGAL, S.A. é uma empresa sediada em Portugal, envolvida na indústria automóvel. A Empresa desenvolve a sua atividade na área da importação, montagem e venda de automóveis de passageiros, veículos pesados e equipamento industrial, bem como da venda de peças sobresselentes para veículos motorizados e prestação de serviços técnicos pós-venda relacionados. A Toyota Caetano ocupa-se da importação e distribuição de produtos sob as marcas comerciais Toyota, Lexus e BT. Opera uma instalação industrial na cidade portuguesa de Ovar. Adicionalmente, a Empresa desenvolve o aluguer de equipamento industrial para movimento de carga. A Empresa opera a nível nacional e no estrangeiro, incluindo Alemanha, Reino Unido e Espanha, entre outros. Em 31 de dezembro de 2011, a Toyota Caetano teve três subsidiárias diretas: Saltano - Investimentos e Gestão, SGPS, S.A., Cabo Verde Motors, SARL e Movicargo - Movimentação Industrial, Lda.</v>
    <v>XLIS</v>
    <v>7.3</v>
    <v>1681</v>
    <v>46134.395890890628</v>
    <v>78</v>
    <v>270</v>
    <v>EUR</v>
    <v>TOYOTA CAETANO PORTUGAL, S.A.</v>
    <v>TOYOTA CAETANO PORTUGAL, S.A.</v>
    <v>10.541499999999999</v>
    <v>7.3</v>
    <v>7.3</v>
    <v>Av. Vasco da Gama, n 1410, VILA NOVA DE GAIA, 4431-956 PT</v>
    <v>Automobiles &amp; Auto Parts</v>
    <v>SCT</v>
    <v>Ações</v>
    <v>TOYOTA CAETANO PORTUGAL, S.A. (XLIS:SCT)</v>
    <v>0</v>
    <v>0</v>
    <v>500</v>
  </rv>
  <rv s="2">
    <v>79</v>
  </rv>
  <rv s="0">
    <v>https://www.bing.com/financeapi/forcetrigger?t=alwpm7&amp;q=XLIS%3aVAF&amp;form=skydnc</v>
    <v>Learn more on Bing</v>
  </rv>
  <rv s="8">
    <v>pt-BR</v>
    <v>alwpm7</v>
    <v>268435456</v>
    <v>1</v>
    <v>Da plataforma Refinitiv</v>
    <v>19</v>
    <v>20</v>
    <v>VAA - VISTA ALEGRE ATLANTIS, SGPS, S.A. (XLIS:VAF)</v>
    <v>3</v>
    <v>21</v>
    <v>Finance</v>
    <v>5</v>
    <v>1.1499999999999999</v>
    <v>0.93</v>
    <v>XLIS</v>
    <v>167650100</v>
    <v>1.1000000000000001</v>
    <v>1.1000000000000001</v>
    <v>-8.3000000000000001E-3</v>
    <v>Euronext Lisbon</v>
    <v>177709100</v>
    <v>A VAA - VISTA ALEGRE ATLANTIS, SGPS, S.A. é uma holding sediada em Portugal, envolvida principalmente na produção e venda de artigos de porcelana, faiança, pratos de ir ao forno, cristal e vidro manual. A empresa possui várias subsidiárias diretas, incluindo Vista Alegre Atlantis, S.A., que está envolvida na produção e venda de porcelana, cristal, pratos de ir ao forno, faiança e produtos de vidro; VA-Vista Alegre Espanha, S.A., que se ocupa da distribuição e da venda a retalho de cristal e produtos cerâmicos em Espanha; VA Grupo-Vista Alegre Participações, S.A., que se ocupa da gestão de bens imobiliários; Faianças da Capoa-Indústria de Cerâmica, S.A., que gere a fábrica em Aradas, Portugal, onde a VAA produz a faiança; Cerexport-Cerâmica de Exportação, S.A., que gere a fábrica em Esgueira, Portugal, onde a VAA produz pratos de ir ao forno; e VA Renting, Lda., que oferece o aluguer de longa duração de pratos, talheres e utensílios, para a indústria hoteleira.</v>
    <v>XLIS</v>
    <v>1.1000000000000001</v>
    <v>2230</v>
    <v>46134.291903691403</v>
    <v>81</v>
    <v>2150</v>
    <v>EUR</v>
    <v>VAA - VISTA ALEGRE ATLANTIS, SGPS, S.A.</v>
    <v>VAA - VISTA ALEGRE ATLANTIS, SGPS, S.A.</v>
    <v>65.088800000000006</v>
    <v>1.1000000000000001</v>
    <v>1.1000000000000001</v>
    <v>Lugar de Vista Alegre, Sao Salvador, NaN, ILHAVO, AVEIRO, 3830-292 PT</v>
    <v>Household Goods</v>
    <v>VAF</v>
    <v>Ações</v>
    <v>VAA - VISTA ALEGRE ATLANTIS, SGPS, S.A. (XLIS:VAF)</v>
    <v>0</v>
    <v>0</v>
    <v>250</v>
  </rv>
  <rv s="2">
    <v>82</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Ativos líquidos"/>
    <k n="Classificação"/>
    <k n="Fechamento anterior"/>
    <k n="Hora da última transação"/>
    <k n="Last update time"/>
    <k n="Moeda" t="s"/>
    <k n="Nome" t="s"/>
    <k n="País/região" t="s"/>
    <k n="Preço"/>
    <k n="Retorno (1 a)"/>
    <k n="Retorno (1 m)"/>
    <k n="Retorno (1 s)"/>
    <k n="Retorno (3 a)"/>
    <k n="Retorno (3 m)"/>
    <k n="Retorno (5 a)"/>
    <k n="Retorno (AAD)"/>
    <k n="Símbolo do ticker" t="s"/>
    <k n="Tipo de instrumento" t="s"/>
    <k n="UniqueName" t="s"/>
    <k n="Variação"/>
    <k n="Variação (%)"/>
  </s>
  <s t="_error">
    <k n="errorType" t="i"/>
    <k n="field" t="s"/>
    <k n="subType" t="i"/>
  </s>
  <s t="_error">
    <k n="errorType" t="i"/>
    <k n="propagated" t="b"/>
  </s>
  <s t="_linkedentitycore">
    <k n="%EntityCulture" t="s"/>
    <k n="%EntityId" t="s"/>
    <k n="%EntityServiceId"/>
    <k n="%IsRefreshable" t="b"/>
    <k n="%OutdatedReason" t="i"/>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uncionários"/>
    <k n="Hora da última transação"/>
    <k n="Moeda" t="s"/>
    <k n="Nome" t="s"/>
    <k n="Nome oficial" t="s"/>
    <k n="P/E"/>
    <k n="Sede" t="s"/>
    <k n="Setor" t="s"/>
    <k n="Símbolo do ticker" t="s"/>
    <k n="Tipo de instrumento" t="s"/>
    <k n="UniqueName" t="s"/>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Hora da última transação"/>
    <k n="Moeda" t="s"/>
    <k n="Nome" t="s"/>
    <k n="Nome oficial" t="s"/>
    <k n="P/E"/>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7">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Preço</v>
      <v t="s">Símbolo do ticker</v>
      <v t="s">País/região</v>
      <v t="s">_SubLabel</v>
      <v t="s">Variação</v>
      <v t="s">Variação (%)</v>
      <v t="s">Classificação</v>
      <v t="s">Fechamento anterior</v>
      <v t="s">Retorno (AAD)</v>
      <v t="s">Retorno (1 s)</v>
      <v t="s">Retorno (1 m)</v>
      <v t="s">Retorno (3 m)</v>
      <v t="s">Retorno (1 a)</v>
      <v t="s">Retorno (3 a)</v>
      <v t="s">Retorno (5 a)</v>
      <v t="s">Ativos líquidos</v>
      <v t="s">_Flags</v>
      <v t="s">Last update time</v>
      <v t="s">Hora da última transação</v>
      <v t="s">Tipo de instrumento</v>
      <v t="s">Moeda</v>
      <v t="s">UniqueName</v>
      <v t="s">_DisplayString</v>
      <v t="s">%ProviderInfo</v>
    </a>
    <a count="34">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52 semanas de alta</v>
      <v t="s">52 semanas de baixa</v>
      <v t="s">Volume</v>
      <v t="s">Beta</v>
      <v t="s">P/E</v>
      <v t="s">Ações em circulação</v>
      <v t="s">Descrição</v>
      <v t="s">Funcionários</v>
      <v t="s">Sede</v>
      <v t="s">Setor</v>
      <v t="s">Tipo de instrumento</v>
      <v t="s">Ano de incorporação</v>
      <v t="s">_Flags</v>
      <v t="s">UniqueName</v>
      <v t="s">_DisplayString</v>
      <v t="s">ExchangeID</v>
      <v t="s">%ProviderInfo</v>
      <v t="s">%OutdatedReason</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Sede</v>
      <v t="s">Setor</v>
      <v t="s">Tipo de instrumento</v>
      <v t="s">Ano de incorporação</v>
      <v t="s">_Flags</v>
      <v t="s">UniqueName</v>
      <v t="s">_DisplayString</v>
      <v t="s">ExchangeID</v>
      <v t="s">%ProviderInfo</v>
    </a>
  </spbArrays>
  <spbData count="28">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Atraso de 15 minutos</v>
      <v xml:space="preserve">do fechamento anterior </v>
      <v xml:space="preserve">do fechamento anterior </v>
      <v>GMT</v>
    </spb>
    <spb s="6">
      <v>Name</v>
      <v>Currency</v>
      <v>Price</v>
      <v>Change</v>
      <v>UniqueName</v>
      <v>Country/region</v>
      <v>Change (%)</v>
      <v>%ProviderInfo</v>
      <v>Rating</v>
      <v>Return (1y)</v>
      <v>Return (1m)</v>
      <v>Return (1w)</v>
      <v>Return (3y)</v>
      <v>Return (3m)</v>
      <v>Return (5y)</v>
      <v>Return (YTD)</v>
      <v>Net assets</v>
      <v>Last update time</v>
      <v>Ticker symbol</v>
      <v>Previous close</v>
      <v>Instrument type</v>
      <v>Last trade time</v>
    </spb>
    <spb s="7">
      <v>1</v>
      <v>Name</v>
    </spb>
    <spb s="8">
      <v>2</v>
      <v>2</v>
      <v>2</v>
    </spb>
    <spb s="9">
      <v>3</v>
      <v>2</v>
      <v>2</v>
      <v>5</v>
      <v>4</v>
      <v>5</v>
      <v>5</v>
      <v>5</v>
      <v>5</v>
      <v>5</v>
      <v>5</v>
      <v>5</v>
      <v>8</v>
      <v>9</v>
      <v>6</v>
      <v>2</v>
      <v>10</v>
    </spb>
    <spb s="10">
      <v xml:space="preserve">do fechamento anterior </v>
      <v xml:space="preserve">do fechamento anterior </v>
      <v>GMT</v>
      <v>GMT</v>
    </spb>
    <spb s="11">
      <v>P/E</v>
      <v>Beta</v>
      <v>Name</v>
      <v>Headquarters</v>
      <v>Exchange</v>
      <v>Currency</v>
      <v>Industry</v>
      <v>Volume</v>
      <v>Description</v>
      <v>ExchangeID</v>
      <v>UniqueName</v>
      <v>Employees</v>
      <v>Official name</v>
      <v>%ProviderInfo</v>
      <v>Ticker symbol</v>
      <v>52 week high</v>
      <v>52 week low</v>
      <v>Year incorporated</v>
      <v>Shares outstanding</v>
      <v>Instrument type</v>
      <v>Exchange abbreviation</v>
      <v>Last trade time</v>
    </spb>
    <spb s="7">
      <v>2</v>
      <v>Name</v>
    </spb>
    <spb s="12">
      <v>2</v>
      <v>2</v>
      <v>2</v>
    </spb>
    <spb s="13">
      <v>1</v>
      <v>1</v>
      <v>3</v>
      <v>4</v>
      <v>4</v>
      <v>6</v>
      <v>11</v>
      <v>11</v>
      <v>7</v>
      <v>4</v>
      <v>9</v>
    </spb>
    <spb s="14">
      <v>GMT</v>
    </spb>
    <spb s="15">
      <v>P/E</v>
      <v>High</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3</v>
      <v>Name</v>
      <v>LearnMoreOnLink</v>
    </spb>
    <spb s="16">
      <v>1</v>
      <v>2</v>
      <v>3</v>
      <v>2</v>
      <v>2</v>
      <v>4</v>
      <v>2</v>
      <v>2</v>
      <v>4</v>
      <v>5</v>
      <v>6</v>
      <v>2</v>
      <v>2</v>
      <v>7</v>
      <v>4</v>
      <v>2</v>
      <v>8</v>
      <v>9</v>
    </spb>
    <spb s="17">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4</v>
      <v>Name</v>
      <v>LearnMoreOnLink</v>
    </spb>
    <spb s="18">
      <v>1</v>
      <v>2</v>
      <v>1</v>
      <v>3</v>
      <v>2</v>
      <v>2</v>
      <v>4</v>
      <v>2</v>
      <v>2</v>
      <v>4</v>
      <v>5</v>
      <v>4</v>
      <v>6</v>
      <v>2</v>
      <v>2</v>
      <v>4</v>
      <v>2</v>
      <v>8</v>
      <v>9</v>
    </spb>
    <spb s="19">
      <v>P/E</v>
      <v>High</v>
      <v>Beta</v>
      <v>Name</v>
      <v>Headquarters</v>
      <v>Low</v>
      <v>Exchange</v>
      <v>Currency</v>
      <v>Price</v>
      <v>Industry</v>
      <v>Volume</v>
      <v>Change</v>
      <v>Description</v>
      <v>Open</v>
      <v>ExchangeID</v>
      <v>UniqueName</v>
      <v>Employees</v>
      <v>Official name</v>
      <v>Change (%)</v>
      <v>%ProviderInfo</v>
      <v>LearnMoreOnLink</v>
      <v>Ticker symbol</v>
      <v>52 week high</v>
      <v>52 week low</v>
      <v>Shares outstanding</v>
      <v>Previous close</v>
      <v>Instrument type</v>
      <v>Exchange abbreviation</v>
      <v>Market cap</v>
      <v>Last trade time</v>
    </spb>
    <spb s="1">
      <v>5</v>
      <v>Name</v>
      <v>LearnMoreOnLink</v>
    </spb>
    <spb s="20">
      <v>1</v>
      <v>2</v>
      <v>1</v>
      <v>3</v>
      <v>2</v>
      <v>2</v>
      <v>4</v>
      <v>2</v>
      <v>2</v>
      <v>4</v>
      <v>5</v>
      <v>6</v>
      <v>2</v>
      <v>2</v>
      <v>4</v>
      <v>2</v>
      <v>8</v>
      <v>9</v>
    </spb>
    <spb s="21">
      <v>P/E</v>
      <v>High</v>
      <v>Name</v>
      <v>Headquarters</v>
      <v>Low</v>
      <v>Exchange</v>
      <v>Currency</v>
      <v>Price</v>
      <v>Industry</v>
      <v>Volume</v>
      <v>Change</v>
      <v>Description</v>
      <v>Open</v>
      <v>ExchangeID</v>
      <v>UniqueName</v>
      <v>Official name</v>
      <v>Change (%)</v>
      <v>%ProviderInfo</v>
      <v>Ticker symbol</v>
      <v>52 week high</v>
      <v>52 week low</v>
      <v>Year incorporated</v>
      <v>Shares outstanding</v>
      <v>Previous close</v>
      <v>Instrument type</v>
      <v>Exchange abbreviation</v>
      <v>Market cap</v>
      <v>Last trade time</v>
    </spb>
    <spb s="7">
      <v>6</v>
      <v>Name</v>
    </spb>
    <spb s="22">
      <v>1</v>
      <v>2</v>
      <v>3</v>
      <v>2</v>
      <v>2</v>
      <v>4</v>
      <v>2</v>
      <v>2</v>
      <v>5</v>
      <v>6</v>
      <v>2</v>
      <v>2</v>
      <v>7</v>
      <v>4</v>
      <v>2</v>
      <v>8</v>
      <v>9</v>
    </spb>
  </spbData>
</supportingPropertyBags>
</file>

<file path=xl/richData/rdsupportingpropertybagstructure.xml><?xml version="1.0" encoding="utf-8"?>
<spbStructures xmlns="http://schemas.microsoft.com/office/spreadsheetml/2017/richdata2" count="23">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ome" t="s"/>
    <k n="Moeda" t="s"/>
    <k n="Preço" t="s"/>
    <k n="Variação" t="s"/>
    <k n="UniqueName" t="s"/>
    <k n="País/região" t="s"/>
    <k n="Variação (%)" t="s"/>
    <k n="%ProviderInfo" t="s"/>
    <k n="Classificação" t="s"/>
    <k n="Retorno (1 a)" t="s"/>
    <k n="Retorno (1 m)" t="s"/>
    <k n="Retorno (1 s)" t="s"/>
    <k n="Retorno (3 a)" t="s"/>
    <k n="Retorno (3 m)" t="s"/>
    <k n="Retorno (5 a)" t="s"/>
    <k n="Retorno (AAD)" t="s"/>
    <k n="Ativos líquidos" t="s"/>
    <k n="Last update time" t="s"/>
    <k n="Símbolo do ticker" t="s"/>
    <k n="Fechamento anterior" t="s"/>
    <k n="Tipo de instrumento" t="s"/>
    <k n="Hora da última transação" t="s"/>
  </s>
  <s>
    <k n="^Order" t="spba"/>
    <k n="TitleProperty" t="s"/>
  </s>
  <s>
    <k n="UniqueName" t="spb"/>
    <k n="`%ProviderInfo" t="spb"/>
    <k n="Last update time" t="spb"/>
  </s>
  <s>
    <k n="Nome" t="i"/>
    <k n="Preço" t="i"/>
    <k n="Variação" t="i"/>
    <k n="Variação (%)" t="i"/>
    <k n="Classificação" t="i"/>
    <k n="Retorno (1 a)" t="i"/>
    <k n="Retorno (1 m)" t="i"/>
    <k n="Retorno (1 s)" t="i"/>
    <k n="Retorno (3 a)" t="i"/>
    <k n="Retorno (3 m)" t="i"/>
    <k n="Retorno (5 a)" t="i"/>
    <k n="Retorno (AAD)" t="i"/>
    <k n="Ativos líquidos" t="i"/>
    <k n="Last update time" t="i"/>
    <k n="`%EntityServiceId" t="i"/>
    <k n="Fechamento anterior" t="i"/>
    <k n="Hora da última transação" t="i"/>
  </s>
  <s>
    <k n="Variação" t="s"/>
    <k n="Variação (%)" t="s"/>
    <k n="Last update time" t="s"/>
    <k n="Hora da última transação" t="s"/>
  </s>
  <s>
    <k n="P/E" t="s"/>
    <k n="Beta" t="s"/>
    <k n="Nome" t="s"/>
    <k n="Sede" t="s"/>
    <k n="Bolsa" t="s"/>
    <k n="Moeda" t="s"/>
    <k n="Setor" t="s"/>
    <k n="Volume" t="s"/>
    <k n="Descrição" t="s"/>
    <k n="ExchangeID" t="s"/>
    <k n="UniqueName" t="s"/>
    <k n="Funcionários" t="s"/>
    <k n="Nome oficial" t="s"/>
    <k n="%ProviderInfo" t="s"/>
    <k n="Símbolo do ticker" t="s"/>
    <k n="52 semanas de alta" t="s"/>
    <k n="52 semanas de baixa" t="s"/>
    <k n="Ano de incorporação" t="s"/>
    <k n="Ações em circulação" t="s"/>
    <k n="Tipo de instrumento" t="s"/>
    <k n="Abreviatura do câmbio" t="s"/>
    <k n="Hora da última transação" t="s"/>
  </s>
  <s>
    <k n="ExchangeID" t="spb"/>
    <k n="UniqueName" t="spb"/>
    <k n="`%ProviderInfo" t="spb"/>
  </s>
  <s>
    <k n="P/E" t="i"/>
    <k n="Beta" t="i"/>
    <k n="Nome" t="i"/>
    <k n="Volume" t="i"/>
    <k n="Funcionários" t="i"/>
    <k n="`%EntityServiceId" t="i"/>
    <k n="52 semanas de alta" t="i"/>
    <k n="52 semanas de baixa" t="i"/>
    <k n="Ano de incorporação" t="i"/>
    <k n="Ações em circulação" t="i"/>
    <k n="Hora da última transação" t="i"/>
  </s>
  <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52 semanas de alta" t="i"/>
    <k n="52 semanas de baixa"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h:mm"/>
    </x:dxf>
    <x:dxf>
      <x:numFmt numFmtId="19" formatCode="dd/mm/yyyy"/>
    </x:dxf>
  </dxfs>
  <richProperties>
    <rPr n="NumberFormat" t="s"/>
    <rPr n="IsTitleField" t="b"/>
  </richProperties>
  <richStyles>
    <rSty dxfid="0">
      <rpv i="0">#,##0.00</rpv>
    </rSty>
    <rSty dxfid="1">
      <rpv i="0">_([$€-x-euro2] * #,##0.00_);_([$€-x-euro2] * (#,##0.00);_([$€-x-euro2] * "-"??_);_(@_)</rpv>
    </rSty>
    <rSty>
      <rpv i="1">1</rpv>
    </rSty>
    <rSty dxfid="2">
      <rpv i="0">#,##0</rpv>
    </rSty>
    <rSty dxfid="3"/>
    <rSty dxfid="4">
      <rpv i="0">0.00</rpv>
    </rSty>
    <rSty dxfid="5">
      <rpv i="0">0</rpv>
    </rSty>
    <rSty dxfid="1">
      <rpv i="0">_([$€-x-euro2] * #,##0_);_([$€-x-euro2] * (#,##0);_([$€-x-euro2] * "-"_);_(@_)</rpv>
    </rSty>
    <rSty dxfid="6"/>
    <rSty dxfid="7"/>
    <rSty dxfid="1">
      <rpv i="0">_([$$-en-US]* #,##0.00_);_([$$-en-US]* (#,##0.00);_([$$-en-US]*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9C915-ACB2-474A-9AA9-1ED59B3D6E33}">
  <dimension ref="A1:M46"/>
  <sheetViews>
    <sheetView tabSelected="1" workbookViewId="0">
      <pane xSplit="3" ySplit="2" topLeftCell="D20" activePane="bottomRight" state="frozen"/>
      <selection pane="topRight" activeCell="D1" sqref="D1"/>
      <selection pane="bottomLeft" activeCell="A3" sqref="A3"/>
      <selection pane="bottomRight" activeCell="C40" sqref="C40"/>
    </sheetView>
  </sheetViews>
  <sheetFormatPr defaultRowHeight="14.25" x14ac:dyDescent="0.2"/>
  <cols>
    <col min="1" max="1" width="9.125" bestFit="1" customWidth="1"/>
    <col min="2" max="2" width="13.375" customWidth="1"/>
    <col min="3" max="3" width="29.875" customWidth="1"/>
    <col min="5" max="5" width="21" customWidth="1"/>
    <col min="8" max="8" width="19.625" customWidth="1"/>
    <col min="9" max="9" width="9.125" bestFit="1" customWidth="1"/>
    <col min="10" max="10" width="11.875" bestFit="1" customWidth="1"/>
    <col min="11" max="11" width="12" customWidth="1"/>
    <col min="12" max="12" width="14.25" bestFit="1" customWidth="1"/>
    <col min="13" max="13" width="11.5" bestFit="1" customWidth="1"/>
  </cols>
  <sheetData>
    <row r="1" spans="1:13" ht="15" x14ac:dyDescent="0.25">
      <c r="A1" s="1"/>
      <c r="B1" s="6"/>
      <c r="C1" s="6"/>
      <c r="D1" s="6"/>
      <c r="E1" s="6"/>
      <c r="F1" s="6"/>
      <c r="G1" s="6"/>
      <c r="H1" s="6"/>
      <c r="I1" s="6"/>
    </row>
    <row r="2" spans="1:13" ht="15" x14ac:dyDescent="0.25">
      <c r="A2" s="1"/>
      <c r="B2" s="6" t="s">
        <v>97</v>
      </c>
      <c r="C2" s="6" t="s">
        <v>137</v>
      </c>
      <c r="D2" s="6" t="s">
        <v>0</v>
      </c>
      <c r="E2" s="6" t="s">
        <v>1</v>
      </c>
      <c r="F2" s="6" t="s">
        <v>2</v>
      </c>
      <c r="G2" s="6" t="s">
        <v>3</v>
      </c>
      <c r="H2" s="6" t="s">
        <v>145</v>
      </c>
      <c r="I2" s="6" t="s">
        <v>95</v>
      </c>
      <c r="J2" s="6" t="s">
        <v>4</v>
      </c>
      <c r="K2" s="6" t="s">
        <v>96</v>
      </c>
      <c r="L2" s="6" t="s">
        <v>138</v>
      </c>
      <c r="M2" s="6" t="s">
        <v>139</v>
      </c>
    </row>
    <row r="3" spans="1:13" x14ac:dyDescent="0.2">
      <c r="B3" s="7" t="s">
        <v>5</v>
      </c>
      <c r="C3" s="7" t="e" vm="1">
        <v>#VALUE!</v>
      </c>
      <c r="D3" s="7" t="s">
        <v>98</v>
      </c>
      <c r="E3" s="7" t="s">
        <v>6</v>
      </c>
      <c r="F3" s="7" t="s">
        <v>7</v>
      </c>
      <c r="G3" s="7" t="s">
        <v>8</v>
      </c>
      <c r="H3" s="9" cm="1">
        <f t="array" aca="1" ref="H3" ca="1">+_FV(C3,"Capitalização de mercado",TRUE)</f>
        <v>938477400</v>
      </c>
      <c r="I3" s="7">
        <v>413622</v>
      </c>
      <c r="J3" s="7">
        <v>1797426.5349999999</v>
      </c>
      <c r="K3" s="7">
        <v>4.33</v>
      </c>
      <c r="L3" s="4" cm="1">
        <f t="array" aca="1" ref="L3" ca="1">+_FV(C3,"Preço")</f>
        <v>4.91</v>
      </c>
      <c r="M3" s="5">
        <f ca="1">+L3/K3-1</f>
        <v>0.13394919168591235</v>
      </c>
    </row>
    <row r="4" spans="1:13" x14ac:dyDescent="0.2">
      <c r="B4" s="7" t="s">
        <v>5</v>
      </c>
      <c r="C4" s="7" t="e" vm="2">
        <v>#VALUE!</v>
      </c>
      <c r="D4" s="7" t="s">
        <v>99</v>
      </c>
      <c r="E4" s="7" t="s">
        <v>9</v>
      </c>
      <c r="F4" s="7" t="s">
        <v>10</v>
      </c>
      <c r="G4" s="7" t="s">
        <v>8</v>
      </c>
      <c r="H4" s="9" t="e" cm="1" vm="3">
        <f t="array" ref="H4">+_FV(C4,"Capitalização de mercado",TRUE)</f>
        <v>#VALUE!</v>
      </c>
      <c r="I4" s="7" t="s">
        <v>11</v>
      </c>
      <c r="J4" s="7" t="s">
        <v>11</v>
      </c>
      <c r="K4" s="7">
        <v>52.85</v>
      </c>
      <c r="L4" s="4" cm="1">
        <f t="array" aca="1" ref="L4" ca="1">+_FV(C4,"Preço")</f>
        <v>53.401499999999999</v>
      </c>
      <c r="M4" s="5">
        <f ca="1">+L4/K4-1</f>
        <v>1.0435193945127708E-2</v>
      </c>
    </row>
    <row r="5" spans="1:13" x14ac:dyDescent="0.2">
      <c r="B5" s="7" t="s">
        <v>5</v>
      </c>
      <c r="C5" s="7" t="s">
        <v>144</v>
      </c>
      <c r="D5" s="7" t="s">
        <v>12</v>
      </c>
      <c r="E5" s="7" t="s">
        <v>13</v>
      </c>
      <c r="F5" s="7" t="s">
        <v>14</v>
      </c>
      <c r="G5" s="7" t="s">
        <v>8</v>
      </c>
      <c r="H5" s="9" t="e" cm="1" vm="3">
        <f t="array" ref="H5">+_FV(C5,"Capitalização de mercado",TRUE)</f>
        <v>#VALUE!</v>
      </c>
      <c r="I5" s="7">
        <v>16780</v>
      </c>
      <c r="J5" s="7">
        <v>50004.4</v>
      </c>
      <c r="K5" s="7">
        <v>2.98</v>
      </c>
      <c r="L5" s="4" t="e" cm="1" vm="4">
        <f t="array" ref="L5">+_FV(C5,"Preço")</f>
        <v>#VALUE!</v>
      </c>
      <c r="M5" s="5" t="e" vm="5">
        <f t="shared" ref="M5:M45" si="0">+L5/K5-1</f>
        <v>#VALUE!</v>
      </c>
    </row>
    <row r="6" spans="1:13" x14ac:dyDescent="0.2">
      <c r="B6" s="7" t="s">
        <v>5</v>
      </c>
      <c r="C6" s="7" t="s">
        <v>100</v>
      </c>
      <c r="D6" s="7" t="s">
        <v>100</v>
      </c>
      <c r="E6" s="7" t="s">
        <v>101</v>
      </c>
      <c r="F6" s="7" t="s">
        <v>102</v>
      </c>
      <c r="G6" s="7" t="s">
        <v>8</v>
      </c>
      <c r="H6" s="9" t="e" cm="1" vm="3">
        <f t="array" ref="H6">+_FV(C6,"Capitalização de mercado",TRUE)</f>
        <v>#VALUE!</v>
      </c>
      <c r="I6" s="7">
        <v>16837</v>
      </c>
      <c r="J6" s="7">
        <v>3704.14</v>
      </c>
      <c r="K6" s="7">
        <v>0.22</v>
      </c>
      <c r="L6" s="4" t="e" cm="1" vm="4">
        <f t="array" ref="L6">+_FV(C6,"Preço")</f>
        <v>#VALUE!</v>
      </c>
      <c r="M6" s="5" t="e" vm="5">
        <f t="shared" si="0"/>
        <v>#VALUE!</v>
      </c>
    </row>
    <row r="7" spans="1:13" x14ac:dyDescent="0.2">
      <c r="B7" s="7" t="s">
        <v>5</v>
      </c>
      <c r="C7" s="7" t="e" vm="6">
        <v>#VALUE!</v>
      </c>
      <c r="D7" s="7" t="s">
        <v>103</v>
      </c>
      <c r="E7" s="7" t="s">
        <v>15</v>
      </c>
      <c r="F7" s="7" t="s">
        <v>16</v>
      </c>
      <c r="G7" s="7" t="s">
        <v>8</v>
      </c>
      <c r="H7" s="9" cm="1">
        <f t="array" aca="1" ref="H7" ca="1">+_FV(C7,"Capitalização de mercado",TRUE)</f>
        <v>13149470000</v>
      </c>
      <c r="I7" s="7">
        <v>76870615</v>
      </c>
      <c r="J7" s="7">
        <v>70575804.144800007</v>
      </c>
      <c r="K7" s="7">
        <v>0.91439999999999999</v>
      </c>
      <c r="L7" s="4" cm="1">
        <f t="array" aca="1" ref="L7" ca="1">+_FV(C7,"Preço")</f>
        <v>0.87960000000000005</v>
      </c>
      <c r="M7" s="5">
        <f t="shared" ca="1" si="0"/>
        <v>-3.8057742782152126E-2</v>
      </c>
    </row>
    <row r="8" spans="1:13" x14ac:dyDescent="0.2">
      <c r="B8" s="7" t="s">
        <v>5</v>
      </c>
      <c r="C8" s="7" t="s">
        <v>18</v>
      </c>
      <c r="D8" s="7" t="s">
        <v>104</v>
      </c>
      <c r="E8" s="7" t="s">
        <v>17</v>
      </c>
      <c r="F8" s="7" t="s">
        <v>18</v>
      </c>
      <c r="G8" s="7" t="s">
        <v>8</v>
      </c>
      <c r="H8" s="9" t="e" cm="1" vm="3">
        <f t="array" ref="H8">+_FV(C8,"Capitalização de mercado",TRUE)</f>
        <v>#VALUE!</v>
      </c>
      <c r="I8" s="7">
        <v>1230</v>
      </c>
      <c r="J8" s="7">
        <v>8101.78</v>
      </c>
      <c r="K8" s="7">
        <v>6.52</v>
      </c>
      <c r="L8" s="4" t="e" cm="1" vm="4">
        <f t="array" ref="L8">+_FV(C8,"Preço")</f>
        <v>#VALUE!</v>
      </c>
      <c r="M8" s="5" t="e" vm="5">
        <f t="shared" si="0"/>
        <v>#VALUE!</v>
      </c>
    </row>
    <row r="9" spans="1:13" x14ac:dyDescent="0.2">
      <c r="B9" s="7" t="s">
        <v>5</v>
      </c>
      <c r="C9" s="7" t="s">
        <v>19</v>
      </c>
      <c r="D9" s="7" t="s">
        <v>105</v>
      </c>
      <c r="E9" s="7" t="s">
        <v>20</v>
      </c>
      <c r="F9" s="7" t="s">
        <v>19</v>
      </c>
      <c r="G9" s="7" t="s">
        <v>8</v>
      </c>
      <c r="H9" s="9" t="e" cm="1" vm="3">
        <f t="array" ref="H9">+_FV(C9,"Capitalização de mercado",TRUE)</f>
        <v>#VALUE!</v>
      </c>
      <c r="I9" s="7">
        <v>95250</v>
      </c>
      <c r="J9" s="7">
        <v>210502.5</v>
      </c>
      <c r="K9" s="7">
        <v>2.21</v>
      </c>
      <c r="L9" s="4" t="e" cm="1" vm="4">
        <f t="array" ref="L9">+_FV(C9,"Preço")</f>
        <v>#VALUE!</v>
      </c>
      <c r="M9" s="5" t="e" vm="5">
        <f t="shared" si="0"/>
        <v>#VALUE!</v>
      </c>
    </row>
    <row r="10" spans="1:13" x14ac:dyDescent="0.2">
      <c r="B10" s="7" t="s">
        <v>5</v>
      </c>
      <c r="C10" s="7" t="e" vm="7">
        <v>#VALUE!</v>
      </c>
      <c r="D10" s="7" t="s">
        <v>106</v>
      </c>
      <c r="E10" s="7" t="s">
        <v>21</v>
      </c>
      <c r="F10" s="7" t="s">
        <v>22</v>
      </c>
      <c r="G10" s="7" t="s">
        <v>8</v>
      </c>
      <c r="H10" s="9" t="e" cm="1" vm="3">
        <f t="array" ref="H10">+_FV(C10,"Capitalização de mercado",TRUE)</f>
        <v>#VALUE!</v>
      </c>
      <c r="I10" s="7">
        <v>525</v>
      </c>
      <c r="J10" s="7">
        <v>7875</v>
      </c>
      <c r="K10" s="7">
        <v>15</v>
      </c>
      <c r="L10" s="4" t="e" cm="1" vm="4">
        <f t="array" ref="L10">+_FV(C10,"Preço")</f>
        <v>#VALUE!</v>
      </c>
      <c r="M10" s="5" t="e" vm="5">
        <f t="shared" si="0"/>
        <v>#VALUE!</v>
      </c>
    </row>
    <row r="11" spans="1:13" x14ac:dyDescent="0.2">
      <c r="B11" s="7" t="s">
        <v>5</v>
      </c>
      <c r="C11" s="7" t="e" vm="8">
        <v>#VALUE!</v>
      </c>
      <c r="D11" s="7" t="s">
        <v>107</v>
      </c>
      <c r="E11" s="7" t="s">
        <v>23</v>
      </c>
      <c r="F11" s="7" t="s">
        <v>24</v>
      </c>
      <c r="G11" s="7" t="s">
        <v>8</v>
      </c>
      <c r="H11" s="9" cm="1">
        <f t="array" aca="1" ref="H11" ca="1">+_FV(C11,"Capitalização de mercado",TRUE)</f>
        <v>911050000</v>
      </c>
      <c r="I11" s="7">
        <v>75757</v>
      </c>
      <c r="J11" s="7">
        <v>506943.52</v>
      </c>
      <c r="K11" s="7">
        <v>6.69</v>
      </c>
      <c r="L11" s="4" cm="1">
        <f t="array" aca="1" ref="L11" ca="1">+_FV(C11,"Preço")</f>
        <v>6.62</v>
      </c>
      <c r="M11" s="5">
        <f t="shared" ca="1" si="0"/>
        <v>-1.0463378176382654E-2</v>
      </c>
    </row>
    <row r="12" spans="1:13" x14ac:dyDescent="0.2">
      <c r="B12" s="7" t="s">
        <v>5</v>
      </c>
      <c r="C12" s="7" t="e" vm="9">
        <v>#VALUE!</v>
      </c>
      <c r="D12" s="7" t="s">
        <v>108</v>
      </c>
      <c r="E12" s="7" t="s">
        <v>25</v>
      </c>
      <c r="F12" s="7" t="s">
        <v>26</v>
      </c>
      <c r="G12" s="7" t="s">
        <v>8</v>
      </c>
      <c r="H12" s="9" cm="1">
        <f t="array" aca="1" ref="H12" ca="1">+_FV(C12,"Capitalização de mercado",TRUE)</f>
        <v>975547800</v>
      </c>
      <c r="I12" s="7">
        <v>311724</v>
      </c>
      <c r="J12" s="7">
        <v>2127641.85</v>
      </c>
      <c r="K12" s="7">
        <v>6.79</v>
      </c>
      <c r="L12" s="4" cm="1">
        <f t="array" aca="1" ref="L12" ca="1">+_FV(C12,"Preço")</f>
        <v>6.4850000000000003</v>
      </c>
      <c r="M12" s="5">
        <f t="shared" ca="1" si="0"/>
        <v>-4.4918998527245901E-2</v>
      </c>
    </row>
    <row r="13" spans="1:13" x14ac:dyDescent="0.2">
      <c r="B13" s="7" t="s">
        <v>5</v>
      </c>
      <c r="C13" s="7" t="e" vm="10">
        <v>#VALUE!</v>
      </c>
      <c r="D13" s="7" t="s">
        <v>28</v>
      </c>
      <c r="E13" s="7" t="s">
        <v>27</v>
      </c>
      <c r="F13" s="7" t="s">
        <v>28</v>
      </c>
      <c r="G13" s="7" t="s">
        <v>8</v>
      </c>
      <c r="H13" s="9" cm="1">
        <f t="array" aca="1" ref="H13" ca="1">+_FV(C13,"Capitalização de mercado",TRUE)</f>
        <v>17150300000</v>
      </c>
      <c r="I13" s="7">
        <v>24334835</v>
      </c>
      <c r="J13" s="7">
        <v>104980844.433</v>
      </c>
      <c r="K13" s="7">
        <v>4.3170000000000002</v>
      </c>
      <c r="L13" s="4" cm="1">
        <f t="array" aca="1" ref="L13" ca="1">+_FV(C13,"Preço")</f>
        <v>4.4370000000000003</v>
      </c>
      <c r="M13" s="5">
        <f t="shared" ca="1" si="0"/>
        <v>2.7797081306462745E-2</v>
      </c>
    </row>
    <row r="14" spans="1:13" x14ac:dyDescent="0.2">
      <c r="B14" s="7" t="s">
        <v>5</v>
      </c>
      <c r="C14" s="7" t="s">
        <v>109</v>
      </c>
      <c r="D14" s="7" t="s">
        <v>109</v>
      </c>
      <c r="E14" s="7" t="s">
        <v>29</v>
      </c>
      <c r="F14" s="7" t="s">
        <v>30</v>
      </c>
      <c r="G14" s="7" t="s">
        <v>8</v>
      </c>
      <c r="H14" s="9" t="e" cm="1" vm="3">
        <f t="array" ref="H14">+_FV(C14,"Capitalização de mercado",TRUE)</f>
        <v>#VALUE!</v>
      </c>
      <c r="I14" s="7">
        <v>100</v>
      </c>
      <c r="J14" s="7">
        <v>340</v>
      </c>
      <c r="K14" s="7">
        <v>3.4</v>
      </c>
      <c r="L14" s="4" t="e" cm="1" vm="4">
        <f t="array" ref="L14">+_FV(C14,"Preço")</f>
        <v>#VALUE!</v>
      </c>
      <c r="M14" s="5" t="e" vm="5">
        <f t="shared" si="0"/>
        <v>#VALUE!</v>
      </c>
    </row>
    <row r="15" spans="1:13" s="1" customFormat="1" ht="15" x14ac:dyDescent="0.25">
      <c r="A15" s="1">
        <v>5</v>
      </c>
      <c r="B15" s="6" t="s">
        <v>5</v>
      </c>
      <c r="C15" s="7" t="s">
        <v>143</v>
      </c>
      <c r="D15" s="6" t="s">
        <v>110</v>
      </c>
      <c r="E15" s="6" t="s">
        <v>31</v>
      </c>
      <c r="F15" s="6" t="s">
        <v>32</v>
      </c>
      <c r="G15" s="6" t="s">
        <v>8</v>
      </c>
      <c r="H15" s="9" t="e" cm="1" vm="3">
        <f t="array" ref="H15">+_FV(C15,"Capitalização de mercado",TRUE)</f>
        <v>#VALUE!</v>
      </c>
      <c r="I15" s="6">
        <v>750</v>
      </c>
      <c r="J15" s="6">
        <v>2370</v>
      </c>
      <c r="K15" s="6">
        <v>3.16</v>
      </c>
      <c r="L15" s="2" t="e" cm="1" vm="4">
        <f t="array" ref="L15">+_FV(C15,"Preço")</f>
        <v>#VALUE!</v>
      </c>
      <c r="M15" s="5" t="e" vm="5">
        <f t="shared" si="0"/>
        <v>#VALUE!</v>
      </c>
    </row>
    <row r="16" spans="1:13" x14ac:dyDescent="0.2">
      <c r="B16" s="7" t="s">
        <v>5</v>
      </c>
      <c r="C16" s="7" t="e" vm="11">
        <v>#VALUE!</v>
      </c>
      <c r="D16" s="7" t="s">
        <v>111</v>
      </c>
      <c r="E16" s="7" t="s">
        <v>33</v>
      </c>
      <c r="F16" s="7" t="s">
        <v>34</v>
      </c>
      <c r="G16" s="7" t="s">
        <v>8</v>
      </c>
      <c r="H16" s="9" cm="1">
        <f t="array" aca="1" ref="H16" ca="1">+_FV(C16,"Capitalização de mercado",TRUE)</f>
        <v>18585270</v>
      </c>
      <c r="I16" s="7">
        <v>200</v>
      </c>
      <c r="J16" s="7">
        <v>952</v>
      </c>
      <c r="K16" s="7">
        <v>4.76</v>
      </c>
      <c r="L16" s="4" cm="1">
        <f t="array" aca="1" ref="L16" ca="1">+_FV(C16,"Preço")</f>
        <v>4.72</v>
      </c>
      <c r="M16" s="5">
        <f t="shared" ca="1" si="0"/>
        <v>-8.4033613445377853E-3</v>
      </c>
    </row>
    <row r="17" spans="1:13" x14ac:dyDescent="0.2">
      <c r="B17" s="7" t="s">
        <v>5</v>
      </c>
      <c r="C17" s="7" t="s">
        <v>112</v>
      </c>
      <c r="D17" s="7" t="s">
        <v>112</v>
      </c>
      <c r="E17" s="7" t="s">
        <v>35</v>
      </c>
      <c r="F17" s="7" t="s">
        <v>36</v>
      </c>
      <c r="G17" s="7" t="s">
        <v>8</v>
      </c>
      <c r="H17" s="9" t="e" cm="1" vm="3">
        <f t="array" ref="H17">+_FV(C17,"Capitalização de mercado",TRUE)</f>
        <v>#VALUE!</v>
      </c>
      <c r="I17" s="7">
        <v>18</v>
      </c>
      <c r="J17" s="7">
        <v>64.14</v>
      </c>
      <c r="K17" s="7">
        <v>3.52</v>
      </c>
      <c r="L17" s="4" t="e" cm="1" vm="4">
        <f t="array" ref="L17">+_FV(C17,"Preço")</f>
        <v>#VALUE!</v>
      </c>
      <c r="M17" s="5" t="e" vm="5">
        <f t="shared" si="0"/>
        <v>#VALUE!</v>
      </c>
    </row>
    <row r="18" spans="1:13" x14ac:dyDescent="0.2">
      <c r="B18" s="7" t="s">
        <v>5</v>
      </c>
      <c r="C18" s="7" t="e" vm="12">
        <v>#VALUE!</v>
      </c>
      <c r="D18" s="7" t="s">
        <v>37</v>
      </c>
      <c r="E18" s="7" t="s">
        <v>38</v>
      </c>
      <c r="F18" s="7" t="s">
        <v>39</v>
      </c>
      <c r="G18" s="7" t="s">
        <v>8</v>
      </c>
      <c r="H18" s="9" cm="1">
        <f t="array" aca="1" ref="H18" ca="1">+_FV(C18,"Capitalização de mercado",TRUE)</f>
        <v>11203150000</v>
      </c>
      <c r="I18" s="7">
        <v>4715929</v>
      </c>
      <c r="J18" s="7">
        <v>78889184.280000001</v>
      </c>
      <c r="K18" s="7">
        <v>16.73</v>
      </c>
      <c r="L18" s="4" cm="1">
        <f t="array" aca="1" ref="L18" ca="1">+_FV(C18,"Preço")</f>
        <v>19.335000000000001</v>
      </c>
      <c r="M18" s="5">
        <f t="shared" ca="1" si="0"/>
        <v>0.15570830842797379</v>
      </c>
    </row>
    <row r="19" spans="1:13" x14ac:dyDescent="0.2">
      <c r="B19" s="7" t="s">
        <v>5</v>
      </c>
      <c r="C19" s="7" t="s">
        <v>142</v>
      </c>
      <c r="D19" s="7" t="s">
        <v>113</v>
      </c>
      <c r="E19" s="7" t="s">
        <v>114</v>
      </c>
      <c r="F19" s="7" t="s">
        <v>115</v>
      </c>
      <c r="G19" s="7" t="s">
        <v>8</v>
      </c>
      <c r="H19" s="9" t="e" cm="1" vm="3">
        <f t="array" ref="H19">+_FV(C19,"Capitalização de mercado",TRUE)</f>
        <v>#VALUE!</v>
      </c>
      <c r="I19" s="7">
        <v>14896</v>
      </c>
      <c r="J19" s="7">
        <v>394.75</v>
      </c>
      <c r="K19" s="7">
        <v>2.6499999999999999E-2</v>
      </c>
      <c r="L19" s="4" t="e" cm="1" vm="4">
        <f t="array" ref="L19">+_FV(C19,"Preço")</f>
        <v>#VALUE!</v>
      </c>
      <c r="M19" s="5" t="e" vm="5">
        <f t="shared" si="0"/>
        <v>#VALUE!</v>
      </c>
    </row>
    <row r="20" spans="1:13" x14ac:dyDescent="0.2">
      <c r="B20" s="7" t="s">
        <v>5</v>
      </c>
      <c r="C20" s="7" t="e" vm="13">
        <v>#VALUE!</v>
      </c>
      <c r="D20" s="7" t="s">
        <v>116</v>
      </c>
      <c r="E20" s="7" t="s">
        <v>40</v>
      </c>
      <c r="F20" s="7" t="s">
        <v>41</v>
      </c>
      <c r="G20" s="7" t="s">
        <v>8</v>
      </c>
      <c r="H20" s="9" cm="1">
        <f t="array" aca="1" ref="H20" ca="1">+_FV(C20,"Capitalização de mercado",TRUE)</f>
        <v>126965800</v>
      </c>
      <c r="I20" s="7">
        <v>6538</v>
      </c>
      <c r="J20" s="7">
        <v>9033.1</v>
      </c>
      <c r="K20" s="7">
        <v>1.41</v>
      </c>
      <c r="L20" s="4" cm="1">
        <f t="array" aca="1" ref="L20" ca="1">+_FV(C20,"Preço")</f>
        <v>1.22</v>
      </c>
      <c r="M20" s="5">
        <f t="shared" ca="1" si="0"/>
        <v>-0.13475177304964536</v>
      </c>
    </row>
    <row r="21" spans="1:13" s="1" customFormat="1" ht="15" x14ac:dyDescent="0.25">
      <c r="A21" s="1">
        <v>10</v>
      </c>
      <c r="B21" s="6" t="s">
        <v>5</v>
      </c>
      <c r="C21" s="6" t="e" vm="14">
        <v>#VALUE!</v>
      </c>
      <c r="D21" s="6" t="s">
        <v>42</v>
      </c>
      <c r="E21" s="6" t="s">
        <v>43</v>
      </c>
      <c r="F21" s="6" t="s">
        <v>44</v>
      </c>
      <c r="G21" s="6" t="s">
        <v>8</v>
      </c>
      <c r="H21" s="9" cm="1">
        <f t="array" aca="1" ref="H21" ca="1">+_FV(C21,"Capitalização de mercado",TRUE)</f>
        <v>405719300</v>
      </c>
      <c r="I21" s="6">
        <v>12257</v>
      </c>
      <c r="J21" s="6">
        <v>130790.6</v>
      </c>
      <c r="K21" s="6">
        <v>10.65</v>
      </c>
      <c r="L21" s="2" cm="1">
        <f t="array" aca="1" ref="L21" ca="1">+_FV(C21,"Preço")</f>
        <v>12</v>
      </c>
      <c r="M21" s="3">
        <f t="shared" ca="1" si="0"/>
        <v>0.12676056338028174</v>
      </c>
    </row>
    <row r="22" spans="1:13" x14ac:dyDescent="0.2">
      <c r="B22" s="7" t="s">
        <v>5</v>
      </c>
      <c r="C22" s="7" t="e" vm="15">
        <v>#VALUE!</v>
      </c>
      <c r="D22" s="7" t="s">
        <v>117</v>
      </c>
      <c r="E22" s="7" t="s">
        <v>45</v>
      </c>
      <c r="F22" s="7" t="s">
        <v>46</v>
      </c>
      <c r="G22" s="7" t="s">
        <v>8</v>
      </c>
      <c r="H22" s="9" cm="1">
        <f t="array" aca="1" ref="H22" ca="1">+_FV(C22,"Capitalização de mercado",TRUE)</f>
        <v>33600000</v>
      </c>
      <c r="I22" s="7">
        <v>61842</v>
      </c>
      <c r="J22" s="7">
        <v>12214.0095</v>
      </c>
      <c r="K22" s="7">
        <v>0.19950000000000001</v>
      </c>
      <c r="L22" s="4" cm="1">
        <f t="array" aca="1" ref="L22" ca="1">+_FV(C22,"Preço")</f>
        <v>0.18140000000000001</v>
      </c>
      <c r="M22" s="5">
        <f t="shared" ca="1" si="0"/>
        <v>-9.0726817042606545E-2</v>
      </c>
    </row>
    <row r="23" spans="1:13" s="1" customFormat="1" ht="15" x14ac:dyDescent="0.25">
      <c r="B23" s="6" t="s">
        <v>5</v>
      </c>
      <c r="C23" s="6" t="e" vm="16">
        <v>#VALUE!</v>
      </c>
      <c r="D23" s="6" t="s">
        <v>118</v>
      </c>
      <c r="E23" s="6" t="s">
        <v>47</v>
      </c>
      <c r="F23" s="6" t="s">
        <v>48</v>
      </c>
      <c r="G23" s="6" t="s">
        <v>8</v>
      </c>
      <c r="H23" s="9" cm="1">
        <f t="array" aca="1" ref="H23" ca="1">+_FV(C23,"Capitalização de mercado",TRUE)</f>
        <v>13202570000</v>
      </c>
      <c r="I23" s="6">
        <v>1068028</v>
      </c>
      <c r="J23" s="6">
        <v>21318274.530000001</v>
      </c>
      <c r="K23" s="6">
        <v>19.91</v>
      </c>
      <c r="L23" s="2" cm="1">
        <f t="array" aca="1" ref="L23" ca="1">+_FV(C23,"Preço")</f>
        <v>20.54</v>
      </c>
      <c r="M23" s="3">
        <f t="shared" ca="1" si="0"/>
        <v>3.1642390758412908E-2</v>
      </c>
    </row>
    <row r="24" spans="1:13" s="1" customFormat="1" ht="15" x14ac:dyDescent="0.25">
      <c r="A24" s="1">
        <v>8</v>
      </c>
      <c r="B24" s="6" t="s">
        <v>5</v>
      </c>
      <c r="C24" s="6" t="e" vm="17">
        <v>#VALUE!</v>
      </c>
      <c r="D24" s="6" t="s">
        <v>119</v>
      </c>
      <c r="E24" s="6" t="s">
        <v>49</v>
      </c>
      <c r="F24" s="6" t="s">
        <v>50</v>
      </c>
      <c r="G24" s="6" t="s">
        <v>8</v>
      </c>
      <c r="H24" s="9" cm="1">
        <f t="array" aca="1" ref="H24" ca="1">+_FV(C24,"Capitalização de mercado",TRUE)</f>
        <v>241000000</v>
      </c>
      <c r="I24" s="6">
        <v>601</v>
      </c>
      <c r="J24" s="6">
        <v>1476.59</v>
      </c>
      <c r="K24" s="6">
        <v>2.4500000000000002</v>
      </c>
      <c r="L24" s="2" cm="1">
        <f t="array" aca="1" ref="L24" ca="1">+_FV(C24,"Preço")</f>
        <v>2.4900000000000002</v>
      </c>
      <c r="M24" s="3">
        <f t="shared" ca="1" si="0"/>
        <v>1.6326530612244872E-2</v>
      </c>
    </row>
    <row r="25" spans="1:13" x14ac:dyDescent="0.2">
      <c r="B25" s="7" t="s">
        <v>5</v>
      </c>
      <c r="C25" s="7" t="e" vm="18">
        <v>#VALUE!</v>
      </c>
      <c r="D25" s="7" t="s">
        <v>120</v>
      </c>
      <c r="E25" s="7" t="s">
        <v>51</v>
      </c>
      <c r="F25" s="7" t="s">
        <v>52</v>
      </c>
      <c r="G25" s="7" t="s">
        <v>8</v>
      </c>
      <c r="H25" s="9" cm="1">
        <f t="array" aca="1" ref="H25" ca="1">+_FV(C25,"Capitalização de mercado",TRUE)</f>
        <v>160575000</v>
      </c>
      <c r="I25" s="7">
        <v>1</v>
      </c>
      <c r="J25" s="7">
        <v>1.9</v>
      </c>
      <c r="K25" s="7">
        <v>1.9</v>
      </c>
      <c r="L25" s="4" cm="1">
        <f t="array" aca="1" ref="L25" ca="1">+_FV(C25,"Preço")</f>
        <v>1.9</v>
      </c>
      <c r="M25" s="5">
        <f t="shared" ca="1" si="0"/>
        <v>0</v>
      </c>
    </row>
    <row r="26" spans="1:13" x14ac:dyDescent="0.2">
      <c r="B26" s="7" t="s">
        <v>5</v>
      </c>
      <c r="C26" s="7" t="s">
        <v>53</v>
      </c>
      <c r="D26" s="7" t="s">
        <v>53</v>
      </c>
      <c r="E26" s="7" t="s">
        <v>54</v>
      </c>
      <c r="F26" s="7" t="s">
        <v>55</v>
      </c>
      <c r="G26" s="7" t="s">
        <v>8</v>
      </c>
      <c r="H26" s="9" t="e" cm="1" vm="3">
        <f t="array" ref="H26">+_FV(C26,"Capitalização de mercado",TRUE)</f>
        <v>#VALUE!</v>
      </c>
      <c r="I26" s="7" t="s">
        <v>11</v>
      </c>
      <c r="J26" s="7" t="s">
        <v>11</v>
      </c>
      <c r="K26" s="7">
        <v>0.995</v>
      </c>
      <c r="L26" s="4" t="e" cm="1" vm="4">
        <f t="array" ref="L26">+_FV(C26,"Preço")</f>
        <v>#VALUE!</v>
      </c>
      <c r="M26" s="5" t="e" vm="5">
        <f t="shared" si="0"/>
        <v>#VALUE!</v>
      </c>
    </row>
    <row r="27" spans="1:13" x14ac:dyDescent="0.2">
      <c r="B27" s="7" t="s">
        <v>5</v>
      </c>
      <c r="C27" s="7" t="e" vm="19">
        <v>#VALUE!</v>
      </c>
      <c r="D27" s="7" t="s">
        <v>121</v>
      </c>
      <c r="E27" s="7" t="s">
        <v>56</v>
      </c>
      <c r="F27" s="7" t="s">
        <v>57</v>
      </c>
      <c r="G27" s="7" t="s">
        <v>8</v>
      </c>
      <c r="H27" s="9" cm="1">
        <f t="array" aca="1" ref="H27" ca="1">+_FV(C27,"Capitalização de mercado",TRUE)</f>
        <v>1532039000</v>
      </c>
      <c r="I27" s="7">
        <v>1206813</v>
      </c>
      <c r="J27" s="7">
        <v>5371738.6619999995</v>
      </c>
      <c r="K27" s="7">
        <v>4.4560000000000004</v>
      </c>
      <c r="L27" s="4" cm="1">
        <f t="array" aca="1" ref="L27" ca="1">+_FV(C27,"Preço")</f>
        <v>4.8380000000000001</v>
      </c>
      <c r="M27" s="5">
        <f t="shared" ca="1" si="0"/>
        <v>8.5727109515260302E-2</v>
      </c>
    </row>
    <row r="28" spans="1:13" s="1" customFormat="1" ht="15" x14ac:dyDescent="0.25">
      <c r="A28" s="1">
        <v>7</v>
      </c>
      <c r="B28" s="6" t="s">
        <v>5</v>
      </c>
      <c r="C28" s="6" t="e" vm="20">
        <v>#VALUE!</v>
      </c>
      <c r="D28" s="6" t="s">
        <v>122</v>
      </c>
      <c r="E28" s="6" t="s">
        <v>58</v>
      </c>
      <c r="F28" s="6" t="s">
        <v>59</v>
      </c>
      <c r="G28" s="6" t="s">
        <v>8</v>
      </c>
      <c r="H28" s="9" cm="1">
        <f t="array" aca="1" ref="H28" ca="1">+_FV(C28,"Capitalização de mercado",TRUE)</f>
        <v>2148223000</v>
      </c>
      <c r="I28" s="6">
        <v>656050</v>
      </c>
      <c r="J28" s="6">
        <v>2875149.6850000001</v>
      </c>
      <c r="K28" s="6">
        <v>4.3849999999999998</v>
      </c>
      <c r="L28" s="2" cm="1">
        <f t="array" aca="1" ref="L28" ca="1">+_FV(C28,"Preço")</f>
        <v>5.6349999999999998</v>
      </c>
      <c r="M28" s="3">
        <f t="shared" ca="1" si="0"/>
        <v>0.28506271379703541</v>
      </c>
    </row>
    <row r="29" spans="1:13" s="1" customFormat="1" ht="15" x14ac:dyDescent="0.25">
      <c r="A29"/>
      <c r="B29" s="7" t="s">
        <v>5</v>
      </c>
      <c r="C29" s="7" t="e" vm="21">
        <v>#VALUE!</v>
      </c>
      <c r="D29" s="7" t="s">
        <v>123</v>
      </c>
      <c r="E29" s="7" t="s">
        <v>60</v>
      </c>
      <c r="F29" s="7" t="s">
        <v>61</v>
      </c>
      <c r="G29" s="7" t="s">
        <v>8</v>
      </c>
      <c r="H29" s="9" cm="1">
        <f t="array" aca="1" ref="H29" ca="1">+_FV(C29,"Capitalização de mercado",TRUE)</f>
        <v>359217400</v>
      </c>
      <c r="I29" s="7">
        <v>1076</v>
      </c>
      <c r="J29" s="7">
        <v>10135.799999999999</v>
      </c>
      <c r="K29" s="7">
        <v>9.4499999999999993</v>
      </c>
      <c r="L29" s="4" cm="1">
        <f t="array" aca="1" ref="L29" ca="1">+_FV(C29,"Preço")</f>
        <v>8.8000000000000007</v>
      </c>
      <c r="M29" s="5">
        <f t="shared" ca="1" si="0"/>
        <v>-6.8783068783068613E-2</v>
      </c>
    </row>
    <row r="30" spans="1:13" s="1" customFormat="1" ht="15" x14ac:dyDescent="0.25">
      <c r="A30"/>
      <c r="B30" s="7" t="s">
        <v>5</v>
      </c>
      <c r="C30" s="7" t="s">
        <v>124</v>
      </c>
      <c r="D30" s="7" t="s">
        <v>124</v>
      </c>
      <c r="E30" s="7" t="s">
        <v>63</v>
      </c>
      <c r="F30" s="7" t="s">
        <v>62</v>
      </c>
      <c r="G30" s="7" t="s">
        <v>8</v>
      </c>
      <c r="H30" s="9" t="e" cm="1" vm="3">
        <f t="array" ref="H30">+_FV(C30,"Capitalização de mercado",TRUE)</f>
        <v>#VALUE!</v>
      </c>
      <c r="I30" s="7">
        <v>16000</v>
      </c>
      <c r="J30" s="7">
        <v>59200</v>
      </c>
      <c r="K30" s="7">
        <v>3.48</v>
      </c>
      <c r="L30" s="4" t="e" cm="1" vm="4">
        <f t="array" ref="L30">+_FV(C30,"Preço")</f>
        <v>#VALUE!</v>
      </c>
      <c r="M30" s="5" t="e" vm="5">
        <f t="shared" si="0"/>
        <v>#VALUE!</v>
      </c>
    </row>
    <row r="31" spans="1:13" x14ac:dyDescent="0.2">
      <c r="B31" s="7" t="s">
        <v>5</v>
      </c>
      <c r="C31" s="7" t="e" vm="22">
        <v>#VALUE!</v>
      </c>
      <c r="D31" s="7" t="s">
        <v>125</v>
      </c>
      <c r="E31" s="7" t="s">
        <v>64</v>
      </c>
      <c r="F31" s="7" t="s">
        <v>65</v>
      </c>
      <c r="G31" s="7" t="s">
        <v>8</v>
      </c>
      <c r="H31" s="9" cm="1">
        <f t="array" aca="1" ref="H31" ca="1">+_FV(C31,"Capitalização de mercado",TRUE)</f>
        <v>62755880</v>
      </c>
      <c r="I31" s="7">
        <v>887990</v>
      </c>
      <c r="J31" s="7">
        <v>58814.411599999999</v>
      </c>
      <c r="K31" s="7">
        <v>6.6199999999999995E-2</v>
      </c>
      <c r="L31" s="4" cm="1">
        <f t="array" aca="1" ref="L31" ca="1">+_FV(C31,"Preço")</f>
        <v>7.7899999999999997E-2</v>
      </c>
      <c r="M31" s="5">
        <f t="shared" ca="1" si="0"/>
        <v>0.17673716012084606</v>
      </c>
    </row>
    <row r="32" spans="1:13" x14ac:dyDescent="0.2">
      <c r="B32" s="7" t="s">
        <v>5</v>
      </c>
      <c r="C32" s="7" t="s">
        <v>140</v>
      </c>
      <c r="D32" s="7" t="s">
        <v>66</v>
      </c>
      <c r="E32" s="7" t="s">
        <v>67</v>
      </c>
      <c r="F32" s="7" t="s">
        <v>68</v>
      </c>
      <c r="G32" s="7" t="s">
        <v>8</v>
      </c>
      <c r="H32" s="9" t="e" cm="1" vm="3">
        <f t="array" ref="H32">+_FV(C32,"Capitalização de mercado",TRUE)</f>
        <v>#VALUE!</v>
      </c>
      <c r="I32" s="7">
        <v>389</v>
      </c>
      <c r="J32" s="7">
        <v>371.5</v>
      </c>
      <c r="K32" s="7">
        <v>0.95499999999999996</v>
      </c>
      <c r="L32" s="4" t="e" cm="1" vm="4">
        <f t="array" ref="L32">+_FV(C32,"Preço")</f>
        <v>#VALUE!</v>
      </c>
      <c r="M32" s="5" t="e" vm="5">
        <f t="shared" si="0"/>
        <v>#VALUE!</v>
      </c>
    </row>
    <row r="33" spans="1:13" x14ac:dyDescent="0.2">
      <c r="B33" s="7" t="s">
        <v>5</v>
      </c>
      <c r="C33" s="7" t="e" vm="23">
        <v>#VALUE!</v>
      </c>
      <c r="D33" s="7" t="s">
        <v>126</v>
      </c>
      <c r="E33" s="7" t="s">
        <v>69</v>
      </c>
      <c r="F33" s="7" t="s">
        <v>70</v>
      </c>
      <c r="G33" s="7" t="s">
        <v>8</v>
      </c>
      <c r="H33" s="9" cm="1">
        <f t="array" aca="1" ref="H33" ca="1">+_FV(C33,"Capitalização de mercado",TRUE)</f>
        <v>190259600</v>
      </c>
      <c r="I33" s="7">
        <v>2268</v>
      </c>
      <c r="J33" s="7">
        <v>16676.98</v>
      </c>
      <c r="K33" s="7">
        <v>7.34</v>
      </c>
      <c r="L33" s="4" cm="1">
        <f t="array" aca="1" ref="L33" ca="1">+_FV(C33,"Preço")</f>
        <v>7.26</v>
      </c>
      <c r="M33" s="5">
        <f t="shared" ca="1" si="0"/>
        <v>-1.0899182561307952E-2</v>
      </c>
    </row>
    <row r="34" spans="1:13" x14ac:dyDescent="0.2">
      <c r="B34" s="7" t="s">
        <v>5</v>
      </c>
      <c r="C34" s="7" t="e" vm="24">
        <v>#VALUE!</v>
      </c>
      <c r="D34" s="7" t="s">
        <v>127</v>
      </c>
      <c r="E34" s="7" t="s">
        <v>71</v>
      </c>
      <c r="F34" s="7" t="s">
        <v>72</v>
      </c>
      <c r="G34" s="7" t="s">
        <v>8</v>
      </c>
      <c r="H34" s="9" cm="1">
        <f t="array" aca="1" ref="H34" ca="1">+_FV(C34,"Capitalização de mercado",TRUE)</f>
        <v>23936260</v>
      </c>
      <c r="I34" s="7">
        <v>896651</v>
      </c>
      <c r="J34" s="7">
        <v>3087577.5150000001</v>
      </c>
      <c r="K34" s="7">
        <v>3.44</v>
      </c>
      <c r="L34" s="4" cm="1">
        <f t="array" aca="1" ref="L34" ca="1">+_FV(C34,"Preço")</f>
        <v>0.91800000000000004</v>
      </c>
      <c r="M34" s="5">
        <f t="shared" ca="1" si="0"/>
        <v>-0.73313953488372086</v>
      </c>
    </row>
    <row r="35" spans="1:13" x14ac:dyDescent="0.2">
      <c r="B35" s="7" t="s">
        <v>5</v>
      </c>
      <c r="C35" s="7" t="e" vm="24">
        <v>#VALUE!</v>
      </c>
      <c r="D35" s="7" t="s">
        <v>127</v>
      </c>
      <c r="E35" s="7" t="s">
        <v>71</v>
      </c>
      <c r="F35" s="7" t="s">
        <v>128</v>
      </c>
      <c r="G35" s="7" t="s">
        <v>8</v>
      </c>
      <c r="H35" s="9" cm="1">
        <f t="array" aca="1" ref="H35" ca="1">+_FV(C35,"Capitalização de mercado",TRUE)</f>
        <v>23936260</v>
      </c>
      <c r="I35" s="7">
        <v>1500</v>
      </c>
      <c r="J35" s="7">
        <v>4590</v>
      </c>
      <c r="K35" s="7">
        <v>3.44</v>
      </c>
      <c r="L35" s="4" cm="1">
        <f t="array" aca="1" ref="L35" ca="1">+_FV(C35,"Preço")</f>
        <v>0.91800000000000004</v>
      </c>
      <c r="M35" s="5">
        <f t="shared" ca="1" si="0"/>
        <v>-0.73313953488372086</v>
      </c>
    </row>
    <row r="36" spans="1:13" x14ac:dyDescent="0.2">
      <c r="B36" s="7" t="s">
        <v>5</v>
      </c>
      <c r="C36" s="7" t="s">
        <v>141</v>
      </c>
      <c r="D36" s="7" t="s">
        <v>73</v>
      </c>
      <c r="E36" s="7" t="s">
        <v>74</v>
      </c>
      <c r="F36" s="7" t="s">
        <v>75</v>
      </c>
      <c r="G36" s="7" t="s">
        <v>8</v>
      </c>
      <c r="H36" s="9" t="e" cm="1" vm="3">
        <f t="array" ref="H36">+_FV(C36,"Capitalização de mercado",TRUE)</f>
        <v>#VALUE!</v>
      </c>
      <c r="I36" s="7">
        <v>3</v>
      </c>
      <c r="J36" s="7">
        <v>45.9</v>
      </c>
      <c r="K36" s="7">
        <v>15.3</v>
      </c>
      <c r="L36" s="4" t="e" cm="1" vm="4">
        <f t="array" ref="L36">+_FV(C36,"Preço")</f>
        <v>#VALUE!</v>
      </c>
      <c r="M36" s="5" t="e" vm="5">
        <f t="shared" si="0"/>
        <v>#VALUE!</v>
      </c>
    </row>
    <row r="37" spans="1:13" x14ac:dyDescent="0.2">
      <c r="B37" s="7" t="s">
        <v>5</v>
      </c>
      <c r="C37" s="7" t="e" vm="25">
        <v>#VALUE!</v>
      </c>
      <c r="D37" s="7" t="s">
        <v>129</v>
      </c>
      <c r="E37" s="7" t="s">
        <v>76</v>
      </c>
      <c r="F37" s="7" t="s">
        <v>77</v>
      </c>
      <c r="G37" s="7" t="s">
        <v>8</v>
      </c>
      <c r="H37" s="9" cm="1">
        <f t="array" aca="1" ref="H37" ca="1">+_FV(C37,"Capitalização de mercado",TRUE)</f>
        <v>145000000</v>
      </c>
      <c r="I37" s="7">
        <v>40</v>
      </c>
      <c r="J37" s="7">
        <v>592</v>
      </c>
      <c r="K37" s="7">
        <v>14.8</v>
      </c>
      <c r="L37" s="4" cm="1">
        <f t="array" aca="1" ref="L37" ca="1">+_FV(C37,"Preço")</f>
        <v>14.8</v>
      </c>
      <c r="M37" s="5">
        <f t="shared" ca="1" si="0"/>
        <v>0</v>
      </c>
    </row>
    <row r="38" spans="1:13" s="1" customFormat="1" ht="15" x14ac:dyDescent="0.25">
      <c r="A38" s="1">
        <v>7</v>
      </c>
      <c r="B38" s="6" t="s">
        <v>5</v>
      </c>
      <c r="C38" s="6" t="e" vm="26">
        <v>#VALUE!</v>
      </c>
      <c r="D38" s="6" t="s">
        <v>130</v>
      </c>
      <c r="E38" s="6" t="s">
        <v>78</v>
      </c>
      <c r="F38" s="6" t="s">
        <v>79</v>
      </c>
      <c r="G38" s="6" t="s">
        <v>8</v>
      </c>
      <c r="H38" s="9" cm="1">
        <f t="array" aca="1" ref="H38" ca="1">+_FV(C38,"Capitalização de mercado",TRUE)</f>
        <v>1804194000</v>
      </c>
      <c r="I38" s="6">
        <v>24314</v>
      </c>
      <c r="J38" s="6">
        <v>545614.1</v>
      </c>
      <c r="K38" s="6">
        <v>22.4</v>
      </c>
      <c r="L38" s="2" cm="1">
        <f t="array" aca="1" ref="L38" ca="1">+_FV(C38,"Preço")</f>
        <v>23</v>
      </c>
      <c r="M38" s="3">
        <f t="shared" ca="1" si="0"/>
        <v>2.6785714285714413E-2</v>
      </c>
    </row>
    <row r="39" spans="1:13" s="1" customFormat="1" ht="15" x14ac:dyDescent="0.25">
      <c r="B39" s="6" t="s">
        <v>5</v>
      </c>
      <c r="C39" s="6" t="e" vm="27">
        <v>#VALUE!</v>
      </c>
      <c r="D39" s="6" t="s">
        <v>131</v>
      </c>
      <c r="E39" s="6" t="s">
        <v>80</v>
      </c>
      <c r="F39" s="6" t="s">
        <v>81</v>
      </c>
      <c r="G39" s="6" t="s">
        <v>8</v>
      </c>
      <c r="H39" s="9" cm="1">
        <f t="array" aca="1" ref="H39" ca="1">+_FV(C39,"Capitalização de mercado",TRUE)</f>
        <v>3320000000</v>
      </c>
      <c r="I39" s="6">
        <v>1085443</v>
      </c>
      <c r="J39" s="6">
        <v>1919276.0419999999</v>
      </c>
      <c r="K39" s="6">
        <v>1.77</v>
      </c>
      <c r="L39" s="2" cm="1">
        <f t="array" aca="1" ref="L39" ca="1">+_FV(C39,"Preço")</f>
        <v>1.972</v>
      </c>
      <c r="M39" s="3">
        <f t="shared" ca="1" si="0"/>
        <v>0.11412429378531064</v>
      </c>
    </row>
    <row r="40" spans="1:13" x14ac:dyDescent="0.2">
      <c r="B40" s="7" t="s">
        <v>5</v>
      </c>
      <c r="C40" s="7" t="s">
        <v>146</v>
      </c>
      <c r="D40" s="7" t="s">
        <v>132</v>
      </c>
      <c r="E40" s="7" t="s">
        <v>82</v>
      </c>
      <c r="F40" s="7" t="s">
        <v>83</v>
      </c>
      <c r="G40" s="7" t="s">
        <v>8</v>
      </c>
      <c r="H40" s="9" t="e" cm="1" vm="3">
        <f t="array" ref="H40">+_FV(C40,"Capitalização de mercado",TRUE)</f>
        <v>#VALUE!</v>
      </c>
      <c r="I40" s="7">
        <v>600</v>
      </c>
      <c r="J40" s="7">
        <v>612</v>
      </c>
      <c r="K40" s="7">
        <v>1.02</v>
      </c>
      <c r="L40" s="4" t="e" cm="1" vm="4">
        <f t="array" ref="L40">+_FV(C40,"Preço")</f>
        <v>#VALUE!</v>
      </c>
      <c r="M40" s="5" t="e" vm="5">
        <f t="shared" si="0"/>
        <v>#VALUE!</v>
      </c>
    </row>
    <row r="41" spans="1:13" x14ac:dyDescent="0.2">
      <c r="B41" s="7" t="s">
        <v>5</v>
      </c>
      <c r="C41" s="7" t="e" vm="28">
        <v>#VALUE!</v>
      </c>
      <c r="D41" s="7" t="s">
        <v>133</v>
      </c>
      <c r="E41" s="7" t="s">
        <v>84</v>
      </c>
      <c r="F41" s="7" t="s">
        <v>85</v>
      </c>
      <c r="G41" s="7" t="s">
        <v>8</v>
      </c>
      <c r="H41" s="9" cm="1">
        <f t="array" aca="1" ref="H41" ca="1">+_FV(C41,"Capitalização de mercado",TRUE)</f>
        <v>257040000</v>
      </c>
      <c r="I41" s="7">
        <v>787998</v>
      </c>
      <c r="J41" s="7">
        <v>381577.63</v>
      </c>
      <c r="K41" s="7">
        <v>0.48199999999999998</v>
      </c>
      <c r="L41" s="4" cm="1">
        <f t="array" aca="1" ref="L41" ca="1">+_FV(C41,"Preço")</f>
        <v>0.42399999999999999</v>
      </c>
      <c r="M41" s="5">
        <f t="shared" ca="1" si="0"/>
        <v>-0.1203319502074689</v>
      </c>
    </row>
    <row r="42" spans="1:13" s="1" customFormat="1" ht="15" x14ac:dyDescent="0.25">
      <c r="B42" s="6" t="s">
        <v>5</v>
      </c>
      <c r="C42" s="6" t="e" vm="29">
        <v>#VALUE!</v>
      </c>
      <c r="D42" s="6" t="s">
        <v>134</v>
      </c>
      <c r="E42" s="6" t="s">
        <v>86</v>
      </c>
      <c r="F42" s="6" t="s">
        <v>87</v>
      </c>
      <c r="G42" s="6" t="s">
        <v>8</v>
      </c>
      <c r="H42" s="9" cm="1">
        <f t="array" aca="1" ref="H42" ca="1">+_FV(C42,"Capitalização de mercado",TRUE)</f>
        <v>2356861000</v>
      </c>
      <c r="I42" s="6">
        <v>834951</v>
      </c>
      <c r="J42" s="6">
        <v>2667518.34</v>
      </c>
      <c r="K42" s="6">
        <v>3.194</v>
      </c>
      <c r="L42" s="2" cm="1">
        <f t="array" aca="1" ref="L42" ca="1">+_FV(C42,"Preço")</f>
        <v>3.39</v>
      </c>
      <c r="M42" s="3">
        <f t="shared" ca="1" si="0"/>
        <v>6.1365059486537366E-2</v>
      </c>
    </row>
    <row r="43" spans="1:13" s="1" customFormat="1" ht="15" x14ac:dyDescent="0.25">
      <c r="A43" s="1">
        <v>5</v>
      </c>
      <c r="B43" s="6" t="s">
        <v>5</v>
      </c>
      <c r="C43" s="6" t="e" vm="30">
        <v>#VALUE!</v>
      </c>
      <c r="D43" s="6" t="s">
        <v>135</v>
      </c>
      <c r="E43" s="6" t="s">
        <v>88</v>
      </c>
      <c r="F43" s="6" t="s">
        <v>89</v>
      </c>
      <c r="G43" s="6" t="s">
        <v>8</v>
      </c>
      <c r="H43" s="9" cm="1">
        <f t="array" aca="1" ref="H43" ca="1">+_FV(C43,"Capitalização de mercado",TRUE)</f>
        <v>231000000</v>
      </c>
      <c r="I43" s="6">
        <v>71</v>
      </c>
      <c r="J43" s="6">
        <v>468.6</v>
      </c>
      <c r="K43" s="6">
        <v>6.6</v>
      </c>
      <c r="L43" s="2" cm="1">
        <f t="array" aca="1" ref="L43" ca="1">+_FV(C43,"Preço")</f>
        <v>7.3</v>
      </c>
      <c r="M43" s="3">
        <f t="shared" ca="1" si="0"/>
        <v>0.10606060606060619</v>
      </c>
    </row>
    <row r="44" spans="1:13" s="1" customFormat="1" ht="15" x14ac:dyDescent="0.25">
      <c r="A44"/>
      <c r="B44" s="7" t="s">
        <v>5</v>
      </c>
      <c r="C44" s="7" t="e" vm="31">
        <v>#VALUE!</v>
      </c>
      <c r="D44" s="7" t="s">
        <v>136</v>
      </c>
      <c r="E44" s="7" t="s">
        <v>90</v>
      </c>
      <c r="F44" s="7" t="s">
        <v>91</v>
      </c>
      <c r="G44" s="7" t="s">
        <v>8</v>
      </c>
      <c r="H44" s="9" cm="1">
        <f t="array" aca="1" ref="H44" ca="1">+_FV(C44,"Capitalização de mercado",TRUE)</f>
        <v>177709100</v>
      </c>
      <c r="I44" s="7">
        <v>56366</v>
      </c>
      <c r="J44" s="7">
        <v>60311.46</v>
      </c>
      <c r="K44" s="7">
        <v>1.07</v>
      </c>
      <c r="L44" s="4" cm="1">
        <f t="array" aca="1" ref="L44" ca="1">+_FV(C44,"Preço")</f>
        <v>1.1000000000000001</v>
      </c>
      <c r="M44" s="5">
        <f t="shared" ca="1" si="0"/>
        <v>2.8037383177570208E-2</v>
      </c>
    </row>
    <row r="45" spans="1:13" x14ac:dyDescent="0.2">
      <c r="B45" s="7" t="s">
        <v>5</v>
      </c>
      <c r="C45" s="7" t="s">
        <v>92</v>
      </c>
      <c r="D45" s="7" t="s">
        <v>92</v>
      </c>
      <c r="E45" s="7" t="s">
        <v>93</v>
      </c>
      <c r="F45" s="7" t="s">
        <v>94</v>
      </c>
      <c r="G45" s="7" t="s">
        <v>8</v>
      </c>
      <c r="H45" s="9" t="e" cm="1" vm="3">
        <f t="array" ref="H45">+_FV(C45,"Capitalização de mercado",TRUE)</f>
        <v>#VALUE!</v>
      </c>
      <c r="I45" s="7" t="s">
        <v>11</v>
      </c>
      <c r="J45" s="7" t="s">
        <v>11</v>
      </c>
      <c r="K45" s="7">
        <v>120</v>
      </c>
      <c r="L45" s="4" t="e" cm="1" vm="4">
        <f t="array" ref="L45">+_FV(C45,"Preço")</f>
        <v>#VALUE!</v>
      </c>
      <c r="M45" s="5" t="e" vm="5">
        <f t="shared" si="0"/>
        <v>#VALUE!</v>
      </c>
    </row>
    <row r="46" spans="1:13" x14ac:dyDescent="0.2">
      <c r="B46" s="7"/>
      <c r="C46" s="7"/>
      <c r="D46" s="7"/>
      <c r="E46" s="7"/>
      <c r="F46" s="7"/>
      <c r="G46" s="7"/>
      <c r="H46" s="7"/>
      <c r="I46" s="8"/>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47D0F-17B4-4351-A455-5E3C6E252F3F}">
  <dimension ref="A2:L8"/>
  <sheetViews>
    <sheetView workbookViewId="0">
      <selection activeCell="L8" sqref="L8"/>
    </sheetView>
  </sheetViews>
  <sheetFormatPr defaultRowHeight="14.25" x14ac:dyDescent="0.2"/>
  <sheetData>
    <row r="2" spans="1:12" ht="15" x14ac:dyDescent="0.25">
      <c r="A2" s="1"/>
      <c r="B2" s="6" t="s">
        <v>97</v>
      </c>
      <c r="C2" s="6" t="s">
        <v>137</v>
      </c>
      <c r="D2" s="6" t="s">
        <v>0</v>
      </c>
      <c r="E2" s="6" t="s">
        <v>1</v>
      </c>
      <c r="F2" s="6" t="s">
        <v>2</v>
      </c>
      <c r="G2" s="6" t="s">
        <v>3</v>
      </c>
      <c r="H2" s="6" t="s">
        <v>95</v>
      </c>
      <c r="I2" s="6" t="s">
        <v>4</v>
      </c>
      <c r="J2" s="6" t="s">
        <v>96</v>
      </c>
      <c r="K2" s="6" t="s">
        <v>138</v>
      </c>
      <c r="L2" s="6" t="s">
        <v>139</v>
      </c>
    </row>
    <row r="3" spans="1:12" s="1" customFormat="1" ht="15" x14ac:dyDescent="0.25">
      <c r="A3">
        <v>5</v>
      </c>
      <c r="B3" s="7" t="s">
        <v>5</v>
      </c>
      <c r="C3" s="7" t="s">
        <v>143</v>
      </c>
      <c r="D3" s="7" t="s">
        <v>110</v>
      </c>
      <c r="E3" s="7" t="s">
        <v>31</v>
      </c>
      <c r="F3" s="7" t="s">
        <v>32</v>
      </c>
      <c r="G3" s="7" t="s">
        <v>8</v>
      </c>
      <c r="H3" s="7">
        <v>750</v>
      </c>
      <c r="I3" s="7">
        <v>2370</v>
      </c>
      <c r="J3" s="7">
        <v>3.16</v>
      </c>
      <c r="K3" s="4">
        <v>3.5</v>
      </c>
      <c r="L3" s="5">
        <f t="shared" ref="L3:L8" si="0">+K3/J3-1</f>
        <v>0.10759493670886067</v>
      </c>
    </row>
    <row r="4" spans="1:12" s="1" customFormat="1" ht="15" x14ac:dyDescent="0.25">
      <c r="A4">
        <v>10</v>
      </c>
      <c r="B4" s="7" t="s">
        <v>5</v>
      </c>
      <c r="C4" s="7" t="e" vm="14">
        <v>#VALUE!</v>
      </c>
      <c r="D4" s="7" t="s">
        <v>42</v>
      </c>
      <c r="E4" s="7" t="s">
        <v>43</v>
      </c>
      <c r="F4" s="7" t="s">
        <v>44</v>
      </c>
      <c r="G4" s="7" t="s">
        <v>8</v>
      </c>
      <c r="H4" s="7">
        <v>12257</v>
      </c>
      <c r="I4" s="7">
        <v>130790.6</v>
      </c>
      <c r="J4" s="7">
        <v>10.65</v>
      </c>
      <c r="K4" s="4" cm="1">
        <f t="array" aca="1" ref="K4" ca="1">+_FV(C4,"Preço")</f>
        <v>12</v>
      </c>
      <c r="L4" s="5">
        <f t="shared" ca="1" si="0"/>
        <v>0.12676056338028174</v>
      </c>
    </row>
    <row r="5" spans="1:12" s="1" customFormat="1" ht="15" x14ac:dyDescent="0.25">
      <c r="A5">
        <v>8</v>
      </c>
      <c r="B5" s="7" t="s">
        <v>5</v>
      </c>
      <c r="C5" s="7" t="e" vm="17">
        <v>#VALUE!</v>
      </c>
      <c r="D5" s="7" t="s">
        <v>119</v>
      </c>
      <c r="E5" s="7" t="s">
        <v>49</v>
      </c>
      <c r="F5" s="7" t="s">
        <v>50</v>
      </c>
      <c r="G5" s="7" t="s">
        <v>8</v>
      </c>
      <c r="H5" s="7">
        <v>601</v>
      </c>
      <c r="I5" s="7">
        <v>1476.59</v>
      </c>
      <c r="J5" s="7">
        <v>2.4500000000000002</v>
      </c>
      <c r="K5" s="4" cm="1">
        <f t="array" aca="1" ref="K5" ca="1">+_FV(C5,"Preço")</f>
        <v>2.4900000000000002</v>
      </c>
      <c r="L5" s="5">
        <f t="shared" ca="1" si="0"/>
        <v>1.6326530612244872E-2</v>
      </c>
    </row>
    <row r="6" spans="1:12" s="1" customFormat="1" ht="15" x14ac:dyDescent="0.25">
      <c r="A6">
        <v>7</v>
      </c>
      <c r="B6" s="7" t="s">
        <v>5</v>
      </c>
      <c r="C6" s="7" t="e" vm="20">
        <v>#VALUE!</v>
      </c>
      <c r="D6" s="7" t="s">
        <v>122</v>
      </c>
      <c r="E6" s="7" t="s">
        <v>58</v>
      </c>
      <c r="F6" s="7" t="s">
        <v>59</v>
      </c>
      <c r="G6" s="7" t="s">
        <v>8</v>
      </c>
      <c r="H6" s="7">
        <v>656050</v>
      </c>
      <c r="I6" s="7">
        <v>2875149.6850000001</v>
      </c>
      <c r="J6" s="7">
        <v>4.3849999999999998</v>
      </c>
      <c r="K6" s="4" cm="1">
        <f t="array" aca="1" ref="K6" ca="1">+_FV(C6,"Preço")</f>
        <v>5.6349999999999998</v>
      </c>
      <c r="L6" s="5">
        <f t="shared" ca="1" si="0"/>
        <v>0.28506271379703541</v>
      </c>
    </row>
    <row r="7" spans="1:12" s="1" customFormat="1" ht="15" x14ac:dyDescent="0.25">
      <c r="A7">
        <v>7</v>
      </c>
      <c r="B7" s="7" t="s">
        <v>5</v>
      </c>
      <c r="C7" s="7" t="e" vm="26">
        <v>#VALUE!</v>
      </c>
      <c r="D7" s="7" t="s">
        <v>130</v>
      </c>
      <c r="E7" s="7" t="s">
        <v>78</v>
      </c>
      <c r="F7" s="7" t="s">
        <v>79</v>
      </c>
      <c r="G7" s="7" t="s">
        <v>8</v>
      </c>
      <c r="H7" s="7">
        <v>24314</v>
      </c>
      <c r="I7" s="7">
        <v>545614.1</v>
      </c>
      <c r="J7" s="7">
        <v>22.4</v>
      </c>
      <c r="K7" s="4" cm="1">
        <f t="array" aca="1" ref="K7" ca="1">+_FV(C7,"Preço")</f>
        <v>23</v>
      </c>
      <c r="L7" s="5">
        <f t="shared" ca="1" si="0"/>
        <v>2.6785714285714413E-2</v>
      </c>
    </row>
    <row r="8" spans="1:12" s="1" customFormat="1" ht="15" x14ac:dyDescent="0.25">
      <c r="A8">
        <v>5</v>
      </c>
      <c r="B8" s="7" t="s">
        <v>5</v>
      </c>
      <c r="C8" s="7" t="e" vm="30">
        <v>#VALUE!</v>
      </c>
      <c r="D8" s="7" t="s">
        <v>135</v>
      </c>
      <c r="E8" s="7" t="s">
        <v>88</v>
      </c>
      <c r="F8" s="7" t="s">
        <v>89</v>
      </c>
      <c r="G8" s="7" t="s">
        <v>8</v>
      </c>
      <c r="H8" s="7">
        <v>71</v>
      </c>
      <c r="I8" s="7">
        <v>468.6</v>
      </c>
      <c r="J8" s="7">
        <v>6.6</v>
      </c>
      <c r="K8" s="4" cm="1">
        <f t="array" aca="1" ref="K8" ca="1">+_FV(C8,"Preço")</f>
        <v>7.3</v>
      </c>
      <c r="L8" s="5">
        <f t="shared" ca="1" si="0"/>
        <v>0.10606060606060619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vt:lpstr>
      <vt:lpstr>screen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2026-02-01T14:51:32Z</dcterms:created>
  <dcterms:modified xsi:type="dcterms:W3CDTF">2026-04-22T10:25:52Z</dcterms:modified>
</cp:coreProperties>
</file>