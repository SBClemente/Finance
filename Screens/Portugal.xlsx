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202300"/>
  <mc:AlternateContent xmlns:mc="http://schemas.openxmlformats.org/markup-compatibility/2006">
    <mc:Choice Requires="x15">
      <x15ac:absPath xmlns:x15ac="http://schemas.microsoft.com/office/spreadsheetml/2010/11/ac" url="https://academiafaedupt-my.sharepoint.com/personal/sbclemente_academiafa_edu_pt/Documents/Gigs/WorkingFolder/Finance_Shared/Screens/"/>
    </mc:Choice>
  </mc:AlternateContent>
  <xr:revisionPtr revIDLastSave="313" documentId="8_{EEE271CE-0DDE-446A-B0F2-724DFD600B7F}" xr6:coauthVersionLast="47" xr6:coauthVersionMax="47" xr10:uidLastSave="{8CD3F8DA-AC2A-4E1C-8A9B-438E51509467}"/>
  <bookViews>
    <workbookView xWindow="-120" yWindow="-120" windowWidth="29040" windowHeight="15720" activeTab="1" xr2:uid="{38C9F446-E5BD-4F6C-9507-166900CC716D}"/>
  </bookViews>
  <sheets>
    <sheet name="main" sheetId="1" r:id="rId1"/>
    <sheet name="scree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2" l="1" a="1"/>
  <c r="K8" i="2" s="1"/>
  <c r="L8" i="2" s="1"/>
  <c r="K7" i="2" a="1"/>
  <c r="K7" i="2" s="1"/>
  <c r="L7" i="2" s="1"/>
  <c r="K6" i="2" a="1"/>
  <c r="K6" i="2" s="1"/>
  <c r="L6" i="2" s="1"/>
  <c r="K5" i="2" a="1"/>
  <c r="K5" i="2" s="1"/>
  <c r="L5" i="2" s="1"/>
  <c r="K4" i="2" a="1"/>
  <c r="K4" i="2" s="1"/>
  <c r="L4" i="2" s="1"/>
  <c r="L3" i="2"/>
  <c r="K45" i="1" a="1"/>
  <c r="K45" i="1" s="1"/>
  <c r="L45" i="1" s="1"/>
  <c r="K44" i="1" a="1"/>
  <c r="K44" i="1" s="1"/>
  <c r="L44" i="1" s="1"/>
  <c r="K43" i="1" a="1"/>
  <c r="K43" i="1" s="1"/>
  <c r="L43" i="1" s="1"/>
  <c r="K42" i="1" a="1"/>
  <c r="K42" i="1" s="1"/>
  <c r="L42" i="1" s="1"/>
  <c r="K41" i="1" a="1"/>
  <c r="K41" i="1" s="1"/>
  <c r="L41" i="1" s="1"/>
  <c r="K40" i="1" a="1"/>
  <c r="K40" i="1" s="1"/>
  <c r="L40" i="1" s="1"/>
  <c r="K39" i="1" a="1"/>
  <c r="K39" i="1" s="1"/>
  <c r="L39" i="1" s="1"/>
  <c r="K38" i="1" a="1"/>
  <c r="K38" i="1" s="1"/>
  <c r="L38" i="1" s="1"/>
  <c r="K37" i="1" a="1"/>
  <c r="K37" i="1" s="1"/>
  <c r="L37" i="1" s="1"/>
  <c r="K36" i="1" a="1"/>
  <c r="K36" i="1" s="1"/>
  <c r="L36" i="1" s="1"/>
  <c r="K35" i="1" a="1"/>
  <c r="K35" i="1" s="1"/>
  <c r="L35" i="1" s="1"/>
  <c r="K34" i="1" a="1"/>
  <c r="K34" i="1" s="1"/>
  <c r="L34" i="1" s="1"/>
  <c r="K33" i="1" a="1"/>
  <c r="K33" i="1" s="1"/>
  <c r="L33" i="1" s="1"/>
  <c r="K32" i="1" a="1"/>
  <c r="K32" i="1" s="1"/>
  <c r="L32" i="1" s="1"/>
  <c r="K31" i="1" a="1"/>
  <c r="K31" i="1" s="1"/>
  <c r="L31" i="1" s="1"/>
  <c r="K30" i="1" a="1"/>
  <c r="K30" i="1" s="1"/>
  <c r="L30" i="1" s="1"/>
  <c r="K29" i="1" a="1"/>
  <c r="K29" i="1" s="1"/>
  <c r="L29" i="1" s="1"/>
  <c r="K28" i="1" a="1"/>
  <c r="K28" i="1" s="1"/>
  <c r="L28" i="1" s="1"/>
  <c r="K27" i="1" a="1"/>
  <c r="K27" i="1" s="1"/>
  <c r="L27" i="1" s="1"/>
  <c r="K26" i="1" a="1"/>
  <c r="K26" i="1" s="1"/>
  <c r="L26" i="1" s="1"/>
  <c r="K25" i="1" a="1"/>
  <c r="K25" i="1" s="1"/>
  <c r="L25" i="1" s="1"/>
  <c r="K24" i="1" a="1"/>
  <c r="K24" i="1" s="1"/>
  <c r="L24" i="1" s="1"/>
  <c r="K23" i="1" a="1"/>
  <c r="K23" i="1" s="1"/>
  <c r="L23" i="1" s="1"/>
  <c r="K22" i="1" a="1"/>
  <c r="K22" i="1" s="1"/>
  <c r="L22" i="1" s="1"/>
  <c r="K21" i="1" a="1"/>
  <c r="K21" i="1" s="1"/>
  <c r="L21" i="1" s="1"/>
  <c r="K20" i="1" a="1"/>
  <c r="K20" i="1" s="1"/>
  <c r="L20" i="1" s="1"/>
  <c r="K19" i="1" a="1"/>
  <c r="K19" i="1" s="1"/>
  <c r="L19" i="1" s="1"/>
  <c r="K18" i="1" a="1"/>
  <c r="K18" i="1" s="1"/>
  <c r="L18" i="1" s="1"/>
  <c r="K17" i="1" a="1"/>
  <c r="K17" i="1" s="1"/>
  <c r="L17" i="1" s="1"/>
  <c r="K16" i="1" a="1"/>
  <c r="K16" i="1" s="1"/>
  <c r="L16" i="1" s="1"/>
  <c r="K15" i="1" a="1"/>
  <c r="K15" i="1" s="1"/>
  <c r="L15" i="1" s="1"/>
  <c r="K14" i="1" a="1"/>
  <c r="K14" i="1" s="1"/>
  <c r="L14" i="1" s="1"/>
  <c r="K13" i="1" a="1"/>
  <c r="K13" i="1" s="1"/>
  <c r="L13" i="1" s="1"/>
  <c r="K12" i="1" a="1"/>
  <c r="K12" i="1" s="1"/>
  <c r="L12" i="1" s="1"/>
  <c r="K11" i="1" a="1"/>
  <c r="K11" i="1" s="1"/>
  <c r="L11" i="1" s="1"/>
  <c r="K10" i="1" a="1"/>
  <c r="K10" i="1" s="1"/>
  <c r="L10" i="1" s="1"/>
  <c r="K9" i="1" a="1"/>
  <c r="K9" i="1" s="1"/>
  <c r="L9" i="1" s="1"/>
  <c r="K8" i="1" a="1"/>
  <c r="K8" i="1" s="1"/>
  <c r="L8" i="1" s="1"/>
  <c r="K7" i="1" a="1"/>
  <c r="K7" i="1" s="1"/>
  <c r="L7" i="1" s="1"/>
  <c r="K6" i="1" a="1"/>
  <c r="K6" i="1" s="1"/>
  <c r="L6" i="1" s="1"/>
  <c r="K5" i="1" a="1"/>
  <c r="K5" i="1" s="1"/>
  <c r="L5" i="1" s="1"/>
  <c r="K4" i="1" a="1"/>
  <c r="K4" i="1" s="1"/>
  <c r="L4" i="1" s="1"/>
  <c r="K3" i="1" a="1"/>
  <c r="K3" i="1" s="1"/>
  <c r="L3"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1">
    <bk>
      <extLst>
        <ext uri="{3e2802c4-a4d2-4d8b-9148-e3be6c30e623}">
          <xlrd:rvb i="2"/>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9"/>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4"/>
        </ext>
      </extLst>
    </bk>
    <bk>
      <extLst>
        <ext uri="{3e2802c4-a4d2-4d8b-9148-e3be6c30e623}">
          <xlrd:rvb i="67"/>
        </ext>
      </extLst>
    </bk>
    <bk>
      <extLst>
        <ext uri="{3e2802c4-a4d2-4d8b-9148-e3be6c30e623}">
          <xlrd:rvb i="70"/>
        </ext>
      </extLst>
    </bk>
    <bk>
      <extLst>
        <ext uri="{3e2802c4-a4d2-4d8b-9148-e3be6c30e623}">
          <xlrd:rvb i="73"/>
        </ext>
      </extLst>
    </bk>
    <bk>
      <extLst>
        <ext uri="{3e2802c4-a4d2-4d8b-9148-e3be6c30e623}">
          <xlrd:rvb i="76"/>
        </ext>
      </extLst>
    </bk>
    <bk>
      <extLst>
        <ext uri="{3e2802c4-a4d2-4d8b-9148-e3be6c30e623}">
          <xlrd:rvb i="79"/>
        </ext>
      </extLst>
    </bk>
    <bk>
      <extLst>
        <ext uri="{3e2802c4-a4d2-4d8b-9148-e3be6c30e623}">
          <xlrd:rvb i="82"/>
        </ext>
      </extLst>
    </bk>
    <bk>
      <extLst>
        <ext uri="{3e2802c4-a4d2-4d8b-9148-e3be6c30e623}">
          <xlrd:rvb i="85"/>
        </ext>
      </extLst>
    </bk>
  </futureMetadata>
  <cellMetadata count="1">
    <bk>
      <rc t="1" v="0"/>
    </bk>
  </cellMetadata>
  <valueMetadata count="3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valueMetadata>
</metadata>
</file>

<file path=xl/sharedStrings.xml><?xml version="1.0" encoding="utf-8"?>
<sst xmlns="http://schemas.openxmlformats.org/spreadsheetml/2006/main" count="287" uniqueCount="145">
  <si>
    <t>Name</t>
  </si>
  <si>
    <t>ISIN</t>
  </si>
  <si>
    <t>Symbol</t>
  </si>
  <si>
    <t>Currency</t>
  </si>
  <si>
    <t>Turnover</t>
  </si>
  <si>
    <t>30/01/2026</t>
  </si>
  <si>
    <t>PTALT0AE0002</t>
  </si>
  <si>
    <t>ALTR</t>
  </si>
  <si>
    <t>EUR</t>
  </si>
  <si>
    <t>PTCAP0AM0017</t>
  </si>
  <si>
    <t>MLARR</t>
  </si>
  <si>
    <t>-</t>
  </si>
  <si>
    <t>ATRIUM BIRE SIGI</t>
  </si>
  <si>
    <t>PTTBI0AM0006</t>
  </si>
  <si>
    <t>MLATR</t>
  </si>
  <si>
    <t>PTBCP0AM0015</t>
  </si>
  <si>
    <t>BCP</t>
  </si>
  <si>
    <t>PTSLB0AM0010</t>
  </si>
  <si>
    <t>SLBEN</t>
  </si>
  <si>
    <t>MLCIA</t>
  </si>
  <si>
    <t>PTIAG0AM0005</t>
  </si>
  <si>
    <t>PTCDU0AE0003</t>
  </si>
  <si>
    <t>CDU</t>
  </si>
  <si>
    <t>PTCOR0AE0006</t>
  </si>
  <si>
    <t>COR</t>
  </si>
  <si>
    <t>PTCTT0AM0001</t>
  </si>
  <si>
    <t>CTT</t>
  </si>
  <si>
    <t>PTEDP0AM0009</t>
  </si>
  <si>
    <t>EDP</t>
  </si>
  <si>
    <t>PTESO0AM0000</t>
  </si>
  <si>
    <t>ESON</t>
  </si>
  <si>
    <t>PTFNV1AM0002</t>
  </si>
  <si>
    <t>MLFMV</t>
  </si>
  <si>
    <t>PTFXD0AM0018</t>
  </si>
  <si>
    <t>FLEXD</t>
  </si>
  <si>
    <t>PTFCP0AM0008</t>
  </si>
  <si>
    <t>FCP</t>
  </si>
  <si>
    <t>GALP ENERGIA-NOM</t>
  </si>
  <si>
    <t>PTGAL0AM0009</t>
  </si>
  <si>
    <t>GALP</t>
  </si>
  <si>
    <t>PTPAD0AM0007</t>
  </si>
  <si>
    <t>GLINT</t>
  </si>
  <si>
    <t>IBERSOL,SGPS</t>
  </si>
  <si>
    <t>PTIBS0AM0008</t>
  </si>
  <si>
    <t>IBS</t>
  </si>
  <si>
    <t>PTIPR0AM0000</t>
  </si>
  <si>
    <t>IPR</t>
  </si>
  <si>
    <t>PTJMT0AE0001</t>
  </si>
  <si>
    <t>JMT</t>
  </si>
  <si>
    <t>PTMFR0AM0003</t>
  </si>
  <si>
    <t>MAR</t>
  </si>
  <si>
    <t>PTGMC0AM0003</t>
  </si>
  <si>
    <t>MCP</t>
  </si>
  <si>
    <t>MONUMENTAL RES</t>
  </si>
  <si>
    <t>PTMNN0AE0006</t>
  </si>
  <si>
    <t>MLMR</t>
  </si>
  <si>
    <t>PTMEN0AE0005</t>
  </si>
  <si>
    <t>EGL</t>
  </si>
  <si>
    <t>PTZON0AM0006</t>
  </si>
  <si>
    <t>NOS</t>
  </si>
  <si>
    <t>PTNBA0AM0006</t>
  </si>
  <si>
    <t>NBA</t>
  </si>
  <si>
    <t>MLORE</t>
  </si>
  <si>
    <t>PTOTP0AM0004</t>
  </si>
  <si>
    <t>PTPTC0AM0009</t>
  </si>
  <si>
    <t>PHR</t>
  </si>
  <si>
    <t>RAIZE</t>
  </si>
  <si>
    <t>PTRIZ0AM0009</t>
  </si>
  <si>
    <t>MLRZE</t>
  </si>
  <si>
    <t>PTFRV0AE0004</t>
  </si>
  <si>
    <t>RAM</t>
  </si>
  <si>
    <t>PTREL0AM0008</t>
  </si>
  <si>
    <t>RENE</t>
  </si>
  <si>
    <t>S.CLUBE BRAGA</t>
  </si>
  <si>
    <t>PTSCB0AM0001</t>
  </si>
  <si>
    <t>SCB</t>
  </si>
  <si>
    <t>PTDGL0AM0003</t>
  </si>
  <si>
    <t>ALSMB</t>
  </si>
  <si>
    <t>PTSEM0AM0004</t>
  </si>
  <si>
    <t>SEM</t>
  </si>
  <si>
    <t>PTSON0AM0001</t>
  </si>
  <si>
    <t>SON</t>
  </si>
  <si>
    <t>PTSCP0AM0001</t>
  </si>
  <si>
    <t>SCP</t>
  </si>
  <si>
    <t>PTTD10AM0000</t>
  </si>
  <si>
    <t>TDSA</t>
  </si>
  <si>
    <t>PTPTI0AM0006</t>
  </si>
  <si>
    <t>NVG</t>
  </si>
  <si>
    <t>PTSCT0AP0018</t>
  </si>
  <si>
    <t>SCT</t>
  </si>
  <si>
    <t>PTVAA0AM0019</t>
  </si>
  <si>
    <t>VAF</t>
  </si>
  <si>
    <t>VILA DOS NUMEROS</t>
  </si>
  <si>
    <t>PTVUO0AM0000</t>
  </si>
  <si>
    <t>MLVDN</t>
  </si>
  <si>
    <t>Volume</t>
  </si>
  <si>
    <t>Closing Price</t>
  </si>
  <si>
    <t>Closing Price DateTime</t>
  </si>
  <si>
    <t>ALTRI SGPS</t>
  </si>
  <si>
    <t>ARRABIDASHOPPING</t>
  </si>
  <si>
    <t>AZOREAN TECH</t>
  </si>
  <si>
    <t>PTAZR0AM0006</t>
  </si>
  <si>
    <t>MLAAT</t>
  </si>
  <si>
    <t>B.COM.PORTUGUES</t>
  </si>
  <si>
    <t>BENFICA</t>
  </si>
  <si>
    <t>CIAGEST - SIGI S.A</t>
  </si>
  <si>
    <t>CONDURIL</t>
  </si>
  <si>
    <t>CORTICEIRA AMORIM</t>
  </si>
  <si>
    <t>CTT CORREIOS PORT</t>
  </si>
  <si>
    <t>ESTORIL SOL N</t>
  </si>
  <si>
    <t>FARMINVESTE</t>
  </si>
  <si>
    <t>FLEXDEAL</t>
  </si>
  <si>
    <t>FUT.CLUBE PORTO</t>
  </si>
  <si>
    <t>GENTLEMENS EQUITY</t>
  </si>
  <si>
    <t>PTGVE1AE0009</t>
  </si>
  <si>
    <t>MLGEQ</t>
  </si>
  <si>
    <t>GLINTT</t>
  </si>
  <si>
    <t>IMPRESA,SGPS</t>
  </si>
  <si>
    <t>J.MARTINS,SGPS</t>
  </si>
  <si>
    <t>MARTIFER</t>
  </si>
  <si>
    <t>MEDIA CAPITAL</t>
  </si>
  <si>
    <t>MOTA ENGIL</t>
  </si>
  <si>
    <t>NOS, SGPS</t>
  </si>
  <si>
    <t>NOVABASE,SGPS</t>
  </si>
  <si>
    <t>OLIMPO REAL ESTATE</t>
  </si>
  <si>
    <t>PHAROL</t>
  </si>
  <si>
    <t>RAMADA</t>
  </si>
  <si>
    <t>REN</t>
  </si>
  <si>
    <t>2RENE</t>
  </si>
  <si>
    <t>SAMBA DIGITAL</t>
  </si>
  <si>
    <t>SEMAPA</t>
  </si>
  <si>
    <t>SONAE</t>
  </si>
  <si>
    <t>SPORTING</t>
  </si>
  <si>
    <t>TEIXEIRA DUARTE</t>
  </si>
  <si>
    <t>THE NAVIGATOR COMP</t>
  </si>
  <si>
    <t>TOYOTA CAETANO</t>
  </si>
  <si>
    <t>VAA VISTA ALEGRE</t>
  </si>
  <si>
    <t>Company Name</t>
  </si>
  <si>
    <t>Current Price</t>
  </si>
  <si>
    <t>Ratio</t>
  </si>
  <si>
    <t>raize</t>
  </si>
  <si>
    <t>CLUBE BRAGA</t>
  </si>
  <si>
    <t>gentlemen</t>
  </si>
  <si>
    <t>FARMAINVEST</t>
  </si>
  <si>
    <t>Atrium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</si>
</sst>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2]\ * #,##0.00_);_([$€-2]\ * \(#,##0.00\);_([$€-2]\ * &quot;-&quot;??_);_(@_)"/>
  </numFmts>
  <fonts count="5" x14ac:knownFonts="1">
    <font>
      <sz val="11"/>
      <color theme="1"/>
      <name val="Arial"/>
      <family val="2"/>
    </font>
    <font>
      <b/>
      <sz val="11"/>
      <color theme="1"/>
      <name val="Arial"/>
      <family val="2"/>
    </font>
    <font>
      <sz val="11"/>
      <color rgb="FF000000"/>
      <name val="Calibri"/>
      <family val="2"/>
    </font>
    <font>
      <b/>
      <sz val="11"/>
      <color rgb="FF000000"/>
      <name val="Arial"/>
      <family val="2"/>
    </font>
    <font>
      <sz val="11"/>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9">
    <xf numFmtId="0" fontId="0" fillId="0" borderId="0" xfId="0"/>
    <xf numFmtId="0" fontId="1" fillId="0" borderId="0" xfId="0" applyFont="1"/>
    <xf numFmtId="164" fontId="1" fillId="0" borderId="0" xfId="0" applyNumberFormat="1" applyFont="1"/>
    <xf numFmtId="9" fontId="1" fillId="0" borderId="0" xfId="0" applyNumberFormat="1" applyFont="1"/>
    <xf numFmtId="164" fontId="0" fillId="0" borderId="0" xfId="0" applyNumberFormat="1"/>
    <xf numFmtId="9" fontId="0" fillId="0" borderId="0" xfId="0" applyNumberFormat="1"/>
    <xf numFmtId="0" fontId="3" fillId="0" borderId="0" xfId="1" applyFont="1"/>
    <xf numFmtId="0" fontId="4" fillId="0" borderId="0" xfId="1" applyFont="1"/>
    <xf numFmtId="3" fontId="4" fillId="0" borderId="0" xfId="1" applyNumberFormat="1" applyFont="1"/>
  </cellXfs>
  <cellStyles count="2">
    <cellStyle name="Normal" xfId="0" builtinId="0"/>
    <cellStyle name="Normal 2" xfId="1" xr:uid="{052941D8-E549-4B6E-B6A6-8E2DDF1ED3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10/relationships/person" Target="persons/person.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 Target="richData/rdsupportingpropertybag.xml"/><Relationship Id="rId5" Type="http://schemas.openxmlformats.org/officeDocument/2006/relationships/sharedStrings" Target="sharedStrings.xml"/><Relationship Id="rId10" Type="http://schemas.microsoft.com/office/2017/06/relationships/rdSupportingPropertyBagStructure" Target="richData/rdsupportingpropertybagstructure.xml"/><Relationship Id="rId4" Type="http://schemas.openxmlformats.org/officeDocument/2006/relationships/styles" Target="styles.xml"/><Relationship Id="rId9" Type="http://schemas.microsoft.com/office/2017/06/relationships/richStyles" Target="richData/richStyles.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86">
  <rv s="0">
    <v>https://www.bing.com/financeapi/forcetrigger?t=alwjz2&amp;q=XLIS%3aALTR&amp;form=skydnc</v>
    <v>Learn more on Bing</v>
  </rv>
  <rv s="1">
    <v>pt-BR</v>
    <v>alwjz2</v>
    <v>268435456</v>
    <v>1</v>
    <v>Da plataforma Refinitiv</v>
    <v>0</v>
    <v>1</v>
    <v>ALTRI, S.G.P.S., S.A. (XLIS:ALTR)</v>
    <v>3</v>
    <v>4</v>
    <v>Finance</v>
    <v>5</v>
    <v>6.56</v>
    <v>4.24</v>
    <v>XLIS</v>
    <v>205131700</v>
    <v>4.625</v>
    <v>2005</v>
    <v>4.5549999999999997</v>
    <v>0.3196</v>
    <v>Euronext Lisbon</v>
    <v>938477400</v>
    <v>A Altri, SGPS, S.A. é uma holding sediada em Portugal com atividade principalmente na produção de pasta de papel branqueada de eucalipto. A Empresa tem presença igualmente na área da energia elétrica a partir de fontes florestais renováveis, nomeadamente a partir de cogeração industrial de licor negro e biomassa. Além disso, ocupa-se da atividade de gestão de investimentos. A Empresa opera através de várias subsidiárias, com atividade na produção e venda de pasta de papel, tais como Caima - Indústria de Celulose, S.A., Celbi - Celulose da Beira Industrial, S.A. e Celtejo - Empresa de Celulose do Tejo, S.A., assim como de várias subsidiárias ocupadas com a gestão de recursos florestais, incluindo a Altri Florestal, S.A., bem como a empresa comum da EDP Bioeléctrica, entre outras.</v>
    <v>XLIS</v>
    <v>4.59</v>
    <v>810</v>
    <v>46085.465648148151</v>
    <v>0</v>
    <v>311940</v>
    <v>EUR</v>
    <v>ALTRI, S.G.P.S., S.A.</v>
    <v>ALTRI, S.G.P.S., S.A.</v>
    <v>31.634699999999999</v>
    <v>4.5999999999999996</v>
    <v>4.625</v>
    <v>Rua Manuel Pinto de Azevedo, 818, PORTO, 4100-320 PT</v>
    <v>Paper &amp; Forest Products</v>
    <v>ALTR</v>
    <v>Ações</v>
    <v>ALTRI, S.G.P.S., S.A. (XLIS:ALTR)</v>
    <v>3.5000000000000003E-2</v>
    <v>7.6249999999999998E-3</v>
    <v>100958</v>
  </rv>
  <rv s="2">
    <v>1</v>
  </rv>
  <rv s="3">
    <v>pt-BR</v>
    <v>c8mstc</v>
    <v>268435456</v>
    <v>1</v>
    <v>Da plataforma Refinitiv</v>
    <v>6</v>
    <v>7</v>
    <v>Arrabidashopping</v>
    <v>8</v>
    <v>9</v>
    <v>Finance</v>
    <v>10</v>
    <v>85239978.5</v>
    <v>0</v>
    <v>54.302999999999997</v>
    <v>46052</v>
    <v>46084.607736715625</v>
    <v>EUR</v>
    <v>Arrabidashopping</v>
    <v>PT</v>
    <v>54.698</v>
    <v>2.5884000000000001E-2</v>
    <v>0</v>
    <v>-2.4099999999999997E-8</v>
    <v>4.3480000000000003E-3</v>
    <v>3.4883000000000004E-2</v>
    <v>0</v>
    <v>7.2740000000000001E-3</v>
    <v>c1847</v>
    <v>Fundo Mútuo</v>
    <v>Arrabidashopping</v>
    <v>0.39500000000000002</v>
    <v>7.2740000000000001E-3</v>
  </rv>
  <rv s="2">
    <v>3</v>
  </rv>
  <rv s="4">
    <v>12</v>
    <v>Preço</v>
    <v>0</v>
  </rv>
  <rv s="5">
    <v>12</v>
    <v>1</v>
  </rv>
  <rv s="0">
    <v>https://www.bing.com/financeapi/forcetrigger?t=alwk2w&amp;q=XLIS%3aBCP&amp;form=skydnc</v>
    <v>Learn more on Bing</v>
  </rv>
  <rv s="1">
    <v>pt-BR</v>
    <v>alwk2w</v>
    <v>268435456</v>
    <v>1</v>
    <v>Da plataforma Refinitiv</v>
    <v>0</v>
    <v>1</v>
    <v>Banco Comercial Português, S.A. (XLIS:BCP)</v>
    <v>3</v>
    <v>4</v>
    <v>Finance</v>
    <v>5</v>
    <v>0.95</v>
    <v>0.44</v>
    <v>XLIS</v>
    <v>14804630000</v>
    <v>0.85599999999999998</v>
    <v>1985</v>
    <v>0.81699999999999995</v>
    <v>0.85270000000000001</v>
    <v>Euronext Lisbon</v>
    <v>13149470000</v>
    <v>O Banco Comercial Português SA (o Banco) é um banco privado com sediado em Portugal. Os segmentos de negócios do Banco incluem Banca de Retalho, Empresas, Banco Corporativo e de Investimento, Banca Privada, Portfólio de negócios secundários, Negócios estrangeiros e outros. Os segmentos de Banca de Retalho incluem a Rede de Retalho do Millennium BCP e ActivoBank. O segmento de Empresas e Bancos Corporativos de Investimento inclui empresas da rede do Millennium BCP, Divisão de Recuperação Especializada, Divisão de Negócios Imobiliários, Interfundos, Redes Corporativas e de Grandes Empresas do Millennium BCP, Banca de Investimento, e Divisão Internacional. O segmento de Banca Privada inclui Redes Privadas Bancárias do Millennium BCP (Portugal), do Millennium Banque Privee (Switzerland) e do Millennium BCP Bank &amp; Trust (Ilhas Caimão). O segmento de negócios estrangeiros inclui o Banco Internacional de Moçambique, o Banco Millennium Angola e o Millennium Banque Privee (Switzerland).</v>
    <v>XLIS</v>
    <v>0.8216</v>
    <v>15664</v>
    <v>46085.471759259257</v>
    <v>7</v>
    <v>67507330</v>
    <v>EUR</v>
    <v>Banco Comercial Português, S.A.</v>
    <v>Banco Comercial Português, S.A.</v>
    <v>12.511799999999999</v>
    <v>0.82020000000000004</v>
    <v>0.8508</v>
    <v>Praca D. Joao I 28, PORTO, 4000-295 PT</v>
    <v>Banking Services</v>
    <v>BCP</v>
    <v>Ações</v>
    <v>Banco Comercial Português, S.A. (XLIS:BCP)</v>
    <v>2.92E-2</v>
    <v>3.5539999999999995E-2</v>
    <v>48961067</v>
  </rv>
  <rv s="2">
    <v>8</v>
  </rv>
  <rv s="6">
    <v>pt-BR</v>
    <v>ceslvh</v>
    <v>268435456</v>
    <v>1</v>
    <v>Da plataforma Refinitiv</v>
    <v>11</v>
    <v>12</v>
    <v>CONDURIL - ENGENHARIA, S.A. (OTCM:CNDEF)</v>
    <v>13</v>
    <v>14</v>
    <v>Finance</v>
    <v>15</v>
    <v>77.099999999999994</v>
    <v>77.099999999999994</v>
    <v>OTCM</v>
    <v>2200000</v>
    <v>1959</v>
    <v>0.79169999999999996</v>
    <v>OTC Markets</v>
    <v>A CONDURIL - Engenharia, S. A., anteriormente Conduril Construtora Duriense, S.A., é uma empresa sediada em Portugal com atividade no setor da engenharia civil. A Empresa está envolvida na construção de uma gama de obras públicas e privadas, como barragens, pontes, autoestradas, estradas, saneamento, edifícios residenciais e comerciais, bem como na construção de obras hidráulicas, águas subterrâneas e obras geotécnicas. Além de Portugal, a Empresa realiza as suas atividades em países como Angola, Moçambique, Botsuana, Cabo Verde, Espanha e Marrocos. Em 31 de dezembro de 2011, a empresa tinha seis subsidiárias: Conduril - Gestão de Concessões de Infraestruturas, S.A., Edirio - Construções, S.A., Metis Engenharia, S.A., ENOP - Engenharia e Obras Públicas, Lda, Mabalane-Inertes, Lda e 4M Propriedades, S.A.</v>
    <v>OTCM</v>
    <v>2180</v>
    <v>1-01-02T00:00:00.0000000</v>
    <v>USD</v>
    <v>CONDURIL - ENGENHARIA, S.A.</v>
    <v>CONDURIL - ENGENHARIA, S.A.</v>
    <v>0</v>
    <v>Av. Eng. Duarte Pacheco, 1835, ERMESINDE, 4445-416 PT</v>
    <v>Construction &amp; Engineering</v>
    <v>CNDEF</v>
    <v>Ações</v>
    <v>CONDURIL - ENGENHARIA, S.A. (OTCM:CNDEF)</v>
    <v>132</v>
  </rv>
  <rv s="2">
    <v>10</v>
  </rv>
  <rv s="0">
    <v>https://www.bing.com/financeapi/forcetrigger?t=alwkk2&amp;q=XLIS%3aCOR&amp;form=skydnc</v>
    <v>Learn more on Bing</v>
  </rv>
  <rv s="1">
    <v>pt-BR</v>
    <v>alwkk2</v>
    <v>268435456</v>
    <v>1</v>
    <v>Da plataforma Refinitiv</v>
    <v>0</v>
    <v>1</v>
    <v>Corticeira Amorim, S.G.P.S., S.A. (XLIS:COR)</v>
    <v>3</v>
    <v>4</v>
    <v>Finance</v>
    <v>5</v>
    <v>8.52</v>
    <v>6.36</v>
    <v>XLIS</v>
    <v>133000000</v>
    <v>6.5</v>
    <v>1963</v>
    <v>6.43</v>
    <v>0.47249999999999998</v>
    <v>Euronext Lisbon</v>
    <v>911050000</v>
    <v>A Corticeira Amorim SGPS, S.A. (Corticeira Amorim) é uma holding com sede em Portugal que se dedica à indústria de cortiça. A Empresa organiza as suas atividades em cinco áreas comerciais: matérias-primas, rolhas de cortiça, revestimentos, compósitos de cortiça e isolamentos. Na área das matérias-primas, a Empresa ocupa-se da compra, armazenamento e preparação inicial da cortiça. A área das rolhas de cortiça produz e fornece vários tipos de tampas de garrafas, principalmente para a indústria vinícola. A área dos revestimentos ocupa-se da produção de laminados à base de cortiça. As áreas dos compósitos de cortiça e dos isolamentos produzem produtos de isolamento térmico, acústico e anti-vibração, entre outros. A Empresa e as suas subsidiárias operam em Portugal, Espanha, Tunísia, Estados Unidos, Austrália, Alemanha, China, Itália, Argentina, França e Holanda, entre outros. A Empresa é uma subsidiária da Amorim Capital SGPS, SA.</v>
    <v>XLIS</v>
    <v>6.46</v>
    <v>4849</v>
    <v>46085.471643518518</v>
    <v>12</v>
    <v>187830</v>
    <v>EUR</v>
    <v>Corticeira Amorim, S.G.P.S., S.A.</v>
    <v>Corticeira Amorim, S.G.P.S., S.A.</v>
    <v>15.4785</v>
    <v>6.45</v>
    <v>6.47</v>
    <v>Rua Comendador Americo Ferreira Amorim, N 380, Apartado 20, Mozelos, SANTA MARIA DA FEIRA, 4536-902 PT</v>
    <v>Paper &amp; Forest Products</v>
    <v>COR</v>
    <v>Ações</v>
    <v>Corticeira Amorim, S.G.P.S., S.A. (XLIS:COR)</v>
    <v>0.01</v>
    <v>1.5479999999999999E-3</v>
    <v>87100</v>
  </rv>
  <rv s="2">
    <v>13</v>
  </rv>
  <rv s="0">
    <v>https://www.bing.com/financeapi/forcetrigger?t=alwksm&amp;q=XLIS%3aCTT&amp;form=skydnc</v>
    <v>Learn more on Bing</v>
  </rv>
  <rv s="1">
    <v>pt-BR</v>
    <v>alwksm</v>
    <v>268435456</v>
    <v>1</v>
    <v>Da plataforma Refinitiv</v>
    <v>0</v>
    <v>1</v>
    <v>CTT Correios de Portugal, S.A. (XLIS:CTT)</v>
    <v>3</v>
    <v>4</v>
    <v>Finance</v>
    <v>5</v>
    <v>8.14</v>
    <v>6.47</v>
    <v>XLIS</v>
    <v>133820000</v>
    <v>6.85</v>
    <v>1969</v>
    <v>6.75</v>
    <v>0.48759999999999998</v>
    <v>Euronext Lisbon</v>
    <v>975547800</v>
    <v>A CTT - Correios de Portugal, S.A. é uma empresa sediada em Portugal, com atividade principalmente na prestação de serviços de correio. As atividades da Empresa estão estruturadas em quatro segmentos comerciais: correio, expresso e encomendas, serviços financeiros e Banco CCT. O segmento do correio opera estações de correios, bem como ofertas de serviços postais para clientes empresariais, distribuição de materiais publicitários e soluções de comunicação postal, entre outros. O segmento expresso e encomendas disponibiliza serviços de entregas postais, bem como correio urgente de distribuição de encomendas sob as marcas comerciais CTT Expresso, Tourline e Corre. O segmento dos serviços financeiros sob a marca comercial PayShop oferece o processamento de pagamentos através de uma rede nacional de agentes, tais como supermercados, lojas e quiosques de tabaco. O segmento Banco CCT inclui a atividade da banca de retalho. A Empresa opera em Portugal, Espanha e Moçambique.</v>
    <v>XLIS</v>
    <v>6.8</v>
    <v>13954</v>
    <v>46085.471164628907</v>
    <v>15</v>
    <v>222790</v>
    <v>EUR</v>
    <v>CTT Correios de Portugal, S.A.</v>
    <v>CTT Correios de Portugal, S.A.</v>
    <v>18.0519</v>
    <v>6.8</v>
    <v>6.82</v>
    <v>Piso 14 Avenida dos Combatentes 43, LISBOA, 1643-001 PT</v>
    <v>Freight &amp; Logistics Services</v>
    <v>CTT</v>
    <v>Ações</v>
    <v>CTT Correios de Portugal, S.A. (XLIS:CTT)</v>
    <v>0.02</v>
    <v>2.9409999999999996E-3</v>
    <v>143527</v>
  </rv>
  <rv s="2">
    <v>16</v>
  </rv>
  <rv s="0">
    <v>https://www.bing.com/financeapi/forcetrigger?t=alwkyc&amp;q=XLIS%3aEDP&amp;form=skydnc</v>
    <v>Learn more on Bing</v>
  </rv>
  <rv s="1">
    <v>pt-BR</v>
    <v>alwkyc</v>
    <v>268435456</v>
    <v>1</v>
    <v>Da plataforma Refinitiv</v>
    <v>0</v>
    <v>1</v>
    <v>EDP, S.A. (XLIS:EDP)</v>
    <v>3</v>
    <v>4</v>
    <v>Finance</v>
    <v>5</v>
    <v>4.54</v>
    <v>2.88</v>
    <v>XLIS</v>
    <v>4184021000</v>
    <v>4.3019999999999996</v>
    <v>1976</v>
    <v>4.2149999999999999</v>
    <v>1.0678000000000001</v>
    <v>Euronext Lisbon</v>
    <v>17150300000</v>
    <v>A EDP SA, antiga EDP Energias de Portugal SA, é uma holding sediada no Brasil que opera através das suas subsidiárias. Os negócios do Grupo estão focados na geração, transmissão, distribuição e fornecimento de eletricidade e fornecimento de gás. Além disso, o Grupo também atua em áreas afins, como engenharia, testes laboratoriais, formação profissional, serviços de energia e gestão imobiliária. As atividades da EDP dividem-se em dois segmentos de negócio: Energias renováveis, Clientes e Gestão de Energia, que corresponde à atividade de geração de eletricidade a partir de fontes renováveis, principalmente hidroelétrica, eólica e solar; e Redes, que correspondem às atividades de distribuição e transmissão de eletricidade.</v>
    <v>XLIS</v>
    <v>4.2539999999999996</v>
    <v>12591</v>
    <v>46085.471736111111</v>
    <v>18</v>
    <v>17480140</v>
    <v>EUR</v>
    <v>EDP, S.A.</v>
    <v>EDP, S.A.</v>
    <v>15.460800000000001</v>
    <v>4.2309999999999999</v>
    <v>4.2949999999999999</v>
    <v>Avenida 24 de Julho 12, LISBOA, 1249-300 PT</v>
    <v>Electrical Utilities &amp; IPPs</v>
    <v>EDP</v>
    <v>Ações</v>
    <v>EDP, S.A. (XLIS:EDP)</v>
    <v>4.1000000000000002E-2</v>
    <v>9.6380000000000007E-3</v>
    <v>1747303</v>
  </rv>
  <rv s="2">
    <v>19</v>
  </rv>
  <rv s="0">
    <v>https://www.bing.com/financeapi/forcetrigger?t=boey1h&amp;q=XLIS%3aFLEXD&amp;form=skydnc</v>
    <v>Learn more on Bing</v>
  </rv>
  <rv s="7">
    <v>pt-BR</v>
    <v>boey1h</v>
    <v>268435456</v>
    <v>1</v>
    <v>Da plataforma Refinitiv</v>
    <v>16</v>
    <v>17</v>
    <v>FLEXDEAL – Sociedade de Investimento Mobiliário para Fomento da Economia, S.A. (XLIS:FLEXD)</v>
    <v>3</v>
    <v>18</v>
    <v>Finance</v>
    <v>5</v>
    <v>5</v>
    <v>4.76</v>
    <v>XLIS</v>
    <v>3717050</v>
    <v>4.8</v>
    <v>2014</v>
    <v>4.8</v>
    <v>Euronext Lisbon</v>
    <v>18585270</v>
    <v>A Flexdeal A SIMFE SA é uma empresa de investimento sediada em Portugal. A Companhia pretende investir em pequenas e médias empresas nacionais e estrangeiras como alternativa financeira aos bancos e de acordo com as leis em vigor.</v>
    <v>XLIS</v>
    <v>4.8</v>
    <v>27</v>
    <v>46083.708333333336</v>
    <v>21</v>
    <v>10</v>
    <v>EUR</v>
    <v>FLEXDEAL – Sociedade de Investimento Mobiliário para Fomento da Economia, S.A.</v>
    <v>FLEXDEAL – Sociedade de Investimento Mobiliário para Fomento da Economia, S.A.</v>
    <v>32.564500000000002</v>
    <v>4.8</v>
    <v>4.8</v>
    <v>Rua Dr. Francisco Torres N.78, BARCELOS, 4750-160 PT</v>
    <v>Investment Banking &amp; Investment Services</v>
    <v>FLEXD</v>
    <v>Ações</v>
    <v>FLEXDEAL – Sociedade de Investimento Mobiliário para Fomento da Economia, S.A. (XLIS:FLEXD)</v>
    <v>0</v>
    <v>0</v>
    <v>40</v>
  </rv>
  <rv s="2">
    <v>22</v>
  </rv>
  <rv s="0">
    <v>https://www.bing.com/financeapi/forcetrigger?t=alwlgh&amp;q=XLIS%3aGALP&amp;form=skydnc</v>
    <v>Learn more on Bing</v>
  </rv>
  <rv s="1">
    <v>pt-BR</v>
    <v>alwlgh</v>
    <v>268435456</v>
    <v>1</v>
    <v>Da plataforma Refinitiv</v>
    <v>0</v>
    <v>1</v>
    <v>Galp Energia, SGPS, S.A. (XLIS:GALP)</v>
    <v>3</v>
    <v>4</v>
    <v>Finance</v>
    <v>5</v>
    <v>19.97</v>
    <v>12.24</v>
    <v>XLIS</v>
    <v>695415600</v>
    <v>19.45</v>
    <v>1999</v>
    <v>18.760000000000002</v>
    <v>0.4612</v>
    <v>Euronext Lisbon</v>
    <v>11203150000</v>
    <v>A Galp Energia, SGPS, S.A. é uma holding sediada em Portugal com atividade na indústria do petróleo e do gás. As atividades da Galp estão estruturadas em três áreas comerciais: exploração e produção; refinação e marketing; gás e energia. No segmento da exploração e produção, a Empresa explora, desenvolve e produz óleo e gás natural, operando em aproximadamente 40 projetos em todo o mundo. No segmento da distribuição e refinação, a Galp Energia, SGPS, S.A. ocupa-se da operação em refinarias de petróleo e gás para a produção de gasolina, bem como do marketing de petróleo. A Empresa opera duas refinarias em Portugal. No segmento do gás e da energia, a Galp Energia, SGPS, S.A. ocupa-se principalmente da distribuição e comercialização de gás natural, bem como na produção e venda de eletricidade.</v>
    <v>XLIS</v>
    <v>19.434999999999999</v>
    <v>7086</v>
    <v>46085.47156173594</v>
    <v>24</v>
    <v>1939520</v>
    <v>EUR</v>
    <v>Galp Energia, SGPS, S.A.</v>
    <v>Galp Energia, SGPS, S.A.</v>
    <v>14.0953</v>
    <v>19.434999999999999</v>
    <v>18.875</v>
    <v>Avenida da India, 8, LISBOA, 1349-065 PT</v>
    <v>Oil &amp; Gas</v>
    <v>GALP</v>
    <v>Ações</v>
    <v>Galp Energia, SGPS, S.A. (XLIS:GALP)</v>
    <v>-0.56000000000000005</v>
    <v>-2.8814000000000003E-2</v>
    <v>1306481</v>
  </rv>
  <rv s="2">
    <v>25</v>
  </rv>
  <rv s="0">
    <v>https://www.bing.com/financeapi/forcetrigger?t=alwljc&amp;q=XLIS%3aGLINT&amp;form=skydnc</v>
    <v>Learn more on Bing</v>
  </rv>
  <rv s="8">
    <v>pt-BR</v>
    <v>alwljc</v>
    <v>268435456</v>
    <v>1</v>
    <v>Da plataforma Refinitiv</v>
    <v>19</v>
    <v>20</v>
    <v>GLINTT GLOBAL, S.A. (XLIS:GLINT)</v>
    <v>3</v>
    <v>21</v>
    <v>Finance</v>
    <v>5</v>
    <v>2.16</v>
    <v>0.49</v>
    <v>XLIS</v>
    <v>86962870</v>
    <v>1.32</v>
    <v>1.25</v>
    <v>0.72550000000000003</v>
    <v>Euronext Lisbon</v>
    <v>126965800</v>
    <v>A Glintt Global SA, anteriormente a Glintt Global Intelligent Technologies SA é uma empresa de serviços informáticos sediada em Portugal. Opera através de duas sub-marcas, a Glintt Life e a Glintt Next. A Glintt Life opera no mercado global de cuidados de saúde e dedica-se a revolucionar os cuidados de saúde através da inovação digital. Cria soluções de ponta que melhoram o atendimento ao paciente, garantem uma interoperabilidade eficiente e capacita os profissionais de saúde. A Glintt Next é uma consultoria de tecnologia multissetorial. Especializa-se no desenvolvimento de aplicações personalizadas. Desde a criação de aplicações Web interativas e móveis, o foco da Glintt Next está na gestão robusta de aplicações, garantindo que as empresas se mantenham ligadas e competitivas.</v>
    <v>XLIS</v>
    <v>1.25</v>
    <v>1302</v>
    <v>46085.468310185184</v>
    <v>27</v>
    <v>24040</v>
    <v>EUR</v>
    <v>GLINTT GLOBAL, S.A.</v>
    <v>GLINTT GLOBAL, S.A.</v>
    <v>15.834300000000001</v>
    <v>1.26</v>
    <v>1.3</v>
    <v>Beloura Office Park - Edf.10, Quinta da Beloura, SINTRA, PORTUGAL-NA, 2710-693 PT</v>
    <v>Software &amp; IT Services</v>
    <v>GLINT</v>
    <v>Ações</v>
    <v>GLINTT GLOBAL, S.A. (XLIS:GLINT)</v>
    <v>0.05</v>
    <v>0.04</v>
    <v>13084</v>
  </rv>
  <rv s="2">
    <v>28</v>
  </rv>
  <rv s="0">
    <v>https://www.bing.com/financeapi/forcetrigger?t=alwlp2&amp;q=XLIS%3aIBS&amp;form=skydnc</v>
    <v>Learn more on Bing</v>
  </rv>
  <rv s="1">
    <v>pt-BR</v>
    <v>alwlp2</v>
    <v>268435456</v>
    <v>1</v>
    <v>Da plataforma Refinitiv</v>
    <v>0</v>
    <v>1</v>
    <v>Ibersol, SGPS, SA. (XLIS:IBS)</v>
    <v>3</v>
    <v>4</v>
    <v>Finance</v>
    <v>5</v>
    <v>12</v>
    <v>7.88</v>
    <v>XLIS</v>
    <v>40899130</v>
    <v>11.1</v>
    <v>1985</v>
    <v>10.75</v>
    <v>0.3841</v>
    <v>Euronext Lisbon</v>
    <v>405719300</v>
    <v>A Ibersol, SGPS, SA. é uma empresa sediada em Portugal, com atividade principalmente na restauração. Tem atividade em Portugal e Espanha. A Empresa organiza as suas atividades em seis áreas comerciais: restaurantes e entregas; balcões; viagens; quiosques de café; catering; e concessões. Na área dos restaurantes e das entregas, ocupa-se da exploração de cadeias de restaurantes, sob as marcas comerciais Pizza Hut, Pasta Caffe e Pizza Movil. Na área dos balcões, opera cadeias de restaurantes sob a imagem comercial KFC, O Kilo, Burger King e Pans, bem como sob as marcas comerciais The Eat-Out Group. A área das viagens inclui a prestação de serviços de alimentação nas autoestradas e aeroportos. A área dos quiosques de café consiste em retalhistas de café sob a marca comercial Delta. Na área do catering, ocupa-se da preparação de refeições. A área das concessões inclui a gestão de concessões para prestação de serviços de alimentação nalguns locais em Portugal, tais como o Museu de Serralves e a Casa da Música, entre outros.</v>
    <v>XLIS</v>
    <v>10.7</v>
    <v>8471</v>
    <v>46085.453314421095</v>
    <v>30</v>
    <v>12630</v>
    <v>EUR</v>
    <v>Ibersol, SGPS, SA.</v>
    <v>Ibersol, SGPS, SA.</v>
    <v>33.465200000000003</v>
    <v>11.1</v>
    <v>11</v>
    <v>Edificio Peninsula Praca do Bom Sucesso, 105 a 159 - 9, PORTO, 4150-146 PT</v>
    <v>Hotels &amp; Entertainment Services</v>
    <v>IBS</v>
    <v>Ações</v>
    <v>Ibersol, SGPS, SA. (XLIS:IBS)</v>
    <v>0.3</v>
    <v>2.8036999999999999E-2</v>
    <v>9344</v>
  </rv>
  <rv s="2">
    <v>31</v>
  </rv>
  <rv s="0">
    <v>https://www.bing.com/financeapi/forcetrigger?t=alwlxm&amp;q=XLIS%3aIPR&amp;form=skydnc</v>
    <v>Learn more on Bing</v>
  </rv>
  <rv s="1">
    <v>pt-BR</v>
    <v>alwlxm</v>
    <v>268435456</v>
    <v>1</v>
    <v>Da plataforma Refinitiv</v>
    <v>0</v>
    <v>1</v>
    <v>IMPRESA-Sociedade Gestora de Participações Sociais, S. A. (XLIS:IPR)</v>
    <v>3</v>
    <v>4</v>
    <v>Finance</v>
    <v>5</v>
    <v>0.33</v>
    <v>0.09</v>
    <v>XLIS</v>
    <v>168000000</v>
    <v>0.191</v>
    <v>1990</v>
    <v>0.17699999999999999</v>
    <v>0.74760000000000004</v>
    <v>Euronext Lisbon</v>
    <v>33600000</v>
    <v>A IMPRESA - SOCIEDADE GESTORA DE PARTICIPAÇÕES SOCIAIS, S.A. (Impresa SGPS SA) é uma holding sediada em Portugal envolvida na indústria de média, com interesses abrangendo a transmissão de televisão e publicação de jornais, entre outros. A Empresa divide o seu negócio em três segmentos principais: segmento de Televisão, que inclui produção de vídeo e operação de canais de televisão privados em Portugal, como a SIC, SIC Noticias, SIC Radical e SIC Internacional; segmento de Publicações, que atua na publicação de jornais, incluindo o Expresso e o segmento Outros, que inclui atividades no setor imobiliário, soluções multimédia e soluções tecnológicas de localização geográfica. A Empresa opera uma plataforma online, Impresa Media Criativa, que reúne todas as suas lojas criativas. As subsidiárias da Empresa incluem a Impresa Publishing SA, SIC - Sociedade Independente de Comunicação SA, Impresa Digital Produção Multimédia Lda e Impresa Serviços Sociedade Unipessoal Lda, entre outras.</v>
    <v>XLIS</v>
    <v>0.18</v>
    <v>906</v>
    <v>46085.467615740738</v>
    <v>33</v>
    <v>261990</v>
    <v>EUR</v>
    <v>IMPRESA-Sociedade Gestora de Participações Sociais, S. A.</v>
    <v>IMPRESA-Sociedade Gestora de Participações Sociais, S. A.</v>
    <v>0</v>
    <v>0.17899999999999999</v>
    <v>0.18</v>
    <v>Rua Calvet de Magalhaes, 242, PACO DE ARCOS, 2770-022 PT</v>
    <v>Media &amp; Publishing</v>
    <v>IPR</v>
    <v>Ações</v>
    <v>IMPRESA-Sociedade Gestora de Participações Sociais, S. A. (XLIS:IPR)</v>
    <v>0</v>
    <v>0</v>
    <v>95308</v>
  </rv>
  <rv s="2">
    <v>34</v>
  </rv>
  <rv s="0">
    <v>https://www.bing.com/financeapi/forcetrigger?t=alwm1h&amp;q=XLIS%3aJMT&amp;form=skydnc</v>
    <v>Learn more on Bing</v>
  </rv>
  <rv s="8">
    <v>pt-BR</v>
    <v>alwm1h</v>
    <v>268435456</v>
    <v>1</v>
    <v>Da plataforma Refinitiv</v>
    <v>19</v>
    <v>20</v>
    <v>Jerónimo Martins, SGPS, S.A. (XLIS:JMT)</v>
    <v>3</v>
    <v>21</v>
    <v>Finance</v>
    <v>5</v>
    <v>23.28</v>
    <v>19.059999999999999</v>
    <v>XLIS</v>
    <v>629293200</v>
    <v>21.72</v>
    <v>21.48</v>
    <v>0.94530000000000003</v>
    <v>Euronext Lisbon</v>
    <v>13202570000</v>
    <v>A Jerónimo Martins, SGPS, S.A. é uma empresa sediada em Portugal, que se desenvolve principalmente dentro do comércio a retalho de alimentos. As atividades da Empresa estão estruturadas em três áreas comerciais: Portugal Retail, que engloba o funcionamento dos supermercados Pingo Doce; Portugal Cash &amp; Carry, que inclui a unidade de negócio grossista Recheio; e Polónia Retail, que opera uma rede de supermercados sob a marca comercial Biedronka. Além disso, está envolvida na operação de farmácias com a imagem comercial Hebe e sob a marca comercial Apteka Na Zdrowie; produção de azeite, óleo de culinária, produtos de higiene pessoal e domésticos, gelados e refrigerantes, entre outros; distribuição e representação de marcas comerciais internacionais, bem como desenvolvimento de projetos no setor da restauração. Opera em vários países, incluindo Polónia, Portugal e Colômbia. A Empresa é uma subsidiária da Sociedade Francisco Manuel dos Santos BV.</v>
    <v>XLIS</v>
    <v>21.38</v>
    <v>139907</v>
    <v>46085.471568344532</v>
    <v>36</v>
    <v>754790</v>
    <v>EUR</v>
    <v>Jerónimo Martins, SGPS, S.A.</v>
    <v>Jerónimo Martins, SGPS, S.A.</v>
    <v>21.168900000000001</v>
    <v>21.52</v>
    <v>21.66</v>
    <v>Rua Actor Antonio Silva, n.7, LISBOA, 1649-033 PT</v>
    <v>Food &amp; Drug Retailing</v>
    <v>JMT</v>
    <v>Ações</v>
    <v>Jerónimo Martins, SGPS, S.A. (XLIS:JMT)</v>
    <v>0.28000000000000003</v>
    <v>1.3096000000000002E-2</v>
    <v>72697</v>
  </rv>
  <rv s="2">
    <v>37</v>
  </rv>
  <rv s="0">
    <v>https://www.bing.com/financeapi/forcetrigger?t=alwmcw&amp;q=XLIS%3aMAR&amp;form=skydnc</v>
    <v>Learn more on Bing</v>
  </rv>
  <rv s="1">
    <v>pt-BR</v>
    <v>alwmcw</v>
    <v>268435456</v>
    <v>1</v>
    <v>Da plataforma Refinitiv</v>
    <v>0</v>
    <v>1</v>
    <v>MARTIFER - S.G.P.S. S.A. (XLIS:MAR)</v>
    <v>3</v>
    <v>4</v>
    <v>Finance</v>
    <v>5</v>
    <v>2.74</v>
    <v>1.64</v>
    <v>XLIS</v>
    <v>100000000</v>
    <v>2.4500000000000002</v>
    <v>2004</v>
    <v>2.35</v>
    <v>0.72170000000000001</v>
    <v>Euronext Lisbon</v>
    <v>241000000</v>
    <v>A MARTIFER - S.G.P.S. S.A. é uma holding sediada em Portugal com atividade principalmente no setor da construção e no setor da energia renovável. A Empresa divide o seu negócio em dois segmentos principais: construção metálica e solar. Na área da construção metálica, a Empresa ocupa-se da construção de estruturas de aço, fachadas de vidro e de alumínio, bem como do fabrico de componentes para turbinas eólicas, torres de aço e equipamento para a indústria de petróleo e offshore. A Martifer ocupa-se igualmente da construção de projetos industriais e navais. Na área solar, a Empresa ocupa-se do desenvolvimento de projetos de sistemas fotovoltaicos e instalação de parques de energia solar, bem como da produção e distribuição dos módulos fotovoltaicos. Adicionalmente, a Empresa desenvolve e constrói projetos no setor da energia renovável, incluindo energia eólica e setores do biocombustível.</v>
    <v>XLIS</v>
    <v>2.35</v>
    <v>1598</v>
    <v>46085.460092592592</v>
    <v>39</v>
    <v>7920</v>
    <v>EUR</v>
    <v>MARTIFER - S.G.P.S. S.A.</v>
    <v>MARTIFER - S.G.P.S. S.A.</v>
    <v>11.815</v>
    <v>2.35</v>
    <v>2.35</v>
    <v>Zona Industrial, Apartado 17, OLIVEIRA DE FRADES, 3684-001 PT</v>
    <v>Construction &amp; Engineering</v>
    <v>MAR</v>
    <v>Ações</v>
    <v>MARTIFER - S.G.P.S. S.A. (XLIS:MAR)</v>
    <v>0</v>
    <v>0</v>
    <v>4306</v>
  </rv>
  <rv s="2">
    <v>40</v>
  </rv>
  <rv s="0">
    <v>https://www.bing.com/financeapi/forcetrigger?t=alwmfr&amp;q=XLIS%3aMCP&amp;form=skydnc</v>
    <v>Learn more on Bing</v>
  </rv>
  <rv s="9">
    <v>pt-BR</v>
    <v>alwmfr</v>
    <v>268435456</v>
    <v>1</v>
    <v>Da plataforma Refinitiv</v>
    <v>22</v>
    <v>23</v>
    <v>Grupo Média Capital, SGPS, S.A. (XLIS:MCP)</v>
    <v>3</v>
    <v>24</v>
    <v>Finance</v>
    <v>5</v>
    <v>2</v>
    <v>1.62</v>
    <v>XLIS</v>
    <v>84513180</v>
    <v>1.9</v>
    <v>1.9</v>
    <v>0.64780000000000004</v>
    <v>Euronext Lisbon</v>
    <v>160575000</v>
    <v>O Grupo Media Capital SGPS SA é uma empresa com sede em Portugal que atua na indústria dos media. A empresa opera em Portugal e Espanha. A estrutura adotada pelo Grupo Media Capital compreende três segmentos portáteis: Televisão, produção audiovisual e outros. O segmento de televisão envolve principalmente a transmissão do canal televisivo Televisao Independente (TVI) bem como a transmissão de outros canais de televisão temáticos. O segmento de produção audiovisual refere-se à produção e distribuição audiovisuais de programas de televisão e séries difundidas na Ibéria. O outro segmento inclui a produção e venda de música, a prestação de serviços de agência a artistas e a promoção do evento. A Empresa tem uma subsidiária direta, o Grupo Media Capital Meglo - Media Global, SGPS, SA e várias subsidiárias indirectas, como a CLMC - Multimedia, Unipessoal, Lda.</v>
    <v>XLIS</v>
    <v>1.9</v>
    <v>1106</v>
    <v>46020.708333333336</v>
    <v>42</v>
    <v>EUR</v>
    <v>Grupo Média Capital, SGPS, S.A.</v>
    <v>Grupo Média Capital, SGPS, S.A.</v>
    <v>13.4466</v>
    <v>1.9</v>
    <v>1.9</v>
    <v>Rua Mario Castelhano, 40 Queluz de Baixo, BARCARENA, 2734-502 PT</v>
    <v>Media &amp; Publishing</v>
    <v>MCP</v>
    <v>Ações</v>
    <v>Grupo Média Capital, SGPS, S.A. (XLIS:MCP)</v>
    <v>0</v>
    <v>0</v>
    <v>1</v>
  </rv>
  <rv s="2">
    <v>43</v>
  </rv>
  <rv s="0">
    <v>https://www.bing.com/financeapi/forcetrigger?t=alwl52&amp;q=XLIS%3aEGL&amp;form=skydnc</v>
    <v>Learn more on Bing</v>
  </rv>
  <rv s="1">
    <v>pt-BR</v>
    <v>alwl52</v>
    <v>268435456</v>
    <v>1</v>
    <v>Da plataforma Refinitiv</v>
    <v>0</v>
    <v>1</v>
    <v>Mota-Engil, SGPS, SA (XLIS:EGL)</v>
    <v>3</v>
    <v>4</v>
    <v>Finance</v>
    <v>5</v>
    <v>6.21</v>
    <v>2.81</v>
    <v>XLIS</v>
    <v>306775900</v>
    <v>4.8659999999999997</v>
    <v>1946</v>
    <v>4.492</v>
    <v>0.66439999999999999</v>
    <v>Euronext Lisbon</v>
    <v>1532039000</v>
    <v>A Mota Engil SGPS SA é uma empresa com sede em Portugal que atua principalmente na indústria da construção. A empresa divide o seu negócio em três segmentos principais: Engenharia e Construção; Ambiente e Serviços e Concessões de Transporte. Na divisão de Engenharia e Construção, realiza várias obras de engenharia, incluindo pontes, ferrovias, portos, aeroportos, barragens, autoestradas, estradas, canais e túneis, entre outros. A divisão Ambiente e Serviços está envolvida na gestão de resíduos sólidos urbanos e industriais; reabilitação de oleodutos e manutenção de edifícios, serviços de arquitetura paisagística, entre outros. A divisão de Concessões de Transporte, operada pela subsidiária da empresa Asendi Group SGPS, está ativa na gestão de autoestradas e vias rápidas. Além disso, a empresa concentra-se em atividades no setor do turismo.</v>
    <v>XLIS</v>
    <v>4.63</v>
    <v>51019</v>
    <v>46085.471321712503</v>
    <v>45</v>
    <v>1940910</v>
    <v>EUR</v>
    <v>Mota-Engil, SGPS, SA</v>
    <v>Mota-Engil, SGPS, SA</v>
    <v>11.2128</v>
    <v>4.5860000000000003</v>
    <v>4.8540000000000001</v>
    <v>Rua do Rego Lameiro, N 38, PORTO, 4300-454 PT</v>
    <v>Construction &amp; Engineering</v>
    <v>EGL</v>
    <v>Ações</v>
    <v>Mota-Engil, SGPS, SA (XLIS:EGL)</v>
    <v>0.224</v>
    <v>4.8379999999999999E-2</v>
    <v>2407658</v>
  </rv>
  <rv s="2">
    <v>46</v>
  </rv>
  <rv s="0">
    <v>https://www.bing.com/financeapi/forcetrigger?t=alwmlh&amp;q=XLIS%3aNOS&amp;form=skydnc</v>
    <v>Learn more on Bing</v>
  </rv>
  <rv s="1">
    <v>pt-BR</v>
    <v>alwmlh</v>
    <v>268435456</v>
    <v>1</v>
    <v>Da plataforma Refinitiv</v>
    <v>0</v>
    <v>1</v>
    <v>NOS, SGPS, S.A. (XLIS:NOS)</v>
    <v>3</v>
    <v>4</v>
    <v>Finance</v>
    <v>5</v>
    <v>5.38</v>
    <v>3.51</v>
    <v>XLIS</v>
    <v>515161400</v>
    <v>5.38</v>
    <v>1999</v>
    <v>5.04</v>
    <v>0.46879999999999999</v>
    <v>Euronext Lisbon</v>
    <v>2148223000</v>
    <v>A NOS, SGPS, S.A. conhecida como Zon Optimus SGPS, S.A., é uma empresa sediada em Portugal, com atividade na indústria de radiodifusão e telecomunicações. Foi constituída em resultado de uma fusão entre a ZON Multimedia Serviços de Telecomunicações e Multimédia SGPS, S.A. (ZON) e a Optimus - SGPS, S.A. (OPTIMUS). A Empresa ocupa-se da distribuição de televisão por cabo e satélite; produção de filmes, séries, desporto e canais para crianças e gestão do espaço publicitário nos canais pagos de televisão (TV) e em cinemas. Ocupa-se igualmente do fornecimento de uma gama de serviços de comunicações móveis e com fios, para clientes residenciais e empresariais, incluindo voz, dados, televisão (TV) e serviços de roaming. Além disso, tem atividade no setor audiovisual, que inclui produção de vídeo e de venda, distribuição e exibição cinematográfica, aquisição e negociação de TV paga e direitos de vídeos a pedido. A Empresa é uma subsidiária da ZOPT SGPS, S.A.</v>
    <v>XLIS</v>
    <v>5</v>
    <v>2386</v>
    <v>46085.471581423437</v>
    <v>48</v>
    <v>921210</v>
    <v>EUR</v>
    <v>NOS, SGPS, S.A.</v>
    <v>NOS, SGPS, S.A.</v>
    <v>10.8043</v>
    <v>5.04</v>
    <v>5.36</v>
    <v>Campo Grande Rua Actor Antonio Silva 9, LISBOA, 1600-404 PT</v>
    <v>Telecommunications Services</v>
    <v>NOS</v>
    <v>Ações</v>
    <v>NOS, SGPS, S.A. (XLIS:NOS)</v>
    <v>0.36</v>
    <v>7.2000000000000008E-2</v>
    <v>1281144</v>
  </rv>
  <rv s="2">
    <v>49</v>
  </rv>
  <rv s="0">
    <v>https://www.bing.com/financeapi/forcetrigger?t=alwmim&amp;q=XLIS%3aNBA&amp;form=skydnc</v>
    <v>Learn more on Bing</v>
  </rv>
  <rv s="1">
    <v>pt-BR</v>
    <v>alwmim</v>
    <v>268435456</v>
    <v>1</v>
    <v>Da plataforma Refinitiv</v>
    <v>0</v>
    <v>1</v>
    <v>NOVABASE - Sociedade Gestora de Participações Sociais, S.A. (XLIS:NBA)</v>
    <v>3</v>
    <v>4</v>
    <v>Finance</v>
    <v>5</v>
    <v>10.4</v>
    <v>6.85</v>
    <v>XLIS</v>
    <v>38418970</v>
    <v>9</v>
    <v>1989</v>
    <v>9</v>
    <v>0.4229</v>
    <v>Euronext Lisbon</v>
    <v>359217400</v>
    <v>A NOVABASE SGPS, S.A. é uma empresa sediada em Portugal, com atividade no fornecimento de soluções de tecnologia da informação (TI). A Empresa fornece serviços para um leque de setores, incluindo o setor financeiro, administração pública, cuidados de saúde, energia e serviços de utilidade pública, bem como de telecomunicações. As atividades da Empresa estão estruturadas em dois segmentos comerciais: soluções empresariais e capital de risco. O segmento das soluções empresariais fornece tecnologia de TI, gestão e conceção do sistema. O segmento do capital de risco identifica e desenvolve projetos comerciais de informação portuguesa e tecnologias da comunicação (TIC), que estão em desenvolvimento inicial ou expansão e têm potenciais sinergias com a Empresa. Além disso, oferece contratação de TI, que inclui serviços de pessoal para projetos de TI.</v>
    <v>XLIS</v>
    <v>9</v>
    <v>1281</v>
    <v>46085.442719351566</v>
    <v>51</v>
    <v>4900</v>
    <v>EUR</v>
    <v>NOVABASE - Sociedade Gestora de Participações Sociais, S.A.</v>
    <v>NOVABASE - Sociedade Gestora de Participações Sociais, S.A.</v>
    <v>60.04</v>
    <v>9</v>
    <v>9</v>
    <v>Av. D. Joao II, n34,, Parque das Nacoes, LISBOA, 1998-031 PT</v>
    <v>Software &amp; IT Services</v>
    <v>NBA</v>
    <v>Ações</v>
    <v>NOVABASE - Sociedade Gestora de Participações Sociais, S.A. (XLIS:NBA)</v>
    <v>0</v>
    <v>0</v>
    <v>2014</v>
  </rv>
  <rv s="2">
    <v>52</v>
  </rv>
  <rv s="0">
    <v>https://www.bing.com/financeapi/forcetrigger?t=alwnc7&amp;q=XLIS%3aPHR&amp;form=skydnc</v>
    <v>Learn more on Bing</v>
  </rv>
  <rv s="1">
    <v>pt-BR</v>
    <v>alwnc7</v>
    <v>268435456</v>
    <v>1</v>
    <v>Da plataforma Refinitiv</v>
    <v>0</v>
    <v>1</v>
    <v>PHAROL, SGPS S.A. (XLIS:PHR)</v>
    <v>3</v>
    <v>4</v>
    <v>Finance</v>
    <v>5</v>
    <v>0.12</v>
    <v>0.04</v>
    <v>XLIS</v>
    <v>896512500</v>
    <v>7.3200000000000001E-2</v>
    <v>1994</v>
    <v>7.0199999999999999E-2</v>
    <v>0.36270000000000002</v>
    <v>Euronext Lisbon</v>
    <v>62755880</v>
    <v>A PHAROL, SGPS S.A., anteriormente Portugal Telecom, SGPS, S.A., é uma sociedade aberta. Os ativos da PHAROL incluem a Oi, S.A., títulos de dívida da Rio Forte Investments, S.A. (Rio Forte) e a opção de compra da Oi. A Empresa gere o seu interesse, direto e indireto, na Oi, S.A. As subsidiárias da Empresa incluem a Bratel BV, a Bratel Brasil, S.A., a PTB2, S.A. e a Pharol Brasil.</v>
    <v>XLIS</v>
    <v>6.9000000000000006E-2</v>
    <v>11</v>
    <v>46085.461914791405</v>
    <v>54</v>
    <v>4280660</v>
    <v>EUR</v>
    <v>PHAROL, SGPS S.A.</v>
    <v>PHAROL, SGPS S.A.</v>
    <v>2.3386999999999998</v>
    <v>7.0400000000000004E-2</v>
    <v>7.3200000000000001E-2</v>
    <v>CV Esq Rua Gorgel do Amaral 4, LISBOA, 1250-119 PT</v>
    <v>Telecommunications Services</v>
    <v>PHR</v>
    <v>Ações</v>
    <v>PHAROL, SGPS S.A. (XLIS:PHR)</v>
    <v>4.1999999999999997E-3</v>
    <v>6.087E-2</v>
    <v>2187537</v>
  </rv>
  <rv s="2">
    <v>55</v>
  </rv>
  <rv s="0">
    <v>https://www.bing.com/financeapi/forcetrigger?t=alwo2w&amp;q=XLIS%3aRAM&amp;form=skydnc</v>
    <v>Learn more on Bing</v>
  </rv>
  <rv s="1">
    <v>pt-BR</v>
    <v>alwo2w</v>
    <v>268435456</v>
    <v>1</v>
    <v>Da plataforma Refinitiv</v>
    <v>0</v>
    <v>1</v>
    <v>RAMADA INVESTIMENTOS E INDÚSTRIA, S.A. (XLIS:RAM)</v>
    <v>3</v>
    <v>4</v>
    <v>Finance</v>
    <v>5</v>
    <v>8.14</v>
    <v>6.8</v>
    <v>XLIS</v>
    <v>25641460</v>
    <v>7.4</v>
    <v>2008</v>
    <v>7.36</v>
    <v>-2.12E-2</v>
    <v>Euronext Lisbon</v>
    <v>190259600</v>
    <v>A Ramada Investimentos e Indústria SA, anteriormente denominada F Ramada Investimentos SGPS SA, é uma holding com sede em Portugal que se dedica principalmente à produção e venda de produtos siderúrgicos e sistemas de armazenamento. A empresa divide os seus negócios em três segmentos: Aço, Sistemas de Armazenamento e Imobiliário. O segmento de Aço consiste no processamento a frio de aços e ligas não ferrosas, incluindo trefilação e usinagem de fios; tratamento térmico de componentes e ferramentas de aço, e distribuição e produção de ferramentas de corte e usinagem para metais. O segmento de Sistemas de Armazenamento inclui a fabricação e distribuição de soluções para as atividades de depósito nas indústrias de logística, alimentos, farmacêutica, papel e automóvel, entre outras. No segmento Imobiliário, a empresa está envolvida na gestão dos seus imóveis, bem como no arrendamento de terras para exploração florestal. A empresa opera através de subsidiárias, como a F Ramada Aços e Indústrias SA.</v>
    <v>XLIS</v>
    <v>7.36</v>
    <v>317</v>
    <v>46085.451940925785</v>
    <v>57</v>
    <v>1390</v>
    <v>EUR</v>
    <v>RAMADA INVESTIMENTOS E INDÚSTRIA, S.A.</v>
    <v>RAMADA INVESTIMENTOS E INDÚSTRIA, S.A.</v>
    <v>21.325600000000001</v>
    <v>7.36</v>
    <v>7.4</v>
    <v>Rua Manuel Pinto de Azevedo, 818, PORTO, 4100-320 PT</v>
    <v>Metals &amp; Mining</v>
    <v>RAM</v>
    <v>Ações</v>
    <v>RAMADA INVESTIMENTOS E INDÚSTRIA, S.A. (XLIS:RAM)</v>
    <v>0.04</v>
    <v>5.4349999999999997E-3</v>
    <v>1306</v>
  </rv>
  <rv s="2">
    <v>58</v>
  </rv>
  <rv s="0">
    <v>https://www.bing.com/financeapi/forcetrigger?t=amg29c&amp;q=BMEX%3aREN&amp;form=skydnc</v>
    <v>Learn more on Bing</v>
  </rv>
  <rv s="1">
    <v>pt-BR</v>
    <v>amg29c</v>
    <v>268435456</v>
    <v>1</v>
    <v>Da plataforma Refinitiv</v>
    <v>0</v>
    <v>1</v>
    <v>Renta Corp Rl Es (BMEX:REN)</v>
    <v>3</v>
    <v>4</v>
    <v>Finance</v>
    <v>5</v>
    <v>0.88</v>
    <v>0.66</v>
    <v>BMEX</v>
    <v>32888510</v>
    <v>0.8</v>
    <v>2000</v>
    <v>0.78</v>
    <v>0.85240000000000005</v>
    <v>Bolsas y Mercados Espanoles</v>
    <v>23936260</v>
    <v>Renta Corporacion Real Estate SA is a Spain-based company engaged in the real estate sector. The Company main activities comprise the acquisition, rehabilitation and sale of real estate properties in central locations of major cities. Its properties portfolio includes residential and urban buildings, as well as offices and large-scale property complexes. The Company is a parent of Grupo Renta Corporacion, a group which comprises such entities as Renta Corporacion Real Estate Finance SL, RC Real Estate Deutschland GmbH, Renta Properties (UK) LTD and Medas Corporacion Sarl, among others. On March 27, 2013, the Company entered bankruptcy proceedings. In December 2013, the Commercial Court No. 9 9 declared that the common phase of the proceedings 203/2013, 204/2013, 205/2013 and 206/2013 of the Company, Renta Corporacion Real Estate Finance, Renta Corporacion Real Estate and Renta Corporacion Core Business, was completed. In July 2014, it emerged from insolvency.</v>
    <v>BMEX</v>
    <v>0.8</v>
    <v>43</v>
    <v>46085.462280092594</v>
    <v>60</v>
    <v>44830</v>
    <v>EUR</v>
    <v>Renta Corp Rl Es</v>
    <v>Renta Corp Rl Es</v>
    <v>5.0697000000000001</v>
    <v>0.78400000000000003</v>
    <v>0.8</v>
    <v>Velazquez 24, 3 Izqda, MADRID, MADRID, 28001 ES</v>
    <v>Real Estate Operations</v>
    <v>REN</v>
    <v>Ações</v>
    <v>Renta Corp Rl Es (BMEX:REN)</v>
    <v>0</v>
    <v>0</v>
    <v>2415</v>
  </rv>
  <rv s="2">
    <v>61</v>
  </rv>
  <rv s="10">
    <v>pt-BR</v>
    <v>cflvim</v>
    <v>268435456</v>
    <v>1</v>
    <v>Da plataforma Refinitiv</v>
    <v>25</v>
    <v>26</v>
    <v>Samba Digital, SGPS, S.A. (XLIS:ALSMB)</v>
    <v>13</v>
    <v>27</v>
    <v>Finance</v>
    <v>5</v>
    <v>14.8</v>
    <v>13</v>
    <v>XLIS</v>
    <v>10000000</v>
    <v>14.8</v>
    <v>2022</v>
    <v>14.8</v>
    <v>Euronext Lisbon</v>
    <v>145000000</v>
    <v>A SAMBA Digital SGPS SA é uma holding pública com sede em Portugal que se dedica aos serviços de comunicação nos setores do desporto e do entretenimento que atua como uma agência de marketing. A Companhia, através de suas subsidiárias SAMBA Digital France SAS e SAMBA Digital Inc, realiza operações em publicidade, comunicações interativas, marketing digital, relações públicas e eventos, gestão de redes sociais, etc. As subsidiárias da Companhia têm o objetivo de apoiar clubes, ligas e empresas de apostas na criação de conteúdo e campanhas de marketing para vários grupos com alcance global, como o Paris Saint Germain, a Bundesliga e a Fórmula 1. Além disso, a empresa fornece serviços de tradução e outras agências de desporto digital.</v>
    <v>XLIS</v>
    <v>14.8</v>
    <v>46071.708333333336</v>
    <v>270</v>
    <v>EUR</v>
    <v>Samba Digital, SGPS, S.A.</v>
    <v>Samba Digital, SGPS, S.A.</v>
    <v>0</v>
    <v>14.8</v>
    <v>14.8</v>
    <v>Escritorio 2 Rua Alfredo Lopes, Vilaverde 15 B, LISBOA, 2774-517 PT</v>
    <v>Media &amp; Publishing</v>
    <v>ALSMB</v>
    <v>Ações</v>
    <v>Samba Digital, SGPS, S.A. (XLIS:ALSMB)</v>
    <v>0</v>
    <v>0</v>
    <v>2677</v>
  </rv>
  <rv s="2">
    <v>63</v>
  </rv>
  <rv s="0">
    <v>https://www.bing.com/financeapi/forcetrigger?t=alwopr&amp;q=XLIS%3aSEM&amp;form=skydnc</v>
    <v>Learn more on Bing</v>
  </rv>
  <rv s="8">
    <v>pt-BR</v>
    <v>alwopr</v>
    <v>268435456</v>
    <v>1</v>
    <v>Da plataforma Refinitiv</v>
    <v>19</v>
    <v>20</v>
    <v>SEMAPA - SOCIEDADE DE INVESTIMENTO E GESTÃO, SGPS, S.A. (XLIS:SEM)</v>
    <v>3</v>
    <v>21</v>
    <v>Finance</v>
    <v>5</v>
    <v>24.7</v>
    <v>13.62</v>
    <v>XLIS</v>
    <v>81270000</v>
    <v>22.25</v>
    <v>21.55</v>
    <v>0.67130000000000001</v>
    <v>Euronext Lisbon</v>
    <v>1804194000</v>
    <v>A SEMAPA - SOCIEDADE DE INVESTIMENTO E GESTÃO, SGPS, S.A. é uma holding sediada em Portugal empenhada em três segmentos de atividade: papel e pasta de papel; cimento e derivados, e meio-ambiente. O segmento comercial do papel e pasta de papel, operado pela subsidiária Portucel, S.A., ocupa-se da produção e venda de pasta de celulose e papel, bem como da produção agrícola e de silvicultura. O segmento comercial do cimento e derivados, operado pela subsidiária Secil - Companhia Geral de Cal e Cimento, S.A., desenvolve a sua atividade no fabrico e venda de cimento, betão pronto, argamassas secas pré-preparadas, betão pré-fabricado e cal hidráulica. O segmento comercial do meio-ambiente, operado pela subsidiária ETSA - Investimentos, SGPS, S.A., ocupa-se da recolha, transporte, armazenamento, processamento e recuperação de subprodutos animais, bem como da recolha e reciclagem de óleo de culinária usado. A Empresa, através das suas subsidiárias, opera na Tunísia, Espanha, Angola, Polónia e França, entre outros.</v>
    <v>XLIS</v>
    <v>22.05</v>
    <v>8475</v>
    <v>46085.467503032029</v>
    <v>65</v>
    <v>30090</v>
    <v>EUR</v>
    <v>SEMAPA - SOCIEDADE DE INVESTIMENTO E GESTÃO, SGPS, S.A.</v>
    <v>SEMAPA - SOCIEDADE DE INVESTIMENTO E GESTÃO, SGPS, S.A.</v>
    <v>10.201700000000001</v>
    <v>22.05</v>
    <v>21.9</v>
    <v>Av. Fontes Pereira de Melo, 14-10, LISBOA, 1050-121 PT</v>
    <v>Paper &amp; Forest Products</v>
    <v>SEM</v>
    <v>Ações</v>
    <v>SEMAPA - SOCIEDADE DE INVESTIMENTO E GESTÃO, SGPS, S.A. (XLIS:SEM)</v>
    <v>-0.15</v>
    <v>-6.803E-3</v>
    <v>16282</v>
  </rv>
  <rv s="2">
    <v>66</v>
  </rv>
  <rv s="0">
    <v>https://www.bing.com/financeapi/forcetrigger?t=alwp27&amp;q=XLIS%3aSON&amp;form=skydnc</v>
    <v>Learn more on Bing</v>
  </rv>
  <rv s="1">
    <v>pt-BR</v>
    <v>alwp27</v>
    <v>268435456</v>
    <v>1</v>
    <v>Da plataforma Refinitiv</v>
    <v>0</v>
    <v>1</v>
    <v>Sonae, SGPS, SA (XLIS:SON)</v>
    <v>3</v>
    <v>4</v>
    <v>Finance</v>
    <v>5</v>
    <v>2.0499999999999998</v>
    <v>0.98</v>
    <v>XLIS</v>
    <v>2000000000</v>
    <v>1.962</v>
    <v>1959</v>
    <v>1.9059999999999999</v>
    <v>0.91949999999999998</v>
    <v>Euronext Lisbon</v>
    <v>3320000000</v>
    <v>A SONAE - SGPS, S.A. é uma holding sediada em Portugal, que se desenvolve principalmente dentro do comércio a retalho de alimentos. A Empresa divide o seu negócio em seis segmentos: Sonae MC, que se ocupa das vendas a retalho na área alimentar, principalmente através de hipermercados, supermercados e lojas locais alimentares franqueadas; Sonae Sierra, que desenvolve e gere centros comerciais; Sonae SR, que inclui estabelecimentos de comércio a retalho especializados, como por exemplo, lojas de componentes eletrónicos, lojas de artigos de desporto e lojas de moda; Sonae RP, com atividade no sector imobiliário; Sonaecom, que presta serviços integrados de telecomunicações e o Investment Management, que apoia as atividades da Empresa, através da gestão da carteira de ativos. A carteira da Empresa inclui o Continente, Modalfa, Worten, Losan e marcas da Zippy, entre outras. A Empresa opera em aproximadamente 66 países, incluindo Portugal, Espanha, Grécia, Alemanha, Itália, Turquia e Brasil, entre outros.</v>
    <v>XLIS</v>
    <v>1.9079999999999999</v>
    <v>37722</v>
    <v>46085.471406388278</v>
    <v>68</v>
    <v>2387840</v>
    <v>EUR</v>
    <v>Sonae, SGPS, SA</v>
    <v>Sonae, SGPS, SA</v>
    <v>13.98</v>
    <v>1.9059999999999999</v>
    <v>1.96</v>
    <v>Lugar do Espido, Via Norte,, MAIA, 4471-909 PT</v>
    <v>Food &amp; Drug Retailing</v>
    <v>SON</v>
    <v>Ações</v>
    <v>Sonae, SGPS, SA (XLIS:SON)</v>
    <v>5.1999999999999998E-2</v>
    <v>2.7254E-2</v>
    <v>2686830</v>
  </rv>
  <rv s="2">
    <v>69</v>
  </rv>
  <rv s="0">
    <v>https://www.bing.com/financeapi/forcetrigger?t=ad14nm&amp;q=XSGO%3aSPORTING&amp;form=skydnc</v>
    <v>Learn more on Bing</v>
  </rv>
  <rv s="11">
    <v>pt-BR</v>
    <v>ad14nm</v>
    <v>268435456</v>
    <v>1</v>
    <v>Da plataforma Refinitiv</v>
    <v>28</v>
    <v>29</v>
    <v>Valparaiso Sport (XSGO:SPORTING)</v>
    <v>3</v>
    <v>30</v>
    <v>Finance</v>
    <v>31</v>
    <v>4727910.03</v>
    <v>4280002.7640000004</v>
    <v>XSGO</v>
    <v>6400</v>
    <v>4300000</v>
    <v>1900</v>
    <v>4300000</v>
    <v>Santiago Stock Exchange</v>
    <v>27520000000</v>
    <v>Valparaiso Sporting Club SA is a Chile-based company principally engaged in the management of horse racing courses. The Company hosts the annual Chilean Derby, a 2,400 meters race reserved exclusively for three-years-old thoroughbred horses. The Company also operates recreational parks and sports activity centers, as well as it is involved in the operation of the Teletrack national betting network with branches located nationwide. In addition, through its subsidiary Sociedad Veterinaria Sporting Ltda, the Company provides veterinary services. It also owns such subsidiaries as Hipotel SA, which is engaged in the broadcasting of equestrian events, and Sporting Eventos y Servicios Ltda, which is active in the leasing of the Company’s facilities for the celebration and hosting of events, executive meetings, weddings ceremonies and banquets, among others. As of December 31, 2011, Caso y Cia SAC was the Company’s majority shareholder with 28.1% of its interest.</v>
    <v>XSGO</v>
    <v>4300000</v>
    <v>489</v>
    <v>45825</v>
    <v>71</v>
    <v>CLP</v>
    <v>Valparaiso Sport</v>
    <v>Valparaiso Sport</v>
    <v>4300000</v>
    <v>4300000</v>
    <v>Los Castanos 404 CL</v>
    <v>Hotels &amp; Entertainment Services</v>
    <v>SPORTING</v>
    <v>Ações</v>
    <v>Valparaiso Sport (XSGO:SPORTING)</v>
    <v>0</v>
    <v>0</v>
    <v>2</v>
  </rv>
  <rv s="2">
    <v>72</v>
  </rv>
  <rv s="0">
    <v>https://www.bing.com/financeapi/forcetrigger?t=alwpgh&amp;q=XLIS%3aTDSA&amp;form=skydnc</v>
    <v>Learn more on Bing</v>
  </rv>
  <rv s="1">
    <v>pt-BR</v>
    <v>alwpgh</v>
    <v>268435456</v>
    <v>1</v>
    <v>Da plataforma Refinitiv</v>
    <v>0</v>
    <v>1</v>
    <v>TEIXEIRA DUARTE, S.A. (XLIS:TDSA)</v>
    <v>3</v>
    <v>4</v>
    <v>Finance</v>
    <v>5</v>
    <v>0.81</v>
    <v>0.1</v>
    <v>XLIS</v>
    <v>420000000</v>
    <v>0.49399999999999999</v>
    <v>2009</v>
    <v>0.47599999999999998</v>
    <v>0.84050000000000002</v>
    <v>Euronext Lisbon</v>
    <v>257040000</v>
    <v>A Teixeira Duarte SA é uma empresa com sede em Portugal e que se dedica principalmente ao setor da construção. As atividades da empresa estão divididas em sete segmentos de negócios: Construção, envolvidos em obras geotécnicas e de reabilitação, construção de edifícios e infraestrutura, bem como engenharia mecânica, entre outros; Concessões e Serviços, que opera autoestradas, unidades de recolha e tratamento de resíduos, administra propriedades e plantas de produção de cimento, entre outras; Mobiliária, que oferece desenvolvimento e gestão de imóveis residenciais, comerciais, de saúde, lazer, industriais e logísticos; Serviços de hotelaria, envolvidos na operação de hotéis e clubes de saúde; Distribuição, que consiste em produtos alimentícios no mercado de vendas e lojas de retalho, bem como na operação de lojas com utensílios domésticos; Energia, que atua na operação de postos de gasolina, distribuição de gás natural e venda de equipamentos de energia solar, entre outros, e Automotiva, que envolve a venda de automóveis e camiões.</v>
    <v>XLIS</v>
    <v>0.47599999999999998</v>
    <v>10530</v>
    <v>46085.471342592595</v>
    <v>74</v>
    <v>2242470</v>
    <v>EUR</v>
    <v>TEIXEIRA DUARTE, S.A.</v>
    <v>TEIXEIRA DUARTE, S.A.</v>
    <v>3.5933000000000002</v>
    <v>0.47599999999999998</v>
    <v>0.49299999999999999</v>
    <v>Lagoas Park, Edificio 2, PORTO SALVO, 2740-265 PT</v>
    <v>Construction &amp; Engineering</v>
    <v>TDSA</v>
    <v>Ações</v>
    <v>TEIXEIRA DUARTE, S.A. (XLIS:TDSA)</v>
    <v>1.7000000000000001E-2</v>
    <v>3.5714000000000003E-2</v>
    <v>713652</v>
  </rv>
  <rv s="2">
    <v>75</v>
  </rv>
  <rv s="0">
    <v>https://www.bing.com/financeapi/forcetrigger?t=alwmoc&amp;q=XLIS%3aNVG&amp;form=skydnc</v>
    <v>Learn more on Bing</v>
  </rv>
  <rv s="1">
    <v>pt-BR</v>
    <v>alwmoc</v>
    <v>268435456</v>
    <v>1</v>
    <v>Da plataforma Refinitiv</v>
    <v>0</v>
    <v>1</v>
    <v>THE NAVIGATOR COMPANY, S.A. (XLIS:NVG)</v>
    <v>3</v>
    <v>4</v>
    <v>Finance</v>
    <v>5</v>
    <v>3.67</v>
    <v>2.89</v>
    <v>XLIS</v>
    <v>711183000</v>
    <v>3.3359999999999999</v>
    <v>1993</v>
    <v>3.2719999999999998</v>
    <v>0.39689999999999998</v>
    <v>Euronext Lisbon</v>
    <v>2356861000</v>
    <v>THE NAVIGATOR COMPANY, S.A., anteriormente Portucel, S.A., é uma empresa sediada em Portugal, com atividade principalmente nas operações de fabrico do papel. As atividades da Empresa estão estruturadas em quatro segmentos: papel, pasta de papel, energia e silvicultura. O segmento do papel oferece papel não revestido e de escrita. O segmento da pasta de papel fornece pasta branqueada de eucalipto. O segmento da energia produz principalmente energia a partir dos combustíveis de biomassa no processo de cogeração, bem como produz calor para consumo interno. O segmento da silvicultura é responsável pela manutenção de viveiros de eucaliptos. Além disso, a Empresa disponibiliza papel de escritório e papel gráfico sob várias marcas comerciais, tais como a Navigator, Pioneer e Inacopia. A Empresa é uma subsidiária da Semapa - Sociedade de Investimento e Gestão, SGPS, S.A.</v>
    <v>XLIS</v>
    <v>3.32</v>
    <v>3955</v>
    <v>46085.471203703702</v>
    <v>77</v>
    <v>1493970</v>
    <v>EUR</v>
    <v>THE NAVIGATOR COMPANY, S.A.</v>
    <v>THE NAVIGATOR COMPANY, S.A.</v>
    <v>16.2242</v>
    <v>3.3159999999999998</v>
    <v>3.3</v>
    <v>Peninsula da Mitrena, Sado, SETUBAL, 2910-738 PT</v>
    <v>Paper &amp; Forest Products</v>
    <v>NVG</v>
    <v>Ações</v>
    <v>THE NAVIGATOR COMPANY, S.A. (XLIS:NVG)</v>
    <v>-0.02</v>
    <v>-6.0240000000000007E-3</v>
    <v>485454</v>
  </rv>
  <rv s="2">
    <v>78</v>
  </rv>
  <rv s="0">
    <v>https://www.bing.com/financeapi/forcetrigger?t=alwok2&amp;q=XLIS%3aSCT&amp;form=skydnc</v>
    <v>Learn more on Bing</v>
  </rv>
  <rv s="1">
    <v>pt-BR</v>
    <v>alwok2</v>
    <v>268435456</v>
    <v>1</v>
    <v>Da plataforma Refinitiv</v>
    <v>0</v>
    <v>1</v>
    <v>TOYOTA CAETANO PORTUGAL, S.A. (XLIS:SCT)</v>
    <v>3</v>
    <v>4</v>
    <v>Finance</v>
    <v>5</v>
    <v>7.5</v>
    <v>5</v>
    <v>XLIS</v>
    <v>35000000</v>
    <v>7.5</v>
    <v>1946</v>
    <v>7.5</v>
    <v>0.27179999999999999</v>
    <v>Euronext Lisbon</v>
    <v>231000000</v>
    <v>A TOYOTA CAETANO PORTUGAL, S.A. é uma empresa sediada em Portugal, envolvida na indústria automóvel. A Empresa desenvolve a sua atividade na área da importação, montagem e venda de automóveis de passageiros, veículos pesados e equipamento industrial, bem como da venda de peças sobresselentes para veículos motorizados e prestação de serviços técnicos pós-venda relacionados. A Toyota Caetano ocupa-se da importação e distribuição de produtos sob as marcas comerciais Toyota, Lexus e BT. Opera uma instalação industrial na cidade portuguesa de Ovar. Adicionalmente, a Empresa desenvolve o aluguer de equipamento industrial para movimento de carga. A Empresa opera a nível nacional e no estrangeiro, incluindo Alemanha, Reino Unido e Espanha, entre outros. Em 31 de dezembro de 2011, a Toyota Caetano teve três subsidiárias diretas: Saltano - Investimentos e Gestão, SGPS, S.A., Cabo Verde Motors, SARL e Movicargo - Movimentação Industrial, Lda.</v>
    <v>XLIS</v>
    <v>7.3</v>
    <v>1681</v>
    <v>46085.437704513279</v>
    <v>80</v>
    <v>470</v>
    <v>EUR</v>
    <v>TOYOTA CAETANO PORTUGAL, S.A.</v>
    <v>TOYOTA CAETANO PORTUGAL, S.A.</v>
    <v>10.830299999999999</v>
    <v>7.5</v>
    <v>7.5</v>
    <v>Av. Vasco da Gama, n 1410, VILA NOVA DE GAIA, 4431-956 PT</v>
    <v>Automobiles &amp; Auto Parts</v>
    <v>SCT</v>
    <v>Ações</v>
    <v>TOYOTA CAETANO PORTUGAL, S.A. (XLIS:SCT)</v>
    <v>0.2</v>
    <v>2.7397000000000001E-2</v>
    <v>3</v>
  </rv>
  <rv s="2">
    <v>81</v>
  </rv>
  <rv s="0">
    <v>https://www.bing.com/financeapi/forcetrigger?t=alwpm7&amp;q=XLIS%3aVAF&amp;form=skydnc</v>
    <v>Learn more on Bing</v>
  </rv>
  <rv s="8">
    <v>pt-BR</v>
    <v>alwpm7</v>
    <v>268435456</v>
    <v>1</v>
    <v>Da plataforma Refinitiv</v>
    <v>19</v>
    <v>20</v>
    <v>VAA - VISTA ALEGRE ATLANTIS, SGPS, S.A. (XLIS:VAF)</v>
    <v>3</v>
    <v>21</v>
    <v>Finance</v>
    <v>5</v>
    <v>1.1000000000000001</v>
    <v>0.93</v>
    <v>XLIS</v>
    <v>167650100</v>
    <v>1.0900000000000001</v>
    <v>1.0900000000000001</v>
    <v>-1.84E-2</v>
    <v>Euronext Lisbon</v>
    <v>177709100</v>
    <v>A VAA - VISTA ALEGRE ATLANTIS, SGPS, S.A. é uma holding sediada em Portugal, envolvida principalmente na produção e venda de artigos de porcelana, faiança, pratos de ir ao forno, cristal e vidro manual. A empresa possui várias subsidiárias diretas, incluindo Vista Alegre Atlantis, S.A., que está envolvida na produção e venda de porcelana, cristal, pratos de ir ao forno, faiança e produtos de vidro; VA-Vista Alegre Espanha, S.A., que se ocupa da distribuição e da venda a retalho de cristal e produtos cerâmicos em Espanha; VA Grupo-Vista Alegre Participações, S.A., que se ocupa da gestão de bens imobiliários; Faianças da Capoa-Indústria de Cerâmica, S.A., que gere a fábrica em Aradas, Portugal, onde a VAA produz a faiança; Cerexport-Cerâmica de Exportação, S.A., que gere a fábrica em Esgueira, Portugal, onde a VAA produz pratos de ir ao forno; e VA Renting, Lda., que oferece o aluguer de longa duração de pratos, talheres e utensílios, para a indústria hoteleira.</v>
    <v>XLIS</v>
    <v>1.0900000000000001</v>
    <v>2230</v>
    <v>46084.708333333336</v>
    <v>83</v>
    <v>13160</v>
    <v>EUR</v>
    <v>VAA - VISTA ALEGRE ATLANTIS, SGPS, S.A.</v>
    <v>VAA - VISTA ALEGRE ATLANTIS, SGPS, S.A.</v>
    <v>64.497</v>
    <v>1.0900000000000001</v>
    <v>1.0900000000000001</v>
    <v>Lugar de Vista Alegre, Sao Salvador, ILHAVO, 3830-292 PT</v>
    <v>Household Goods</v>
    <v>VAF</v>
    <v>Ações</v>
    <v>VAA - VISTA ALEGRE ATLANTIS, SGPS, S.A. (XLIS:VAF)</v>
    <v>0</v>
    <v>0</v>
    <v>614</v>
  </rv>
  <rv s="2">
    <v>84</v>
  </rv>
</rvData>
</file>

<file path=xl/richData/rdrichvaluestructure.xml><?xml version="1.0" encoding="utf-8"?>
<rvStructures xmlns="http://schemas.microsoft.com/office/spreadsheetml/2017/richdata" count="12">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Ativos líquidos"/>
    <k n="Classificação"/>
    <k n="Fechamento anterior"/>
    <k n="Hora da última transação"/>
    <k n="Last update time"/>
    <k n="Moeda" t="s"/>
    <k n="Nome" t="s"/>
    <k n="País/região" t="s"/>
    <k n="Preço"/>
    <k n="Retorno (1 a)"/>
    <k n="Retorno (1 m)"/>
    <k n="Retorno (1 s)"/>
    <k n="Retorno (3 a)"/>
    <k n="Retorno (3 m)"/>
    <k n="Retorno (5 a)"/>
    <k n="Retorno (AAD)"/>
    <k n="Símbolo do ticker" t="s"/>
    <k n="Tipo de instrumento" t="s"/>
    <k n="UniqueName" t="s"/>
    <k n="Variação"/>
    <k n="Variação (%)"/>
  </s>
  <s t="_error">
    <k n="errorType" t="i"/>
    <k n="field" t="s"/>
    <k n="subType" t="i"/>
  </s>
  <s t="_error">
    <k n="errorType" t="i"/>
    <k n="propagated" t="b"/>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no de incorporação"/>
    <k n="Beta"/>
    <k n="Bolsa" t="s"/>
    <k n="Descrição" t="s"/>
    <k n="ExchangeID" t="s"/>
    <k n="Funcionários"/>
    <k n="Hora da última transação" t="s"/>
    <k n="Moeda" t="s"/>
    <k n="Nome" t="s"/>
    <k n="Nome oficial" t="s"/>
    <k n="P/E"/>
    <k n="Sede" t="s"/>
    <k n="Setor" t="s"/>
    <k n="Símbolo do ticker" t="s"/>
    <k n="Tipo de instrumento" t="s"/>
    <k n="UniqueName" t="s"/>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Baixo"/>
    <k n="Beta"/>
    <k n="Bolsa" t="s"/>
    <k n="Capitalização de mercado"/>
    <k n="Descrição" t="s"/>
    <k n="ExchangeID" t="s"/>
    <k n="Fechamento anterior"/>
    <k n="Funcionários"/>
    <k n="Hora da última transação"/>
    <k n="LearnMoreOnLink" t="r"/>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olsa" t="s"/>
    <k n="Capitalização de mercado"/>
    <k n="Descrição" t="s"/>
    <k n="ExchangeID" t="s"/>
    <k n="Fechamento anterior"/>
    <k n="Hora da última transação"/>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olsa" t="s"/>
    <k n="Capitalização de mercado"/>
    <k n="Descrição" t="s"/>
    <k n="ExchangeID" t="s"/>
    <k n="Fechamento anterior"/>
    <k n="Funcionários"/>
    <k n="Hora da última transação"/>
    <k n="LearnMoreOnLink" t="r"/>
    <k n="Moeda" t="s"/>
    <k n="Nome" t="s"/>
    <k n="Nome oficial" t="s"/>
    <k n="Pendência"/>
    <k n="Preço"/>
    <k n="Sede" t="s"/>
    <k n="Setor" t="s"/>
    <k n="Símbolo do ticker" t="s"/>
    <k n="Tipo de instrumento" t="s"/>
    <k n="UniqueName" t="s"/>
    <k n="Variação"/>
    <k n="Variação (%)"/>
    <k n="Volume"/>
  </s>
</rvStructures>
</file>

<file path=xl/richData/rdsupportingpropertybag.xml><?xml version="1.0" encoding="utf-8"?>
<supportingPropertyBags xmlns="http://schemas.microsoft.com/office/spreadsheetml/2017/richdata2">
  <spbArrays count="8">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33">
      <v t="s">%EntityServiceId</v>
      <v t="s">_Format</v>
      <v t="s">%IsRefreshable</v>
      <v t="s">_CanonicalPropertyNames</v>
      <v t="s">%EntityCulture</v>
      <v t="s">%EntityId</v>
      <v t="s">_Icon</v>
      <v t="s">_Display</v>
      <v t="s">Nome</v>
      <v t="s">Preço</v>
      <v t="s">Símbolo do ticker</v>
      <v t="s">País/região</v>
      <v t="s">_SubLabel</v>
      <v t="s">Variação</v>
      <v t="s">Variação (%)</v>
      <v t="s">Classificação</v>
      <v t="s">Fechamento anterior</v>
      <v t="s">Retorno (AAD)</v>
      <v t="s">Retorno (1 s)</v>
      <v t="s">Retorno (1 m)</v>
      <v t="s">Retorno (3 m)</v>
      <v t="s">Retorno (1 a)</v>
      <v t="s">Retorno (3 a)</v>
      <v t="s">Retorno (5 a)</v>
      <v t="s">Ativos líquidos</v>
      <v t="s">_Flags</v>
      <v t="s">Last update time</v>
      <v t="s">Hora da última transação</v>
      <v t="s">Tipo de instrumento</v>
      <v t="s">Moeda</v>
      <v t="s">UniqueName</v>
      <v t="s">_DisplayString</v>
      <v t="s">%ProviderInfo</v>
    </a>
    <a count="33">
      <v t="s">%EntityServiceId</v>
      <v t="s">_Format</v>
      <v t="s">%IsRefreshable</v>
      <v t="s">_CanonicalPropertyNames</v>
      <v t="s">%EntityCulture</v>
      <v t="s">%EntityId</v>
      <v t="s">_Icon</v>
      <v t="s">_Display</v>
      <v t="s">Nome</v>
      <v t="s">Bolsa</v>
      <v t="s">Nome oficial</v>
      <v t="s">_SubLabel</v>
      <v t="s">Hora da última transação</v>
      <v t="s">Símbolo do ticker</v>
      <v t="s">Abreviatura do câmbio</v>
      <v t="s">Moeda</v>
      <v t="s">52 semanas de alta</v>
      <v t="s">52 semanas de baixa</v>
      <v t="s">Volume</v>
      <v t="s">Beta</v>
      <v t="s">P/E</v>
      <v t="s">Ações em circulação</v>
      <v t="s">Descrição</v>
      <v t="s">Funcionários</v>
      <v t="s">Sede</v>
      <v t="s">Setor</v>
      <v t="s">Tipo de instrumento</v>
      <v t="s">Ano de incorporação</v>
      <v t="s">_Flags</v>
      <v t="s">UniqueName</v>
      <v t="s">_DisplayString</v>
      <v t="s">ExchangeID</v>
      <v t="s">%ProviderInfo</v>
    </a>
    <a count="42">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P/E</v>
      <v t="s">Ações em circulação</v>
      <v t="s">Descrição</v>
      <v t="s">Funcionários</v>
      <v t="s">Sede</v>
      <v t="s">Setor</v>
      <v t="s">Tipo de instrumento</v>
      <v t="s">Ano de incorporação</v>
      <v t="s">_Flags</v>
      <v t="s">UniqueName</v>
      <v t="s">_DisplayString</v>
      <v t="s">LearnMoreOnLink</v>
      <v t="s">ExchangeID</v>
      <v t="s">%ProviderInfo</v>
    </a>
    <a count="42">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_Flags</v>
      <v t="s">UniqueName</v>
      <v t="s">_DisplayString</v>
      <v t="s">LearnMoreOnLink</v>
      <v t="s">ExchangeID</v>
      <v t="s">%ProviderInfo</v>
    </a>
    <a count="41">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Capitalização de mercado</v>
      <v t="s">Beta</v>
      <v t="s">P/E</v>
      <v t="s">Ações em circulação</v>
      <v t="s">Descrição</v>
      <v t="s">Funcionários</v>
      <v t="s">Sede</v>
      <v t="s">Setor</v>
      <v t="s">Tipo de instrumento</v>
      <v t="s">_Flags</v>
      <v t="s">UniqueName</v>
      <v t="s">_DisplayString</v>
      <v t="s">LearnMoreOnLink</v>
      <v t="s">ExchangeID</v>
      <v t="s">%ProviderInfo</v>
    </a>
    <a count="40">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P/E</v>
      <v t="s">Ações em circulação</v>
      <v t="s">Descrição</v>
      <v t="s">Sede</v>
      <v t="s">Setor</v>
      <v t="s">Tipo de instrumento</v>
      <v t="s">Ano de incorporação</v>
      <v t="s">_Flags</v>
      <v t="s">UniqueName</v>
      <v t="s">_DisplayString</v>
      <v t="s">ExchangeID</v>
      <v t="s">%ProviderInfo</v>
    </a>
    <a count="40">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Capitalização de mercado</v>
      <v t="s">Ações em circulação</v>
      <v t="s">Descrição</v>
      <v t="s">Funcionários</v>
      <v t="s">Sede</v>
      <v t="s">Setor</v>
      <v t="s">Tipo de instrumento</v>
      <v t="s">Ano de incorporação</v>
      <v t="s">_Flags</v>
      <v t="s">UniqueName</v>
      <v t="s">_DisplayString</v>
      <v t="s">LearnMoreOnLink</v>
      <v t="s">ExchangeID</v>
      <v t="s">%ProviderInfo</v>
    </a>
  </spbArrays>
  <spbData count="32">
    <spb s="0">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0</v>
      <v>Name</v>
      <v>LearnMoreOnLink</v>
    </spb>
    <spb s="2">
      <v>0</v>
      <v>0</v>
      <v>0</v>
    </spb>
    <spb s="3">
      <v>2</v>
      <v>2</v>
      <v>2</v>
      <v>2</v>
    </spb>
    <spb s="4">
      <v>1</v>
      <v>2</v>
      <v>1</v>
      <v>3</v>
      <v>2</v>
      <v>2</v>
      <v>4</v>
      <v>2</v>
      <v>2</v>
      <v>4</v>
      <v>5</v>
      <v>4</v>
      <v>6</v>
      <v>2</v>
      <v>2</v>
      <v>7</v>
      <v>4</v>
      <v>2</v>
      <v>8</v>
      <v>9</v>
    </spb>
    <spb s="5">
      <v>Atraso de 15 minutos</v>
      <v xml:space="preserve">do fechamento anterior </v>
      <v xml:space="preserve">do fechamento anterior </v>
      <v>GMT</v>
    </spb>
    <spb s="6">
      <v>Name</v>
      <v>Currency</v>
      <v>Price</v>
      <v>Change</v>
      <v>UniqueName</v>
      <v>Country/region</v>
      <v>Change (%)</v>
      <v>%ProviderInfo</v>
      <v>Rating</v>
      <v>Return (1y)</v>
      <v>Return (1m)</v>
      <v>Return (1w)</v>
      <v>Return (3y)</v>
      <v>Return (3m)</v>
      <v>Return (5y)</v>
      <v>Return (YTD)</v>
      <v>Net assets</v>
      <v>Last update time</v>
      <v>Ticker symbol</v>
      <v>Previous close</v>
      <v>Instrument type</v>
      <v>Last trade time</v>
    </spb>
    <spb s="7">
      <v>1</v>
      <v>Name</v>
    </spb>
    <spb s="8">
      <v>2</v>
      <v>2</v>
      <v>2</v>
    </spb>
    <spb s="9">
      <v>3</v>
      <v>2</v>
      <v>2</v>
      <v>5</v>
      <v>4</v>
      <v>5</v>
      <v>5</v>
      <v>5</v>
      <v>5</v>
      <v>5</v>
      <v>5</v>
      <v>5</v>
      <v>8</v>
      <v>9</v>
      <v>6</v>
      <v>2</v>
      <v>10</v>
    </spb>
    <spb s="10">
      <v xml:space="preserve">do fechamento anterior </v>
      <v xml:space="preserve">do fechamento anterior </v>
      <v>GMT</v>
      <v>GMT</v>
    </spb>
    <spb s="11">
      <v>P/E</v>
      <v>Beta</v>
      <v>Name</v>
      <v>Headquarters</v>
      <v>Exchange</v>
      <v>Currency</v>
      <v>Industry</v>
      <v>Volume</v>
      <v>Description</v>
      <v>ExchangeID</v>
      <v>UniqueName</v>
      <v>Employees</v>
      <v>Official name</v>
      <v>%ProviderInfo</v>
      <v>Ticker symbol</v>
      <v>52 week high</v>
      <v>52 week low</v>
      <v>Year incorporated</v>
      <v>Shares outstanding</v>
      <v>Instrument type</v>
      <v>Exchange abbreviation</v>
      <v>Last trade time</v>
    </spb>
    <spb s="7">
      <v>2</v>
      <v>Name</v>
    </spb>
    <spb s="12">
      <v>2</v>
      <v>2</v>
      <v>2</v>
    </spb>
    <spb s="13">
      <v>1</v>
      <v>1</v>
      <v>3</v>
      <v>4</v>
      <v>4</v>
      <v>6</v>
      <v>11</v>
      <v>11</v>
      <v>7</v>
      <v>4</v>
    </spb>
    <spb s="14">
      <v>GMT</v>
    </spb>
    <spb s="15">
      <v>P/E</v>
      <v>High</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3</v>
      <v>Name</v>
      <v>LearnMoreOnLink</v>
    </spb>
    <spb s="16">
      <v>1</v>
      <v>2</v>
      <v>3</v>
      <v>2</v>
      <v>2</v>
      <v>4</v>
      <v>2</v>
      <v>2</v>
      <v>4</v>
      <v>5</v>
      <v>4</v>
      <v>6</v>
      <v>2</v>
      <v>2</v>
      <v>7</v>
      <v>4</v>
      <v>2</v>
      <v>8</v>
      <v>9</v>
    </spb>
    <spb s="17">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Shares outstanding</v>
      <v>Previous close</v>
      <v>Instrument type</v>
      <v>Exchange abbreviation</v>
      <v>Market cap</v>
      <v>Last trade time</v>
    </spb>
    <spb s="1">
      <v>4</v>
      <v>Name</v>
      <v>LearnMoreOnLink</v>
    </spb>
    <spb s="18">
      <v>1</v>
      <v>2</v>
      <v>1</v>
      <v>3</v>
      <v>2</v>
      <v>2</v>
      <v>4</v>
      <v>2</v>
      <v>2</v>
      <v>4</v>
      <v>5</v>
      <v>4</v>
      <v>6</v>
      <v>2</v>
      <v>2</v>
      <v>4</v>
      <v>2</v>
      <v>8</v>
      <v>9</v>
    </spb>
    <spb s="19">
      <v>P/E</v>
      <v>High</v>
      <v>Beta</v>
      <v>Name</v>
      <v>Headquarters</v>
      <v>Low</v>
      <v>Exchange</v>
      <v>Currency</v>
      <v>Price</v>
      <v>Industry</v>
      <v>Volume</v>
      <v>Change</v>
      <v>Description</v>
      <v>Open</v>
      <v>ExchangeID</v>
      <v>UniqueName</v>
      <v>Employees</v>
      <v>Official name</v>
      <v>Change (%)</v>
      <v>%ProviderInfo</v>
      <v>LearnMoreOnLink</v>
      <v>Ticker symbol</v>
      <v>52 week high</v>
      <v>52 week low</v>
      <v>Shares outstanding</v>
      <v>Previous close</v>
      <v>Instrument type</v>
      <v>Exchange abbreviation</v>
      <v>Market cap</v>
      <v>Last trade time</v>
    </spb>
    <spb s="1">
      <v>5</v>
      <v>Name</v>
      <v>LearnMoreOnLink</v>
    </spb>
    <spb s="20">
      <v>1</v>
      <v>2</v>
      <v>1</v>
      <v>3</v>
      <v>2</v>
      <v>2</v>
      <v>4</v>
      <v>2</v>
      <v>2</v>
      <v>4</v>
      <v>5</v>
      <v>6</v>
      <v>2</v>
      <v>2</v>
      <v>4</v>
      <v>2</v>
      <v>8</v>
      <v>9</v>
    </spb>
    <spb s="21">
      <v>P/E</v>
      <v>High</v>
      <v>Name</v>
      <v>Headquarters</v>
      <v>Low</v>
      <v>Exchange</v>
      <v>Currency</v>
      <v>Price</v>
      <v>Industry</v>
      <v>Volume</v>
      <v>Change</v>
      <v>Description</v>
      <v>Open</v>
      <v>ExchangeID</v>
      <v>UniqueName</v>
      <v>Official name</v>
      <v>Change (%)</v>
      <v>%ProviderInfo</v>
      <v>Volume average</v>
      <v>Ticker symbol</v>
      <v>52 week high</v>
      <v>52 week low</v>
      <v>Year incorporated</v>
      <v>Shares outstanding</v>
      <v>Previous close</v>
      <v>Instrument type</v>
      <v>Exchange abbreviation</v>
      <v>Market cap</v>
      <v>Last trade time</v>
    </spb>
    <spb s="7">
      <v>6</v>
      <v>Name</v>
    </spb>
    <spb s="22">
      <v>1</v>
      <v>2</v>
      <v>3</v>
      <v>2</v>
      <v>2</v>
      <v>4</v>
      <v>2</v>
      <v>2</v>
      <v>5</v>
      <v>4</v>
      <v>6</v>
      <v>2</v>
      <v>2</v>
      <v>7</v>
      <v>4</v>
      <v>2</v>
      <v>8</v>
      <v>9</v>
    </spb>
    <spb s="23">
      <v>High</v>
      <v>Name</v>
      <v>Headquarters</v>
      <v>Low</v>
      <v>Exchange</v>
      <v>Currency</v>
      <v>Price</v>
      <v>Industry</v>
      <v>Volume</v>
      <v>Change</v>
      <v>Description</v>
      <v>Open</v>
      <v>ExchangeID</v>
      <v>UniqueName</v>
      <v>Employees</v>
      <v>Official name</v>
      <v>Change (%)</v>
      <v>%ProviderInfo</v>
      <v>LearnMoreOnLink</v>
      <v>Ticker symbol</v>
      <v>52 week high</v>
      <v>52 week low</v>
      <v>Year incorporated</v>
      <v>Shares outstanding</v>
      <v>Previous close</v>
      <v>Instrument type</v>
      <v>Exchange abbreviation</v>
      <v>Market cap</v>
      <v>Last trade time</v>
    </spb>
    <spb s="1">
      <v>7</v>
      <v>Name</v>
      <v>LearnMoreOnLink</v>
    </spb>
    <spb s="24">
      <v>12</v>
      <v>3</v>
      <v>12</v>
      <v>12</v>
      <v>4</v>
      <v>12</v>
      <v>12</v>
      <v>4</v>
      <v>5</v>
      <v>6</v>
      <v>12</v>
      <v>12</v>
      <v>7</v>
      <v>4</v>
      <v>12</v>
      <v>13</v>
      <v>10</v>
    </spb>
    <spb s="5">
      <v>Atraso de 20 minutos</v>
      <v xml:space="preserve">do fechamento anterior </v>
      <v xml:space="preserve">do fechamento anterior </v>
      <v>GMT</v>
    </spb>
  </spbData>
</supportingPropertyBags>
</file>

<file path=xl/richData/rdsupportingpropertybagstructure.xml><?xml version="1.0" encoding="utf-8"?>
<spbStructures xmlns="http://schemas.microsoft.com/office/spreadsheetml/2017/richdata2" count="25">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Order" t="spba"/>
    <k n="TitleProperty" t="s"/>
    <k n="SubTitleProperty" t="s"/>
  </s>
  <s>
    <k n="ShowInCardView" t="b"/>
    <k n="ShowInDotNotation" t="b"/>
    <k n="ShowInAutoComplete" t="b"/>
  </s>
  <s>
    <k n="ExchangeID" t="spb"/>
    <k n="UniqueName" t="spb"/>
    <k n="`%ProviderInfo" t="spb"/>
    <k n="LearnMoreOnLink" t="spb"/>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Variação (%)" t="s"/>
    <k n="Hora da última transação" t="s"/>
  </s>
  <s>
    <k n="Nome" t="s"/>
    <k n="Moeda" t="s"/>
    <k n="Preço" t="s"/>
    <k n="Variação" t="s"/>
    <k n="UniqueName" t="s"/>
    <k n="País/região" t="s"/>
    <k n="Variação (%)" t="s"/>
    <k n="%ProviderInfo" t="s"/>
    <k n="Classificação" t="s"/>
    <k n="Retorno (1 a)" t="s"/>
    <k n="Retorno (1 m)" t="s"/>
    <k n="Retorno (1 s)" t="s"/>
    <k n="Retorno (3 a)" t="s"/>
    <k n="Retorno (3 m)" t="s"/>
    <k n="Retorno (5 a)" t="s"/>
    <k n="Retorno (AAD)" t="s"/>
    <k n="Ativos líquidos" t="s"/>
    <k n="Last update time" t="s"/>
    <k n="Símbolo do ticker" t="s"/>
    <k n="Fechamento anterior" t="s"/>
    <k n="Tipo de instrumento" t="s"/>
    <k n="Hora da última transação" t="s"/>
  </s>
  <s>
    <k n="^Order" t="spba"/>
    <k n="TitleProperty" t="s"/>
  </s>
  <s>
    <k n="UniqueName" t="spb"/>
    <k n="`%ProviderInfo" t="spb"/>
    <k n="Last update time" t="spb"/>
  </s>
  <s>
    <k n="Nome" t="i"/>
    <k n="Preço" t="i"/>
    <k n="Variação" t="i"/>
    <k n="Variação (%)" t="i"/>
    <k n="Classificação" t="i"/>
    <k n="Retorno (1 a)" t="i"/>
    <k n="Retorno (1 m)" t="i"/>
    <k n="Retorno (1 s)" t="i"/>
    <k n="Retorno (3 a)" t="i"/>
    <k n="Retorno (3 m)" t="i"/>
    <k n="Retorno (5 a)" t="i"/>
    <k n="Retorno (AAD)" t="i"/>
    <k n="Ativos líquidos" t="i"/>
    <k n="Last update time" t="i"/>
    <k n="`%EntityServiceId" t="i"/>
    <k n="Fechamento anterior" t="i"/>
    <k n="Hora da última transação" t="i"/>
  </s>
  <s>
    <k n="Variação" t="s"/>
    <k n="Variação (%)" t="s"/>
    <k n="Last update time" t="s"/>
    <k n="Hora da última transação" t="s"/>
  </s>
  <s>
    <k n="P/E" t="s"/>
    <k n="Beta" t="s"/>
    <k n="Nome" t="s"/>
    <k n="Sede" t="s"/>
    <k n="Bolsa" t="s"/>
    <k n="Moeda" t="s"/>
    <k n="Setor" t="s"/>
    <k n="Volume" t="s"/>
    <k n="Descrição" t="s"/>
    <k n="ExchangeID" t="s"/>
    <k n="UniqueName" t="s"/>
    <k n="Funcionários" t="s"/>
    <k n="Nome oficial" t="s"/>
    <k n="%ProviderInfo" t="s"/>
    <k n="Símbolo do ticker" t="s"/>
    <k n="52 semanas de alta" t="s"/>
    <k n="52 semanas de baixa" t="s"/>
    <k n="Ano de incorporação" t="s"/>
    <k n="Ações em circulação" t="s"/>
    <k n="Tipo de instrumento" t="s"/>
    <k n="Abreviatura do câmbio" t="s"/>
    <k n="Hora da última transação" t="s"/>
  </s>
  <s>
    <k n="ExchangeID" t="spb"/>
    <k n="UniqueName" t="spb"/>
    <k n="`%ProviderInfo" t="spb"/>
  </s>
  <s>
    <k n="P/E" t="i"/>
    <k n="Beta" t="i"/>
    <k n="Nome" t="i"/>
    <k n="Volume" t="i"/>
    <k n="Funcionários" t="i"/>
    <k n="`%EntityServiceId" t="i"/>
    <k n="52 semanas de alta" t="i"/>
    <k n="52 semanas de baixa" t="i"/>
    <k n="Ano de incorporação" t="i"/>
    <k n="Ações em circulação" t="i"/>
  </s>
  <s>
    <k n="Hora da última transação" t="s"/>
  </s>
  <s>
    <k n="P/E" t="s"/>
    <k n="Alto"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P/E" t="i"/>
    <k n="Alto"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52 semanas de alta" t="i"/>
    <k n="52 semanas de baixa" t="i"/>
    <k n="Ações em circulação" t="i"/>
    <k n="Fechamento anterior" t="i"/>
    <k n="Capitalização de mercado" t="i"/>
    <k n="Hora da última transação" t="i"/>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Símbolo do ticker" t="s"/>
    <k n="52 semanas de alta" t="s"/>
    <k n="52 semanas de baixa"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EntityServiceId" t="i"/>
    <k n="52 semanas de alta" t="i"/>
    <k n="52 semanas de baixa" t="i"/>
    <k n="Ações em circulação" t="i"/>
    <k n="Fechamento anterior" t="i"/>
    <k n="Capitalização de mercado" t="i"/>
    <k n="Hora da última transação" t="i"/>
  </s>
  <s>
    <k n="P/E" t="s"/>
    <k n="Alto" t="s"/>
    <k n="Nome" t="s"/>
    <k n="Sede" t="s"/>
    <k n="Baixo" t="s"/>
    <k n="Bolsa" t="s"/>
    <k n="Moeda" t="s"/>
    <k n="Preço" t="s"/>
    <k n="Setor" t="s"/>
    <k n="Volume" t="s"/>
    <k n="Variação" t="s"/>
    <k n="Descrição" t="s"/>
    <k n="Pendência" t="s"/>
    <k n="ExchangeID" t="s"/>
    <k n="UniqueName" t="s"/>
    <k n="Nome oficial" t="s"/>
    <k n="Variação (%)" t="s"/>
    <k n="%ProviderInfo"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P/E" t="i"/>
    <k n="Alto" t="i"/>
    <k n="Nome" t="i"/>
    <k n="Baixo" t="i"/>
    <k n="Preço" t="i"/>
    <k n="Volume" t="i"/>
    <k n="Variação" t="i"/>
    <k n="Pendência" t="i"/>
    <k n="Variação (%)" t="i"/>
    <k n="Média de volume" t="i"/>
    <k n="`%EntityServiceId" t="i"/>
    <k n="52 semanas de alta" t="i"/>
    <k n="52 semanas de baixa" t="i"/>
    <k n="Ano de incorporação" t="i"/>
    <k n="Ações em circulação" t="i"/>
    <k n="Fechamento anterior" t="i"/>
    <k n="Capitalização de mercado" t="i"/>
    <k n="Hora da última transação" t="i"/>
  </s>
  <s>
    <k n="Alto"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Alto" t="i"/>
    <k n="Nome" t="i"/>
    <k n="Baixo" t="i"/>
    <k n="Preço" t="i"/>
    <k n="Volume" t="i"/>
    <k n="Variação" t="i"/>
    <k n="Pendência" t="i"/>
    <k n="Funcionários" t="i"/>
    <k n="Variação (%)" t="i"/>
    <k n="`%EntityServiceId" t="i"/>
    <k n="52 semanas de alta" t="i"/>
    <k n="52 semanas de baixa" t="i"/>
    <k n="Ano de incorporação" t="i"/>
    <k n="Ações em circulação" t="i"/>
    <k n="Fechamento anterior" t="i"/>
    <k n="Capitalização de mercado" t="i"/>
    <k n="Hora da última transação"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4" formatCode="#,##0.00"/>
    </x:dxf>
    <x:dxf>
      <x:numFmt numFmtId="0" formatCode="General"/>
    </x:dxf>
    <x:dxf>
      <x:numFmt numFmtId="3" formatCode="#,##0"/>
    </x:dxf>
    <x:dxf>
      <x:numFmt numFmtId="14" formatCode="0.00%"/>
    </x:dxf>
    <x:dxf>
      <x:numFmt numFmtId="2" formatCode="0.00"/>
    </x:dxf>
    <x:dxf>
      <x:numFmt numFmtId="1" formatCode="0"/>
    </x:dxf>
    <x:dxf>
      <x:numFmt numFmtId="27" formatCode="dd/mm/yyyy\ hh:mm"/>
    </x:dxf>
    <x:dxf>
      <x:numFmt numFmtId="19" formatCode="dd/mm/yyyy"/>
    </x:dxf>
  </dxfs>
  <richProperties>
    <rPr n="NumberFormat" t="s"/>
    <rPr n="IsTitleField" t="b"/>
  </richProperties>
  <richStyles>
    <rSty dxfid="0">
      <rpv i="0">#,##0.00</rpv>
    </rSty>
    <rSty dxfid="1">
      <rpv i="0">_([$€-x-euro2] * #,##0.00_);_([$€-x-euro2] * (#,##0.00);_([$€-x-euro2] * "-"??_);_(@_)</rpv>
    </rSty>
    <rSty>
      <rpv i="1">1</rpv>
    </rSty>
    <rSty dxfid="2">
      <rpv i="0">#,##0</rpv>
    </rSty>
    <rSty dxfid="3"/>
    <rSty dxfid="4">
      <rpv i="0">0.00</rpv>
    </rSty>
    <rSty dxfid="5">
      <rpv i="0">0</rpv>
    </rSty>
    <rSty dxfid="1">
      <rpv i="0">_([$€-x-euro2] * #,##0_);_([$€-x-euro2] * (#,##0);_([$€-x-euro2] * "-"_);_(@_)</rpv>
    </rSty>
    <rSty dxfid="6"/>
    <rSty dxfid="7"/>
    <rSty dxfid="1">
      <rpv i="0">_([$$-en-US]* #,##0.00_);_([$$-en-US]* (#,##0.00);_([$$-en-US]* "-"??_);_(@_)</rpv>
    </rSty>
    <rSty dxfid="1">
      <rpv i="0">_-[$$-arn-CL] * #,##0.00_-;-[$$-arn-CL] * #,##0.00_-;_-[$$-arn-CL] * "-"??_-;_-@_-</rpv>
    </rSty>
    <rSty dxfid="1">
      <rpv i="0">_-[$$-arn-CL] * #,##0_-;-[$$-arn-CL] * #,##0_-;_-[$$-arn-CL] * "-"_-;_-@_-</rpv>
    </rSty>
  </richStyles>
</richStyleShee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C915-ACB2-474A-9AA9-1ED59B3D6E33}">
  <dimension ref="A1:L46"/>
  <sheetViews>
    <sheetView workbookViewId="0">
      <pane xSplit="3" ySplit="2" topLeftCell="D13" activePane="bottomRight" state="frozen"/>
      <selection pane="topRight" activeCell="D1" sqref="D1"/>
      <selection pane="bottomLeft" activeCell="A3" sqref="A3"/>
      <selection pane="bottomRight" activeCell="L44" sqref="L44"/>
    </sheetView>
  </sheetViews>
  <sheetFormatPr defaultRowHeight="14.25" x14ac:dyDescent="0.2"/>
  <cols>
    <col min="1" max="1" width="9.125" bestFit="1" customWidth="1"/>
    <col min="2" max="2" width="13.375" customWidth="1"/>
    <col min="3" max="3" width="29.875" customWidth="1"/>
    <col min="8" max="8" width="9.125" bestFit="1" customWidth="1"/>
    <col min="9" max="9" width="11.875" bestFit="1" customWidth="1"/>
    <col min="10" max="10" width="12" customWidth="1"/>
    <col min="11" max="11" width="14.25" bestFit="1" customWidth="1"/>
    <col min="12" max="12" width="11.5" bestFit="1" customWidth="1"/>
  </cols>
  <sheetData>
    <row r="1" spans="1:12" ht="15" x14ac:dyDescent="0.25">
      <c r="A1" s="1"/>
      <c r="B1" s="6"/>
      <c r="C1" s="6"/>
      <c r="D1" s="6"/>
      <c r="E1" s="6"/>
      <c r="F1" s="6"/>
      <c r="G1" s="6"/>
      <c r="H1" s="6"/>
    </row>
    <row r="2" spans="1:12" ht="15" x14ac:dyDescent="0.25">
      <c r="A2" s="1"/>
      <c r="B2" s="6" t="s">
        <v>97</v>
      </c>
      <c r="C2" s="6" t="s">
        <v>137</v>
      </c>
      <c r="D2" s="6" t="s">
        <v>0</v>
      </c>
      <c r="E2" s="6" t="s">
        <v>1</v>
      </c>
      <c r="F2" s="6" t="s">
        <v>2</v>
      </c>
      <c r="G2" s="6" t="s">
        <v>3</v>
      </c>
      <c r="H2" s="6" t="s">
        <v>95</v>
      </c>
      <c r="I2" s="6" t="s">
        <v>4</v>
      </c>
      <c r="J2" s="6" t="s">
        <v>96</v>
      </c>
      <c r="K2" s="6" t="s">
        <v>138</v>
      </c>
      <c r="L2" s="6" t="s">
        <v>139</v>
      </c>
    </row>
    <row r="3" spans="1:12" x14ac:dyDescent="0.2">
      <c r="B3" s="7" t="s">
        <v>5</v>
      </c>
      <c r="C3" s="7" t="e" vm="1">
        <v>#VALUE!</v>
      </c>
      <c r="D3" s="7" t="s">
        <v>98</v>
      </c>
      <c r="E3" s="7" t="s">
        <v>6</v>
      </c>
      <c r="F3" s="7" t="s">
        <v>7</v>
      </c>
      <c r="G3" s="7" t="s">
        <v>8</v>
      </c>
      <c r="H3" s="7">
        <v>413622</v>
      </c>
      <c r="I3" s="7">
        <v>1797426.5349999999</v>
      </c>
      <c r="J3" s="7">
        <v>4.33</v>
      </c>
      <c r="K3" s="4" cm="1">
        <f t="array" aca="1" ref="K3" ca="1">+_FV(C3,"Preço")</f>
        <v>4.625</v>
      </c>
      <c r="L3" s="5">
        <f ca="1">+K3/J3-1</f>
        <v>6.8129330254041554E-2</v>
      </c>
    </row>
    <row r="4" spans="1:12" x14ac:dyDescent="0.2">
      <c r="B4" s="7" t="s">
        <v>5</v>
      </c>
      <c r="C4" s="7" t="e" vm="2">
        <v>#VALUE!</v>
      </c>
      <c r="D4" s="7" t="s">
        <v>99</v>
      </c>
      <c r="E4" s="7" t="s">
        <v>9</v>
      </c>
      <c r="F4" s="7" t="s">
        <v>10</v>
      </c>
      <c r="G4" s="7" t="s">
        <v>8</v>
      </c>
      <c r="H4" s="7" t="s">
        <v>11</v>
      </c>
      <c r="I4" s="7" t="s">
        <v>11</v>
      </c>
      <c r="J4" s="7">
        <v>52.85</v>
      </c>
      <c r="K4" s="4" cm="1">
        <f t="array" aca="1" ref="K4" ca="1">+_FV(C4,"Preço")</f>
        <v>54.698</v>
      </c>
      <c r="L4" s="5">
        <f ca="1">+K4/J4-1</f>
        <v>3.4966887417218429E-2</v>
      </c>
    </row>
    <row r="5" spans="1:12" x14ac:dyDescent="0.2">
      <c r="B5" s="7" t="s">
        <v>5</v>
      </c>
      <c r="C5" s="7" t="s">
        <v>144</v>
      </c>
      <c r="D5" s="7" t="s">
        <v>12</v>
      </c>
      <c r="E5" s="7" t="s">
        <v>13</v>
      </c>
      <c r="F5" s="7" t="s">
        <v>14</v>
      </c>
      <c r="G5" s="7" t="s">
        <v>8</v>
      </c>
      <c r="H5" s="7">
        <v>16780</v>
      </c>
      <c r="I5" s="7">
        <v>50004.4</v>
      </c>
      <c r="J5" s="7">
        <v>2.98</v>
      </c>
      <c r="K5" s="4" t="e" cm="1" vm="3">
        <f t="array" ref="K5">+_FV(C5,"Preço")</f>
        <v>#VALUE!</v>
      </c>
      <c r="L5" s="5" t="e" vm="4">
        <f t="shared" ref="L5:L45" si="0">+K5/J5-1</f>
        <v>#VALUE!</v>
      </c>
    </row>
    <row r="6" spans="1:12" x14ac:dyDescent="0.2">
      <c r="B6" s="7" t="s">
        <v>5</v>
      </c>
      <c r="C6" s="7" t="s">
        <v>100</v>
      </c>
      <c r="D6" s="7" t="s">
        <v>100</v>
      </c>
      <c r="E6" s="7" t="s">
        <v>101</v>
      </c>
      <c r="F6" s="7" t="s">
        <v>102</v>
      </c>
      <c r="G6" s="7" t="s">
        <v>8</v>
      </c>
      <c r="H6" s="7">
        <v>16837</v>
      </c>
      <c r="I6" s="7">
        <v>3704.14</v>
      </c>
      <c r="J6" s="7">
        <v>0.22</v>
      </c>
      <c r="K6" s="4" t="e" cm="1" vm="3">
        <f t="array" ref="K6">+_FV(C6,"Preço")</f>
        <v>#VALUE!</v>
      </c>
      <c r="L6" s="5" t="e" vm="4">
        <f t="shared" si="0"/>
        <v>#VALUE!</v>
      </c>
    </row>
    <row r="7" spans="1:12" x14ac:dyDescent="0.2">
      <c r="B7" s="7" t="s">
        <v>5</v>
      </c>
      <c r="C7" s="7" t="e" vm="5">
        <v>#VALUE!</v>
      </c>
      <c r="D7" s="7" t="s">
        <v>103</v>
      </c>
      <c r="E7" s="7" t="s">
        <v>15</v>
      </c>
      <c r="F7" s="7" t="s">
        <v>16</v>
      </c>
      <c r="G7" s="7" t="s">
        <v>8</v>
      </c>
      <c r="H7" s="7">
        <v>76870615</v>
      </c>
      <c r="I7" s="7">
        <v>70575804.144800007</v>
      </c>
      <c r="J7" s="7">
        <v>0.91439999999999999</v>
      </c>
      <c r="K7" s="4" cm="1">
        <f t="array" aca="1" ref="K7" ca="1">+_FV(C7,"Preço")</f>
        <v>0.8508</v>
      </c>
      <c r="L7" s="5">
        <f t="shared" ca="1" si="0"/>
        <v>-6.9553805774278166E-2</v>
      </c>
    </row>
    <row r="8" spans="1:12" x14ac:dyDescent="0.2">
      <c r="B8" s="7" t="s">
        <v>5</v>
      </c>
      <c r="C8" s="7" t="s">
        <v>18</v>
      </c>
      <c r="D8" s="7" t="s">
        <v>104</v>
      </c>
      <c r="E8" s="7" t="s">
        <v>17</v>
      </c>
      <c r="F8" s="7" t="s">
        <v>18</v>
      </c>
      <c r="G8" s="7" t="s">
        <v>8</v>
      </c>
      <c r="H8" s="7">
        <v>1230</v>
      </c>
      <c r="I8" s="7">
        <v>8101.78</v>
      </c>
      <c r="J8" s="7">
        <v>6.52</v>
      </c>
      <c r="K8" s="4" t="e" cm="1" vm="3">
        <f t="array" ref="K8">+_FV(C8,"Preço")</f>
        <v>#VALUE!</v>
      </c>
      <c r="L8" s="5" t="e" vm="4">
        <f t="shared" si="0"/>
        <v>#VALUE!</v>
      </c>
    </row>
    <row r="9" spans="1:12" x14ac:dyDescent="0.2">
      <c r="B9" s="7" t="s">
        <v>5</v>
      </c>
      <c r="C9" s="7" t="s">
        <v>19</v>
      </c>
      <c r="D9" s="7" t="s">
        <v>105</v>
      </c>
      <c r="E9" s="7" t="s">
        <v>20</v>
      </c>
      <c r="F9" s="7" t="s">
        <v>19</v>
      </c>
      <c r="G9" s="7" t="s">
        <v>8</v>
      </c>
      <c r="H9" s="7">
        <v>95250</v>
      </c>
      <c r="I9" s="7">
        <v>210502.5</v>
      </c>
      <c r="J9" s="7">
        <v>2.21</v>
      </c>
      <c r="K9" s="4" t="e" cm="1" vm="3">
        <f t="array" ref="K9">+_FV(C9,"Preço")</f>
        <v>#VALUE!</v>
      </c>
      <c r="L9" s="5" t="e" vm="4">
        <f t="shared" si="0"/>
        <v>#VALUE!</v>
      </c>
    </row>
    <row r="10" spans="1:12" x14ac:dyDescent="0.2">
      <c r="B10" s="7" t="s">
        <v>5</v>
      </c>
      <c r="C10" s="7" t="e" vm="6">
        <v>#VALUE!</v>
      </c>
      <c r="D10" s="7" t="s">
        <v>106</v>
      </c>
      <c r="E10" s="7" t="s">
        <v>21</v>
      </c>
      <c r="F10" s="7" t="s">
        <v>22</v>
      </c>
      <c r="G10" s="7" t="s">
        <v>8</v>
      </c>
      <c r="H10" s="7">
        <v>525</v>
      </c>
      <c r="I10" s="7">
        <v>7875</v>
      </c>
      <c r="J10" s="7">
        <v>15</v>
      </c>
      <c r="K10" s="4" t="e" cm="1" vm="3">
        <f t="array" ref="K10">+_FV(C10,"Preço")</f>
        <v>#VALUE!</v>
      </c>
      <c r="L10" s="5" t="e" vm="4">
        <f t="shared" si="0"/>
        <v>#VALUE!</v>
      </c>
    </row>
    <row r="11" spans="1:12" x14ac:dyDescent="0.2">
      <c r="B11" s="7" t="s">
        <v>5</v>
      </c>
      <c r="C11" s="7" t="e" vm="7">
        <v>#VALUE!</v>
      </c>
      <c r="D11" s="7" t="s">
        <v>107</v>
      </c>
      <c r="E11" s="7" t="s">
        <v>23</v>
      </c>
      <c r="F11" s="7" t="s">
        <v>24</v>
      </c>
      <c r="G11" s="7" t="s">
        <v>8</v>
      </c>
      <c r="H11" s="7">
        <v>75757</v>
      </c>
      <c r="I11" s="7">
        <v>506943.52</v>
      </c>
      <c r="J11" s="7">
        <v>6.69</v>
      </c>
      <c r="K11" s="4" cm="1">
        <f t="array" aca="1" ref="K11" ca="1">+_FV(C11,"Preço")</f>
        <v>6.47</v>
      </c>
      <c r="L11" s="5">
        <f t="shared" ca="1" si="0"/>
        <v>-3.2884902840059849E-2</v>
      </c>
    </row>
    <row r="12" spans="1:12" x14ac:dyDescent="0.2">
      <c r="B12" s="7" t="s">
        <v>5</v>
      </c>
      <c r="C12" s="7" t="e" vm="8">
        <v>#VALUE!</v>
      </c>
      <c r="D12" s="7" t="s">
        <v>108</v>
      </c>
      <c r="E12" s="7" t="s">
        <v>25</v>
      </c>
      <c r="F12" s="7" t="s">
        <v>26</v>
      </c>
      <c r="G12" s="7" t="s">
        <v>8</v>
      </c>
      <c r="H12" s="7">
        <v>311724</v>
      </c>
      <c r="I12" s="7">
        <v>2127641.85</v>
      </c>
      <c r="J12" s="7">
        <v>6.79</v>
      </c>
      <c r="K12" s="4" cm="1">
        <f t="array" aca="1" ref="K12" ca="1">+_FV(C12,"Preço")</f>
        <v>6.82</v>
      </c>
      <c r="L12" s="5">
        <f t="shared" ca="1" si="0"/>
        <v>4.4182621502208974E-3</v>
      </c>
    </row>
    <row r="13" spans="1:12" x14ac:dyDescent="0.2">
      <c r="B13" s="7" t="s">
        <v>5</v>
      </c>
      <c r="C13" s="7" t="e" vm="9">
        <v>#VALUE!</v>
      </c>
      <c r="D13" s="7" t="s">
        <v>28</v>
      </c>
      <c r="E13" s="7" t="s">
        <v>27</v>
      </c>
      <c r="F13" s="7" t="s">
        <v>28</v>
      </c>
      <c r="G13" s="7" t="s">
        <v>8</v>
      </c>
      <c r="H13" s="7">
        <v>24334835</v>
      </c>
      <c r="I13" s="7">
        <v>104980844.433</v>
      </c>
      <c r="J13" s="7">
        <v>4.3170000000000002</v>
      </c>
      <c r="K13" s="4" cm="1">
        <f t="array" aca="1" ref="K13" ca="1">+_FV(C13,"Preço")</f>
        <v>4.2949999999999999</v>
      </c>
      <c r="L13" s="5">
        <f t="shared" ca="1" si="0"/>
        <v>-5.0961315728516032E-3</v>
      </c>
    </row>
    <row r="14" spans="1:12" x14ac:dyDescent="0.2">
      <c r="B14" s="7" t="s">
        <v>5</v>
      </c>
      <c r="C14" s="7" t="s">
        <v>109</v>
      </c>
      <c r="D14" s="7" t="s">
        <v>109</v>
      </c>
      <c r="E14" s="7" t="s">
        <v>29</v>
      </c>
      <c r="F14" s="7" t="s">
        <v>30</v>
      </c>
      <c r="G14" s="7" t="s">
        <v>8</v>
      </c>
      <c r="H14" s="7">
        <v>100</v>
      </c>
      <c r="I14" s="7">
        <v>340</v>
      </c>
      <c r="J14" s="7">
        <v>3.4</v>
      </c>
      <c r="K14" s="4" t="e" cm="1" vm="3">
        <f t="array" ref="K14">+_FV(C14,"Preço")</f>
        <v>#VALUE!</v>
      </c>
      <c r="L14" s="5" t="e" vm="4">
        <f t="shared" si="0"/>
        <v>#VALUE!</v>
      </c>
    </row>
    <row r="15" spans="1:12" s="1" customFormat="1" ht="15" x14ac:dyDescent="0.25">
      <c r="A15" s="1">
        <v>5</v>
      </c>
      <c r="B15" s="6" t="s">
        <v>5</v>
      </c>
      <c r="C15" s="7" t="s">
        <v>143</v>
      </c>
      <c r="D15" s="6" t="s">
        <v>110</v>
      </c>
      <c r="E15" s="6" t="s">
        <v>31</v>
      </c>
      <c r="F15" s="6" t="s">
        <v>32</v>
      </c>
      <c r="G15" s="6" t="s">
        <v>8</v>
      </c>
      <c r="H15" s="6">
        <v>750</v>
      </c>
      <c r="I15" s="6">
        <v>2370</v>
      </c>
      <c r="J15" s="6">
        <v>3.16</v>
      </c>
      <c r="K15" s="2" t="e" cm="1" vm="3">
        <f t="array" ref="K15">+_FV(C15,"Preço")</f>
        <v>#VALUE!</v>
      </c>
      <c r="L15" s="5" t="e" vm="4">
        <f t="shared" si="0"/>
        <v>#VALUE!</v>
      </c>
    </row>
    <row r="16" spans="1:12" x14ac:dyDescent="0.2">
      <c r="B16" s="7" t="s">
        <v>5</v>
      </c>
      <c r="C16" s="7" t="e" vm="10">
        <v>#VALUE!</v>
      </c>
      <c r="D16" s="7" t="s">
        <v>111</v>
      </c>
      <c r="E16" s="7" t="s">
        <v>33</v>
      </c>
      <c r="F16" s="7" t="s">
        <v>34</v>
      </c>
      <c r="G16" s="7" t="s">
        <v>8</v>
      </c>
      <c r="H16" s="7">
        <v>200</v>
      </c>
      <c r="I16" s="7">
        <v>952</v>
      </c>
      <c r="J16" s="7">
        <v>4.76</v>
      </c>
      <c r="K16" s="4" cm="1">
        <f t="array" aca="1" ref="K16" ca="1">+_FV(C16,"Preço")</f>
        <v>4.8</v>
      </c>
      <c r="L16" s="5">
        <f t="shared" ca="1" si="0"/>
        <v>8.4033613445377853E-3</v>
      </c>
    </row>
    <row r="17" spans="1:12" x14ac:dyDescent="0.2">
      <c r="B17" s="7" t="s">
        <v>5</v>
      </c>
      <c r="C17" s="7" t="s">
        <v>112</v>
      </c>
      <c r="D17" s="7" t="s">
        <v>112</v>
      </c>
      <c r="E17" s="7" t="s">
        <v>35</v>
      </c>
      <c r="F17" s="7" t="s">
        <v>36</v>
      </c>
      <c r="G17" s="7" t="s">
        <v>8</v>
      </c>
      <c r="H17" s="7">
        <v>18</v>
      </c>
      <c r="I17" s="7">
        <v>64.14</v>
      </c>
      <c r="J17" s="7">
        <v>3.52</v>
      </c>
      <c r="K17" s="4" t="e" cm="1" vm="3">
        <f t="array" ref="K17">+_FV(C17,"Preço")</f>
        <v>#VALUE!</v>
      </c>
      <c r="L17" s="5" t="e" vm="4">
        <f t="shared" si="0"/>
        <v>#VALUE!</v>
      </c>
    </row>
    <row r="18" spans="1:12" x14ac:dyDescent="0.2">
      <c r="B18" s="7" t="s">
        <v>5</v>
      </c>
      <c r="C18" s="7" t="e" vm="11">
        <v>#VALUE!</v>
      </c>
      <c r="D18" s="7" t="s">
        <v>37</v>
      </c>
      <c r="E18" s="7" t="s">
        <v>38</v>
      </c>
      <c r="F18" s="7" t="s">
        <v>39</v>
      </c>
      <c r="G18" s="7" t="s">
        <v>8</v>
      </c>
      <c r="H18" s="7">
        <v>4715929</v>
      </c>
      <c r="I18" s="7">
        <v>78889184.280000001</v>
      </c>
      <c r="J18" s="7">
        <v>16.73</v>
      </c>
      <c r="K18" s="4" cm="1">
        <f t="array" aca="1" ref="K18" ca="1">+_FV(C18,"Preço")</f>
        <v>18.875</v>
      </c>
      <c r="L18" s="5">
        <f t="shared" ca="1" si="0"/>
        <v>0.12821279139270758</v>
      </c>
    </row>
    <row r="19" spans="1:12" x14ac:dyDescent="0.2">
      <c r="B19" s="7" t="s">
        <v>5</v>
      </c>
      <c r="C19" s="7" t="s">
        <v>142</v>
      </c>
      <c r="D19" s="7" t="s">
        <v>113</v>
      </c>
      <c r="E19" s="7" t="s">
        <v>114</v>
      </c>
      <c r="F19" s="7" t="s">
        <v>115</v>
      </c>
      <c r="G19" s="7" t="s">
        <v>8</v>
      </c>
      <c r="H19" s="7">
        <v>14896</v>
      </c>
      <c r="I19" s="7">
        <v>394.75</v>
      </c>
      <c r="J19" s="7">
        <v>2.6499999999999999E-2</v>
      </c>
      <c r="K19" s="4" t="e" cm="1" vm="3">
        <f t="array" ref="K19">+_FV(C19,"Preço")</f>
        <v>#VALUE!</v>
      </c>
      <c r="L19" s="5" t="e" vm="4">
        <f t="shared" si="0"/>
        <v>#VALUE!</v>
      </c>
    </row>
    <row r="20" spans="1:12" x14ac:dyDescent="0.2">
      <c r="B20" s="7" t="s">
        <v>5</v>
      </c>
      <c r="C20" s="7" t="e" vm="12">
        <v>#VALUE!</v>
      </c>
      <c r="D20" s="7" t="s">
        <v>116</v>
      </c>
      <c r="E20" s="7" t="s">
        <v>40</v>
      </c>
      <c r="F20" s="7" t="s">
        <v>41</v>
      </c>
      <c r="G20" s="7" t="s">
        <v>8</v>
      </c>
      <c r="H20" s="7">
        <v>6538</v>
      </c>
      <c r="I20" s="7">
        <v>9033.1</v>
      </c>
      <c r="J20" s="7">
        <v>1.41</v>
      </c>
      <c r="K20" s="4" cm="1">
        <f t="array" aca="1" ref="K20" ca="1">+_FV(C20,"Preço")</f>
        <v>1.3</v>
      </c>
      <c r="L20" s="5">
        <f t="shared" ca="1" si="0"/>
        <v>-7.8014184397163011E-2</v>
      </c>
    </row>
    <row r="21" spans="1:12" s="1" customFormat="1" ht="15" x14ac:dyDescent="0.25">
      <c r="A21" s="1">
        <v>10</v>
      </c>
      <c r="B21" s="6" t="s">
        <v>5</v>
      </c>
      <c r="C21" s="6" t="e" vm="13">
        <v>#VALUE!</v>
      </c>
      <c r="D21" s="6" t="s">
        <v>42</v>
      </c>
      <c r="E21" s="6" t="s">
        <v>43</v>
      </c>
      <c r="F21" s="6" t="s">
        <v>44</v>
      </c>
      <c r="G21" s="6" t="s">
        <v>8</v>
      </c>
      <c r="H21" s="6">
        <v>12257</v>
      </c>
      <c r="I21" s="6">
        <v>130790.6</v>
      </c>
      <c r="J21" s="6">
        <v>10.65</v>
      </c>
      <c r="K21" s="2" cm="1">
        <f t="array" aca="1" ref="K21" ca="1">+_FV(C21,"Preço")</f>
        <v>11</v>
      </c>
      <c r="L21" s="3">
        <f t="shared" ca="1" si="0"/>
        <v>3.2863849765258246E-2</v>
      </c>
    </row>
    <row r="22" spans="1:12" x14ac:dyDescent="0.2">
      <c r="B22" s="7" t="s">
        <v>5</v>
      </c>
      <c r="C22" s="7" t="e" vm="14">
        <v>#VALUE!</v>
      </c>
      <c r="D22" s="7" t="s">
        <v>117</v>
      </c>
      <c r="E22" s="7" t="s">
        <v>45</v>
      </c>
      <c r="F22" s="7" t="s">
        <v>46</v>
      </c>
      <c r="G22" s="7" t="s">
        <v>8</v>
      </c>
      <c r="H22" s="7">
        <v>61842</v>
      </c>
      <c r="I22" s="7">
        <v>12214.0095</v>
      </c>
      <c r="J22" s="7">
        <v>0.19950000000000001</v>
      </c>
      <c r="K22" s="4" cm="1">
        <f t="array" aca="1" ref="K22" ca="1">+_FV(C22,"Preço")</f>
        <v>0.18</v>
      </c>
      <c r="L22" s="5">
        <f t="shared" ca="1" si="0"/>
        <v>-9.7744360902255689E-2</v>
      </c>
    </row>
    <row r="23" spans="1:12" s="1" customFormat="1" ht="15" x14ac:dyDescent="0.25">
      <c r="B23" s="6" t="s">
        <v>5</v>
      </c>
      <c r="C23" s="6" t="e" vm="15">
        <v>#VALUE!</v>
      </c>
      <c r="D23" s="6" t="s">
        <v>118</v>
      </c>
      <c r="E23" s="6" t="s">
        <v>47</v>
      </c>
      <c r="F23" s="6" t="s">
        <v>48</v>
      </c>
      <c r="G23" s="6" t="s">
        <v>8</v>
      </c>
      <c r="H23" s="6">
        <v>1068028</v>
      </c>
      <c r="I23" s="6">
        <v>21318274.530000001</v>
      </c>
      <c r="J23" s="6">
        <v>19.91</v>
      </c>
      <c r="K23" s="2" cm="1">
        <f t="array" aca="1" ref="K23" ca="1">+_FV(C23,"Preço")</f>
        <v>21.66</v>
      </c>
      <c r="L23" s="3">
        <f t="shared" ca="1" si="0"/>
        <v>8.7895529884480128E-2</v>
      </c>
    </row>
    <row r="24" spans="1:12" s="1" customFormat="1" ht="15" x14ac:dyDescent="0.25">
      <c r="A24" s="1">
        <v>8</v>
      </c>
      <c r="B24" s="6" t="s">
        <v>5</v>
      </c>
      <c r="C24" s="6" t="e" vm="16">
        <v>#VALUE!</v>
      </c>
      <c r="D24" s="6" t="s">
        <v>119</v>
      </c>
      <c r="E24" s="6" t="s">
        <v>49</v>
      </c>
      <c r="F24" s="6" t="s">
        <v>50</v>
      </c>
      <c r="G24" s="6" t="s">
        <v>8</v>
      </c>
      <c r="H24" s="6">
        <v>601</v>
      </c>
      <c r="I24" s="6">
        <v>1476.59</v>
      </c>
      <c r="J24" s="6">
        <v>2.4500000000000002</v>
      </c>
      <c r="K24" s="2" cm="1">
        <f t="array" aca="1" ref="K24" ca="1">+_FV(C24,"Preço")</f>
        <v>2.35</v>
      </c>
      <c r="L24" s="3">
        <f t="shared" ca="1" si="0"/>
        <v>-4.081632653061229E-2</v>
      </c>
    </row>
    <row r="25" spans="1:12" x14ac:dyDescent="0.2">
      <c r="B25" s="7" t="s">
        <v>5</v>
      </c>
      <c r="C25" s="7" t="e" vm="17">
        <v>#VALUE!</v>
      </c>
      <c r="D25" s="7" t="s">
        <v>120</v>
      </c>
      <c r="E25" s="7" t="s">
        <v>51</v>
      </c>
      <c r="F25" s="7" t="s">
        <v>52</v>
      </c>
      <c r="G25" s="7" t="s">
        <v>8</v>
      </c>
      <c r="H25" s="7">
        <v>1</v>
      </c>
      <c r="I25" s="7">
        <v>1.9</v>
      </c>
      <c r="J25" s="7">
        <v>1.9</v>
      </c>
      <c r="K25" s="4" cm="1">
        <f t="array" aca="1" ref="K25" ca="1">+_FV(C25,"Preço")</f>
        <v>1.9</v>
      </c>
      <c r="L25" s="5">
        <f t="shared" ca="1" si="0"/>
        <v>0</v>
      </c>
    </row>
    <row r="26" spans="1:12" x14ac:dyDescent="0.2">
      <c r="B26" s="7" t="s">
        <v>5</v>
      </c>
      <c r="C26" s="7" t="s">
        <v>53</v>
      </c>
      <c r="D26" s="7" t="s">
        <v>53</v>
      </c>
      <c r="E26" s="7" t="s">
        <v>54</v>
      </c>
      <c r="F26" s="7" t="s">
        <v>55</v>
      </c>
      <c r="G26" s="7" t="s">
        <v>8</v>
      </c>
      <c r="H26" s="7" t="s">
        <v>11</v>
      </c>
      <c r="I26" s="7" t="s">
        <v>11</v>
      </c>
      <c r="J26" s="7">
        <v>0.995</v>
      </c>
      <c r="K26" s="4" t="e" cm="1" vm="3">
        <f t="array" ref="K26">+_FV(C26,"Preço")</f>
        <v>#VALUE!</v>
      </c>
      <c r="L26" s="5" t="e" vm="4">
        <f t="shared" si="0"/>
        <v>#VALUE!</v>
      </c>
    </row>
    <row r="27" spans="1:12" x14ac:dyDescent="0.2">
      <c r="B27" s="7" t="s">
        <v>5</v>
      </c>
      <c r="C27" s="7" t="e" vm="18">
        <v>#VALUE!</v>
      </c>
      <c r="D27" s="7" t="s">
        <v>121</v>
      </c>
      <c r="E27" s="7" t="s">
        <v>56</v>
      </c>
      <c r="F27" s="7" t="s">
        <v>57</v>
      </c>
      <c r="G27" s="7" t="s">
        <v>8</v>
      </c>
      <c r="H27" s="7">
        <v>1206813</v>
      </c>
      <c r="I27" s="7">
        <v>5371738.6619999995</v>
      </c>
      <c r="J27" s="7">
        <v>4.4560000000000004</v>
      </c>
      <c r="K27" s="4" cm="1">
        <f t="array" aca="1" ref="K27" ca="1">+_FV(C27,"Preço")</f>
        <v>4.8540000000000001</v>
      </c>
      <c r="L27" s="5">
        <f t="shared" ca="1" si="0"/>
        <v>8.9317773788150756E-2</v>
      </c>
    </row>
    <row r="28" spans="1:12" s="1" customFormat="1" ht="15" x14ac:dyDescent="0.25">
      <c r="A28" s="1">
        <v>7</v>
      </c>
      <c r="B28" s="6" t="s">
        <v>5</v>
      </c>
      <c r="C28" s="6" t="e" vm="19">
        <v>#VALUE!</v>
      </c>
      <c r="D28" s="6" t="s">
        <v>122</v>
      </c>
      <c r="E28" s="6" t="s">
        <v>58</v>
      </c>
      <c r="F28" s="6" t="s">
        <v>59</v>
      </c>
      <c r="G28" s="6" t="s">
        <v>8</v>
      </c>
      <c r="H28" s="6">
        <v>656050</v>
      </c>
      <c r="I28" s="6">
        <v>2875149.6850000001</v>
      </c>
      <c r="J28" s="6">
        <v>4.3849999999999998</v>
      </c>
      <c r="K28" s="2" cm="1">
        <f t="array" aca="1" ref="K28" ca="1">+_FV(C28,"Preço")</f>
        <v>5.36</v>
      </c>
      <c r="L28" s="3">
        <f t="shared" ca="1" si="0"/>
        <v>0.22234891676168766</v>
      </c>
    </row>
    <row r="29" spans="1:12" s="1" customFormat="1" ht="15" x14ac:dyDescent="0.25">
      <c r="A29"/>
      <c r="B29" s="7" t="s">
        <v>5</v>
      </c>
      <c r="C29" s="7" t="e" vm="20">
        <v>#VALUE!</v>
      </c>
      <c r="D29" s="7" t="s">
        <v>123</v>
      </c>
      <c r="E29" s="7" t="s">
        <v>60</v>
      </c>
      <c r="F29" s="7" t="s">
        <v>61</v>
      </c>
      <c r="G29" s="7" t="s">
        <v>8</v>
      </c>
      <c r="H29" s="7">
        <v>1076</v>
      </c>
      <c r="I29" s="7">
        <v>10135.799999999999</v>
      </c>
      <c r="J29" s="7">
        <v>9.4499999999999993</v>
      </c>
      <c r="K29" s="4" cm="1">
        <f t="array" aca="1" ref="K29" ca="1">+_FV(C29,"Preço")</f>
        <v>9</v>
      </c>
      <c r="L29" s="5">
        <f t="shared" ca="1" si="0"/>
        <v>-4.7619047619047561E-2</v>
      </c>
    </row>
    <row r="30" spans="1:12" s="1" customFormat="1" ht="15" x14ac:dyDescent="0.25">
      <c r="A30"/>
      <c r="B30" s="7" t="s">
        <v>5</v>
      </c>
      <c r="C30" s="7" t="s">
        <v>124</v>
      </c>
      <c r="D30" s="7" t="s">
        <v>124</v>
      </c>
      <c r="E30" s="7" t="s">
        <v>63</v>
      </c>
      <c r="F30" s="7" t="s">
        <v>62</v>
      </c>
      <c r="G30" s="7" t="s">
        <v>8</v>
      </c>
      <c r="H30" s="7">
        <v>16000</v>
      </c>
      <c r="I30" s="7">
        <v>59200</v>
      </c>
      <c r="J30" s="7">
        <v>3.48</v>
      </c>
      <c r="K30" s="4" t="e" cm="1" vm="3">
        <f t="array" ref="K30">+_FV(C30,"Preço")</f>
        <v>#VALUE!</v>
      </c>
      <c r="L30" s="5" t="e" vm="4">
        <f t="shared" si="0"/>
        <v>#VALUE!</v>
      </c>
    </row>
    <row r="31" spans="1:12" x14ac:dyDescent="0.2">
      <c r="B31" s="7" t="s">
        <v>5</v>
      </c>
      <c r="C31" s="7" t="e" vm="21">
        <v>#VALUE!</v>
      </c>
      <c r="D31" s="7" t="s">
        <v>125</v>
      </c>
      <c r="E31" s="7" t="s">
        <v>64</v>
      </c>
      <c r="F31" s="7" t="s">
        <v>65</v>
      </c>
      <c r="G31" s="7" t="s">
        <v>8</v>
      </c>
      <c r="H31" s="7">
        <v>887990</v>
      </c>
      <c r="I31" s="7">
        <v>58814.411599999999</v>
      </c>
      <c r="J31" s="7">
        <v>6.6199999999999995E-2</v>
      </c>
      <c r="K31" s="4" cm="1">
        <f t="array" aca="1" ref="K31" ca="1">+_FV(C31,"Preço")</f>
        <v>7.3200000000000001E-2</v>
      </c>
      <c r="L31" s="5">
        <f t="shared" ca="1" si="0"/>
        <v>0.10574018126888229</v>
      </c>
    </row>
    <row r="32" spans="1:12" x14ac:dyDescent="0.2">
      <c r="B32" s="7" t="s">
        <v>5</v>
      </c>
      <c r="C32" s="7" t="s">
        <v>140</v>
      </c>
      <c r="D32" s="7" t="s">
        <v>66</v>
      </c>
      <c r="E32" s="7" t="s">
        <v>67</v>
      </c>
      <c r="F32" s="7" t="s">
        <v>68</v>
      </c>
      <c r="G32" s="7" t="s">
        <v>8</v>
      </c>
      <c r="H32" s="7">
        <v>389</v>
      </c>
      <c r="I32" s="7">
        <v>371.5</v>
      </c>
      <c r="J32" s="7">
        <v>0.95499999999999996</v>
      </c>
      <c r="K32" s="4" t="e" cm="1" vm="3">
        <f t="array" ref="K32">+_FV(C32,"Preço")</f>
        <v>#VALUE!</v>
      </c>
      <c r="L32" s="5" t="e" vm="4">
        <f t="shared" si="0"/>
        <v>#VALUE!</v>
      </c>
    </row>
    <row r="33" spans="1:12" x14ac:dyDescent="0.2">
      <c r="B33" s="7" t="s">
        <v>5</v>
      </c>
      <c r="C33" s="7" t="e" vm="22">
        <v>#VALUE!</v>
      </c>
      <c r="D33" s="7" t="s">
        <v>126</v>
      </c>
      <c r="E33" s="7" t="s">
        <v>69</v>
      </c>
      <c r="F33" s="7" t="s">
        <v>70</v>
      </c>
      <c r="G33" s="7" t="s">
        <v>8</v>
      </c>
      <c r="H33" s="7">
        <v>2268</v>
      </c>
      <c r="I33" s="7">
        <v>16676.98</v>
      </c>
      <c r="J33" s="7">
        <v>7.34</v>
      </c>
      <c r="K33" s="4" cm="1">
        <f t="array" aca="1" ref="K33" ca="1">+_FV(C33,"Preço")</f>
        <v>7.4</v>
      </c>
      <c r="L33" s="5">
        <f t="shared" ca="1" si="0"/>
        <v>8.1743869209809361E-3</v>
      </c>
    </row>
    <row r="34" spans="1:12" x14ac:dyDescent="0.2">
      <c r="B34" s="7" t="s">
        <v>5</v>
      </c>
      <c r="C34" s="7" t="e" vm="23">
        <v>#VALUE!</v>
      </c>
      <c r="D34" s="7" t="s">
        <v>127</v>
      </c>
      <c r="E34" s="7" t="s">
        <v>71</v>
      </c>
      <c r="F34" s="7" t="s">
        <v>72</v>
      </c>
      <c r="G34" s="7" t="s">
        <v>8</v>
      </c>
      <c r="H34" s="7">
        <v>896651</v>
      </c>
      <c r="I34" s="7">
        <v>3087577.5150000001</v>
      </c>
      <c r="J34" s="7">
        <v>3.44</v>
      </c>
      <c r="K34" s="4" cm="1">
        <f t="array" aca="1" ref="K34" ca="1">+_FV(C34,"Preço")</f>
        <v>0.8</v>
      </c>
      <c r="L34" s="5">
        <f t="shared" ca="1" si="0"/>
        <v>-0.76744186046511631</v>
      </c>
    </row>
    <row r="35" spans="1:12" x14ac:dyDescent="0.2">
      <c r="B35" s="7" t="s">
        <v>5</v>
      </c>
      <c r="C35" s="7" t="e" vm="23">
        <v>#VALUE!</v>
      </c>
      <c r="D35" s="7" t="s">
        <v>127</v>
      </c>
      <c r="E35" s="7" t="s">
        <v>71</v>
      </c>
      <c r="F35" s="7" t="s">
        <v>128</v>
      </c>
      <c r="G35" s="7" t="s">
        <v>8</v>
      </c>
      <c r="H35" s="7">
        <v>1500</v>
      </c>
      <c r="I35" s="7">
        <v>4590</v>
      </c>
      <c r="J35" s="7">
        <v>3.44</v>
      </c>
      <c r="K35" s="4" cm="1">
        <f t="array" aca="1" ref="K35" ca="1">+_FV(C35,"Preço")</f>
        <v>0.8</v>
      </c>
      <c r="L35" s="5">
        <f t="shared" ca="1" si="0"/>
        <v>-0.76744186046511631</v>
      </c>
    </row>
    <row r="36" spans="1:12" x14ac:dyDescent="0.2">
      <c r="B36" s="7" t="s">
        <v>5</v>
      </c>
      <c r="C36" s="7" t="s">
        <v>141</v>
      </c>
      <c r="D36" s="7" t="s">
        <v>73</v>
      </c>
      <c r="E36" s="7" t="s">
        <v>74</v>
      </c>
      <c r="F36" s="7" t="s">
        <v>75</v>
      </c>
      <c r="G36" s="7" t="s">
        <v>8</v>
      </c>
      <c r="H36" s="7">
        <v>3</v>
      </c>
      <c r="I36" s="7">
        <v>45.9</v>
      </c>
      <c r="J36" s="7">
        <v>15.3</v>
      </c>
      <c r="K36" s="4" t="e" cm="1" vm="3">
        <f t="array" ref="K36">+_FV(C36,"Preço")</f>
        <v>#VALUE!</v>
      </c>
      <c r="L36" s="5" t="e" vm="4">
        <f t="shared" si="0"/>
        <v>#VALUE!</v>
      </c>
    </row>
    <row r="37" spans="1:12" x14ac:dyDescent="0.2">
      <c r="B37" s="7" t="s">
        <v>5</v>
      </c>
      <c r="C37" s="7" t="e" vm="24">
        <v>#VALUE!</v>
      </c>
      <c r="D37" s="7" t="s">
        <v>129</v>
      </c>
      <c r="E37" s="7" t="s">
        <v>76</v>
      </c>
      <c r="F37" s="7" t="s">
        <v>77</v>
      </c>
      <c r="G37" s="7" t="s">
        <v>8</v>
      </c>
      <c r="H37" s="7">
        <v>40</v>
      </c>
      <c r="I37" s="7">
        <v>592</v>
      </c>
      <c r="J37" s="7">
        <v>14.8</v>
      </c>
      <c r="K37" s="4" cm="1">
        <f t="array" aca="1" ref="K37" ca="1">+_FV(C37,"Preço")</f>
        <v>14.8</v>
      </c>
      <c r="L37" s="5">
        <f t="shared" ca="1" si="0"/>
        <v>0</v>
      </c>
    </row>
    <row r="38" spans="1:12" s="1" customFormat="1" ht="15" x14ac:dyDescent="0.25">
      <c r="A38" s="1">
        <v>7</v>
      </c>
      <c r="B38" s="6" t="s">
        <v>5</v>
      </c>
      <c r="C38" s="6" t="e" vm="25">
        <v>#VALUE!</v>
      </c>
      <c r="D38" s="6" t="s">
        <v>130</v>
      </c>
      <c r="E38" s="6" t="s">
        <v>78</v>
      </c>
      <c r="F38" s="6" t="s">
        <v>79</v>
      </c>
      <c r="G38" s="6" t="s">
        <v>8</v>
      </c>
      <c r="H38" s="6">
        <v>24314</v>
      </c>
      <c r="I38" s="6">
        <v>545614.1</v>
      </c>
      <c r="J38" s="6">
        <v>22.4</v>
      </c>
      <c r="K38" s="2" cm="1">
        <f t="array" aca="1" ref="K38" ca="1">+_FV(C38,"Preço")</f>
        <v>21.9</v>
      </c>
      <c r="L38" s="3">
        <f t="shared" ca="1" si="0"/>
        <v>-2.2321428571428603E-2</v>
      </c>
    </row>
    <row r="39" spans="1:12" s="1" customFormat="1" ht="15" x14ac:dyDescent="0.25">
      <c r="B39" s="6" t="s">
        <v>5</v>
      </c>
      <c r="C39" s="6" t="e" vm="26">
        <v>#VALUE!</v>
      </c>
      <c r="D39" s="6" t="s">
        <v>131</v>
      </c>
      <c r="E39" s="6" t="s">
        <v>80</v>
      </c>
      <c r="F39" s="6" t="s">
        <v>81</v>
      </c>
      <c r="G39" s="6" t="s">
        <v>8</v>
      </c>
      <c r="H39" s="6">
        <v>1085443</v>
      </c>
      <c r="I39" s="6">
        <v>1919276.0419999999</v>
      </c>
      <c r="J39" s="6">
        <v>1.77</v>
      </c>
      <c r="K39" s="2" cm="1">
        <f t="array" aca="1" ref="K39" ca="1">+_FV(C39,"Preço")</f>
        <v>1.96</v>
      </c>
      <c r="L39" s="3">
        <f t="shared" ca="1" si="0"/>
        <v>0.10734463276836159</v>
      </c>
    </row>
    <row r="40" spans="1:12" x14ac:dyDescent="0.2">
      <c r="B40" s="7" t="s">
        <v>5</v>
      </c>
      <c r="C40" s="7" t="e" vm="27">
        <v>#VALUE!</v>
      </c>
      <c r="D40" s="7" t="s">
        <v>132</v>
      </c>
      <c r="E40" s="7" t="s">
        <v>82</v>
      </c>
      <c r="F40" s="7" t="s">
        <v>83</v>
      </c>
      <c r="G40" s="7" t="s">
        <v>8</v>
      </c>
      <c r="H40" s="7">
        <v>600</v>
      </c>
      <c r="I40" s="7">
        <v>612</v>
      </c>
      <c r="J40" s="7">
        <v>1.02</v>
      </c>
      <c r="K40" s="4" cm="1">
        <f t="array" aca="1" ref="K40" ca="1">+_FV(C40,"Preço")</f>
        <v>4300000</v>
      </c>
      <c r="L40" s="5">
        <f t="shared" ca="1" si="0"/>
        <v>4215685.2745098034</v>
      </c>
    </row>
    <row r="41" spans="1:12" x14ac:dyDescent="0.2">
      <c r="B41" s="7" t="s">
        <v>5</v>
      </c>
      <c r="C41" s="7" t="e" vm="28">
        <v>#VALUE!</v>
      </c>
      <c r="D41" s="7" t="s">
        <v>133</v>
      </c>
      <c r="E41" s="7" t="s">
        <v>84</v>
      </c>
      <c r="F41" s="7" t="s">
        <v>85</v>
      </c>
      <c r="G41" s="7" t="s">
        <v>8</v>
      </c>
      <c r="H41" s="7">
        <v>787998</v>
      </c>
      <c r="I41" s="7">
        <v>381577.63</v>
      </c>
      <c r="J41" s="7">
        <v>0.48199999999999998</v>
      </c>
      <c r="K41" s="4" cm="1">
        <f t="array" aca="1" ref="K41" ca="1">+_FV(C41,"Preço")</f>
        <v>0.49299999999999999</v>
      </c>
      <c r="L41" s="5">
        <f t="shared" ca="1" si="0"/>
        <v>2.2821576763485396E-2</v>
      </c>
    </row>
    <row r="42" spans="1:12" s="1" customFormat="1" ht="15" x14ac:dyDescent="0.25">
      <c r="B42" s="6" t="s">
        <v>5</v>
      </c>
      <c r="C42" s="6" t="e" vm="29">
        <v>#VALUE!</v>
      </c>
      <c r="D42" s="6" t="s">
        <v>134</v>
      </c>
      <c r="E42" s="6" t="s">
        <v>86</v>
      </c>
      <c r="F42" s="6" t="s">
        <v>87</v>
      </c>
      <c r="G42" s="6" t="s">
        <v>8</v>
      </c>
      <c r="H42" s="6">
        <v>834951</v>
      </c>
      <c r="I42" s="6">
        <v>2667518.34</v>
      </c>
      <c r="J42" s="6">
        <v>3.194</v>
      </c>
      <c r="K42" s="2" cm="1">
        <f t="array" aca="1" ref="K42" ca="1">+_FV(C42,"Preço")</f>
        <v>3.3</v>
      </c>
      <c r="L42" s="3">
        <f t="shared" ca="1" si="0"/>
        <v>3.3187226048841501E-2</v>
      </c>
    </row>
    <row r="43" spans="1:12" s="1" customFormat="1" ht="15" x14ac:dyDescent="0.25">
      <c r="A43" s="1">
        <v>5</v>
      </c>
      <c r="B43" s="6" t="s">
        <v>5</v>
      </c>
      <c r="C43" s="6" t="e" vm="30">
        <v>#VALUE!</v>
      </c>
      <c r="D43" s="6" t="s">
        <v>135</v>
      </c>
      <c r="E43" s="6" t="s">
        <v>88</v>
      </c>
      <c r="F43" s="6" t="s">
        <v>89</v>
      </c>
      <c r="G43" s="6" t="s">
        <v>8</v>
      </c>
      <c r="H43" s="6">
        <v>71</v>
      </c>
      <c r="I43" s="6">
        <v>468.6</v>
      </c>
      <c r="J43" s="6">
        <v>6.6</v>
      </c>
      <c r="K43" s="2" cm="1">
        <f t="array" aca="1" ref="K43" ca="1">+_FV(C43,"Preço")</f>
        <v>7.5</v>
      </c>
      <c r="L43" s="3">
        <f t="shared" ca="1" si="0"/>
        <v>0.13636363636363646</v>
      </c>
    </row>
    <row r="44" spans="1:12" s="1" customFormat="1" ht="15" x14ac:dyDescent="0.25">
      <c r="A44"/>
      <c r="B44" s="7" t="s">
        <v>5</v>
      </c>
      <c r="C44" s="7" t="e" vm="31">
        <v>#VALUE!</v>
      </c>
      <c r="D44" s="7" t="s">
        <v>136</v>
      </c>
      <c r="E44" s="7" t="s">
        <v>90</v>
      </c>
      <c r="F44" s="7" t="s">
        <v>91</v>
      </c>
      <c r="G44" s="7" t="s">
        <v>8</v>
      </c>
      <c r="H44" s="7">
        <v>56366</v>
      </c>
      <c r="I44" s="7">
        <v>60311.46</v>
      </c>
      <c r="J44" s="7">
        <v>1.07</v>
      </c>
      <c r="K44" s="4" cm="1">
        <f t="array" aca="1" ref="K44" ca="1">+_FV(C44,"Preço")</f>
        <v>1.0900000000000001</v>
      </c>
      <c r="L44" s="5">
        <f t="shared" ca="1" si="0"/>
        <v>1.8691588785046731E-2</v>
      </c>
    </row>
    <row r="45" spans="1:12" x14ac:dyDescent="0.2">
      <c r="B45" s="7" t="s">
        <v>5</v>
      </c>
      <c r="C45" s="7" t="s">
        <v>92</v>
      </c>
      <c r="D45" s="7" t="s">
        <v>92</v>
      </c>
      <c r="E45" s="7" t="s">
        <v>93</v>
      </c>
      <c r="F45" s="7" t="s">
        <v>94</v>
      </c>
      <c r="G45" s="7" t="s">
        <v>8</v>
      </c>
      <c r="H45" s="7" t="s">
        <v>11</v>
      </c>
      <c r="I45" s="7" t="s">
        <v>11</v>
      </c>
      <c r="J45" s="7">
        <v>120</v>
      </c>
      <c r="K45" s="4" t="e" cm="1" vm="3">
        <f t="array" ref="K45">+_FV(C45,"Preço")</f>
        <v>#VALUE!</v>
      </c>
      <c r="L45" s="5" t="e" vm="4">
        <f t="shared" si="0"/>
        <v>#VALUE!</v>
      </c>
    </row>
    <row r="46" spans="1:12" x14ac:dyDescent="0.2">
      <c r="B46" s="7"/>
      <c r="C46" s="7"/>
      <c r="D46" s="7"/>
      <c r="E46" s="7"/>
      <c r="F46" s="7"/>
      <c r="G46" s="7"/>
      <c r="H46" s="8"/>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47D0F-17B4-4351-A455-5E3C6E252F3F}">
  <dimension ref="A2:L8"/>
  <sheetViews>
    <sheetView tabSelected="1" workbookViewId="0">
      <selection activeCell="L3" sqref="L3:L8"/>
    </sheetView>
  </sheetViews>
  <sheetFormatPr defaultRowHeight="14.25" x14ac:dyDescent="0.2"/>
  <sheetData>
    <row r="2" spans="1:12" ht="15" x14ac:dyDescent="0.25">
      <c r="A2" s="1"/>
      <c r="B2" s="6" t="s">
        <v>97</v>
      </c>
      <c r="C2" s="6" t="s">
        <v>137</v>
      </c>
      <c r="D2" s="6" t="s">
        <v>0</v>
      </c>
      <c r="E2" s="6" t="s">
        <v>1</v>
      </c>
      <c r="F2" s="6" t="s">
        <v>2</v>
      </c>
      <c r="G2" s="6" t="s">
        <v>3</v>
      </c>
      <c r="H2" s="6" t="s">
        <v>95</v>
      </c>
      <c r="I2" s="6" t="s">
        <v>4</v>
      </c>
      <c r="J2" s="6" t="s">
        <v>96</v>
      </c>
      <c r="K2" s="6" t="s">
        <v>138</v>
      </c>
      <c r="L2" s="6" t="s">
        <v>139</v>
      </c>
    </row>
    <row r="3" spans="1:12" s="1" customFormat="1" ht="15" x14ac:dyDescent="0.25">
      <c r="A3">
        <v>5</v>
      </c>
      <c r="B3" s="7" t="s">
        <v>5</v>
      </c>
      <c r="C3" s="7" t="s">
        <v>143</v>
      </c>
      <c r="D3" s="7" t="s">
        <v>110</v>
      </c>
      <c r="E3" s="7" t="s">
        <v>31</v>
      </c>
      <c r="F3" s="7" t="s">
        <v>32</v>
      </c>
      <c r="G3" s="7" t="s">
        <v>8</v>
      </c>
      <c r="H3" s="7">
        <v>750</v>
      </c>
      <c r="I3" s="7">
        <v>2370</v>
      </c>
      <c r="J3" s="7">
        <v>3.16</v>
      </c>
      <c r="K3" s="4">
        <v>3.5</v>
      </c>
      <c r="L3" s="5">
        <f t="shared" ref="L3:L8" si="0">+K3/J3-1</f>
        <v>0.10759493670886067</v>
      </c>
    </row>
    <row r="4" spans="1:12" s="1" customFormat="1" ht="15" x14ac:dyDescent="0.25">
      <c r="A4">
        <v>10</v>
      </c>
      <c r="B4" s="7" t="s">
        <v>5</v>
      </c>
      <c r="C4" s="7" t="e" vm="13">
        <v>#VALUE!</v>
      </c>
      <c r="D4" s="7" t="s">
        <v>42</v>
      </c>
      <c r="E4" s="7" t="s">
        <v>43</v>
      </c>
      <c r="F4" s="7" t="s">
        <v>44</v>
      </c>
      <c r="G4" s="7" t="s">
        <v>8</v>
      </c>
      <c r="H4" s="7">
        <v>12257</v>
      </c>
      <c r="I4" s="7">
        <v>130790.6</v>
      </c>
      <c r="J4" s="7">
        <v>10.65</v>
      </c>
      <c r="K4" s="4" cm="1">
        <f t="array" aca="1" ref="K4" ca="1">+_FV(C4,"Preço")</f>
        <v>11</v>
      </c>
      <c r="L4" s="5">
        <f t="shared" ca="1" si="0"/>
        <v>3.2863849765258246E-2</v>
      </c>
    </row>
    <row r="5" spans="1:12" s="1" customFormat="1" ht="15" x14ac:dyDescent="0.25">
      <c r="A5">
        <v>8</v>
      </c>
      <c r="B5" s="7" t="s">
        <v>5</v>
      </c>
      <c r="C5" s="7" t="e" vm="16">
        <v>#VALUE!</v>
      </c>
      <c r="D5" s="7" t="s">
        <v>119</v>
      </c>
      <c r="E5" s="7" t="s">
        <v>49</v>
      </c>
      <c r="F5" s="7" t="s">
        <v>50</v>
      </c>
      <c r="G5" s="7" t="s">
        <v>8</v>
      </c>
      <c r="H5" s="7">
        <v>601</v>
      </c>
      <c r="I5" s="7">
        <v>1476.59</v>
      </c>
      <c r="J5" s="7">
        <v>2.4500000000000002</v>
      </c>
      <c r="K5" s="4" cm="1">
        <f t="array" aca="1" ref="K5" ca="1">+_FV(C5,"Preço")</f>
        <v>2.35</v>
      </c>
      <c r="L5" s="5">
        <f t="shared" ca="1" si="0"/>
        <v>-4.081632653061229E-2</v>
      </c>
    </row>
    <row r="6" spans="1:12" s="1" customFormat="1" ht="15" x14ac:dyDescent="0.25">
      <c r="A6">
        <v>7</v>
      </c>
      <c r="B6" s="7" t="s">
        <v>5</v>
      </c>
      <c r="C6" s="7" t="e" vm="19">
        <v>#VALUE!</v>
      </c>
      <c r="D6" s="7" t="s">
        <v>122</v>
      </c>
      <c r="E6" s="7" t="s">
        <v>58</v>
      </c>
      <c r="F6" s="7" t="s">
        <v>59</v>
      </c>
      <c r="G6" s="7" t="s">
        <v>8</v>
      </c>
      <c r="H6" s="7">
        <v>656050</v>
      </c>
      <c r="I6" s="7">
        <v>2875149.6850000001</v>
      </c>
      <c r="J6" s="7">
        <v>4.3849999999999998</v>
      </c>
      <c r="K6" s="4" cm="1">
        <f t="array" aca="1" ref="K6" ca="1">+_FV(C6,"Preço")</f>
        <v>5.36</v>
      </c>
      <c r="L6" s="5">
        <f t="shared" ca="1" si="0"/>
        <v>0.22234891676168766</v>
      </c>
    </row>
    <row r="7" spans="1:12" s="1" customFormat="1" ht="15" x14ac:dyDescent="0.25">
      <c r="A7">
        <v>7</v>
      </c>
      <c r="B7" s="7" t="s">
        <v>5</v>
      </c>
      <c r="C7" s="7" t="e" vm="25">
        <v>#VALUE!</v>
      </c>
      <c r="D7" s="7" t="s">
        <v>130</v>
      </c>
      <c r="E7" s="7" t="s">
        <v>78</v>
      </c>
      <c r="F7" s="7" t="s">
        <v>79</v>
      </c>
      <c r="G7" s="7" t="s">
        <v>8</v>
      </c>
      <c r="H7" s="7">
        <v>24314</v>
      </c>
      <c r="I7" s="7">
        <v>545614.1</v>
      </c>
      <c r="J7" s="7">
        <v>22.4</v>
      </c>
      <c r="K7" s="4" cm="1">
        <f t="array" aca="1" ref="K7" ca="1">+_FV(C7,"Preço")</f>
        <v>21.9</v>
      </c>
      <c r="L7" s="5">
        <f t="shared" ca="1" si="0"/>
        <v>-2.2321428571428603E-2</v>
      </c>
    </row>
    <row r="8" spans="1:12" s="1" customFormat="1" ht="15" x14ac:dyDescent="0.25">
      <c r="A8">
        <v>5</v>
      </c>
      <c r="B8" s="7" t="s">
        <v>5</v>
      </c>
      <c r="C8" s="7" t="e" vm="30">
        <v>#VALUE!</v>
      </c>
      <c r="D8" s="7" t="s">
        <v>135</v>
      </c>
      <c r="E8" s="7" t="s">
        <v>88</v>
      </c>
      <c r="F8" s="7" t="s">
        <v>89</v>
      </c>
      <c r="G8" s="7" t="s">
        <v>8</v>
      </c>
      <c r="H8" s="7">
        <v>71</v>
      </c>
      <c r="I8" s="7">
        <v>468.6</v>
      </c>
      <c r="J8" s="7">
        <v>6.6</v>
      </c>
      <c r="K8" s="4" cm="1">
        <f t="array" aca="1" ref="K8" ca="1">+_FV(C8,"Preço")</f>
        <v>7.5</v>
      </c>
      <c r="L8" s="5">
        <f t="shared" ca="1" si="0"/>
        <v>0.13636363636363646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vt:i4>
      </vt:variant>
    </vt:vector>
  </HeadingPairs>
  <TitlesOfParts>
    <vt:vector size="2" baseType="lpstr">
      <vt:lpstr>main</vt:lpstr>
      <vt:lpstr>screen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Simão Clemente</dc:creator>
  <cp:lastModifiedBy>Simão Clemente</cp:lastModifiedBy>
  <dcterms:created xsi:type="dcterms:W3CDTF">2026-02-01T14:51:32Z</dcterms:created>
  <dcterms:modified xsi:type="dcterms:W3CDTF">2026-03-04T11:36:39Z</dcterms:modified>
</cp:coreProperties>
</file>